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gel.steklein\Documents\desarrollo\almacenes\stock\"/>
    </mc:Choice>
  </mc:AlternateContent>
  <bookViews>
    <workbookView xWindow="0" yWindow="0" windowWidth="24000" windowHeight="951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5" i="1" l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8" i="1"/>
  <c r="H558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8" i="1"/>
  <c r="H528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9" i="1"/>
  <c r="H519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2" i="1"/>
  <c r="H502" i="1"/>
  <c r="I501" i="1"/>
  <c r="H501" i="1"/>
  <c r="I500" i="1"/>
  <c r="H500" i="1"/>
  <c r="I499" i="1"/>
  <c r="H499" i="1"/>
  <c r="I498" i="1"/>
  <c r="H498" i="1"/>
  <c r="I497" i="1"/>
  <c r="H497" i="1"/>
  <c r="I496" i="1"/>
  <c r="H496" i="1"/>
  <c r="I495" i="1"/>
  <c r="H495" i="1"/>
  <c r="I494" i="1"/>
  <c r="H494" i="1"/>
  <c r="I493" i="1"/>
  <c r="H493" i="1"/>
  <c r="I492" i="1"/>
  <c r="H492" i="1"/>
  <c r="I491" i="1"/>
  <c r="H491" i="1"/>
  <c r="I490" i="1"/>
  <c r="H490" i="1"/>
  <c r="I489" i="1"/>
  <c r="H489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1" i="1"/>
  <c r="H461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2" i="1"/>
  <c r="H452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3" i="1"/>
  <c r="H443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9" i="1"/>
  <c r="H419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1" i="1"/>
  <c r="H361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33" i="1"/>
  <c r="H333" i="1"/>
  <c r="I332" i="1"/>
  <c r="H332" i="1"/>
  <c r="I331" i="1"/>
  <c r="H331" i="1"/>
  <c r="I330" i="1"/>
  <c r="H330" i="1"/>
  <c r="I329" i="1"/>
  <c r="H329" i="1"/>
  <c r="I328" i="1"/>
  <c r="H328" i="1"/>
  <c r="I327" i="1"/>
  <c r="H327" i="1"/>
  <c r="I326" i="1"/>
  <c r="H326" i="1"/>
  <c r="I325" i="1"/>
  <c r="H325" i="1"/>
  <c r="I324" i="1"/>
  <c r="H324" i="1"/>
  <c r="I323" i="1"/>
  <c r="H323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G297" i="1"/>
  <c r="F297" i="1"/>
  <c r="H297" i="1" s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8" i="1"/>
  <c r="H288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3" i="1"/>
  <c r="H263" i="1"/>
  <c r="I262" i="1"/>
  <c r="H262" i="1"/>
  <c r="I261" i="1"/>
  <c r="H261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G243" i="1"/>
  <c r="H243" i="1" s="1"/>
  <c r="F243" i="1"/>
  <c r="I242" i="1"/>
  <c r="H242" i="1"/>
  <c r="I241" i="1"/>
  <c r="H241" i="1"/>
  <c r="I240" i="1"/>
  <c r="G240" i="1"/>
  <c r="H240" i="1" s="1"/>
  <c r="F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7" i="1"/>
  <c r="H217" i="1"/>
  <c r="I216" i="1"/>
  <c r="H216" i="1"/>
  <c r="I215" i="1"/>
  <c r="H215" i="1"/>
  <c r="I214" i="1"/>
  <c r="H214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G23" i="1"/>
  <c r="H23" i="1" s="1"/>
  <c r="F23" i="1"/>
  <c r="I22" i="1"/>
  <c r="G22" i="1"/>
  <c r="H22" i="1" s="1"/>
  <c r="F22" i="1"/>
  <c r="I21" i="1"/>
  <c r="G21" i="1"/>
  <c r="H21" i="1" s="1"/>
  <c r="I20" i="1"/>
  <c r="H20" i="1"/>
  <c r="G20" i="1"/>
  <c r="I19" i="1"/>
  <c r="G19" i="1"/>
  <c r="H19" i="1" s="1"/>
  <c r="F19" i="1"/>
  <c r="I18" i="1"/>
  <c r="G18" i="1"/>
  <c r="F18" i="1"/>
  <c r="H18" i="1" s="1"/>
  <c r="I17" i="1"/>
  <c r="H17" i="1"/>
  <c r="I16" i="1"/>
  <c r="G16" i="1"/>
  <c r="H16" i="1" s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<sst xmlns="http://schemas.openxmlformats.org/spreadsheetml/2006/main" count="2560" uniqueCount="726">
  <si>
    <t>RUBRO</t>
  </si>
  <si>
    <t>BIEN</t>
  </si>
  <si>
    <t>ORDEN DE COMPRA</t>
  </si>
  <si>
    <t>CATALOGO</t>
  </si>
  <si>
    <t>RENGLÓN</t>
  </si>
  <si>
    <t>CANTIDAD COMPRADA</t>
  </si>
  <si>
    <t>PRECIO UNITARIO</t>
  </si>
  <si>
    <t>PRECIO TOTAL</t>
  </si>
  <si>
    <t>BIENES EN STOCK</t>
  </si>
  <si>
    <t>INSUMOS AIRES</t>
  </si>
  <si>
    <t>EQUIPO SPLIT DE 4500 FRIGORÍAS - TIPO DE CLIMATIZACIÓNFRIO/CALOR - EFICIENCIA ENERGÉTICA DE CLASE C O MAYOR</t>
  </si>
  <si>
    <t>81-0080-OC24</t>
  </si>
  <si>
    <t>4.3.7-1367.320</t>
  </si>
  <si>
    <t>EQUIPO SPLIT DE 6000 FRIGORÍAS - TIPO DE CLIMATIZACIÓN
FRIO/CALOR - EFICIENCIA ENERGÉTICA DE CLASE C O MAYOR EN CALEFACCIÓN Y A EN REFRIGERACIÓN - NO CONVERTER</t>
  </si>
  <si>
    <t>81-0081-OC24</t>
  </si>
  <si>
    <t>4.3.7-1367.330</t>
  </si>
  <si>
    <t>ROLLO DE 15 METROS CAÑO DE COBRE DE 5/8</t>
  </si>
  <si>
    <t>81-0082-OC24</t>
  </si>
  <si>
    <t>2.9.6-5591.3</t>
  </si>
  <si>
    <t>ROLLO DE 15 METROS CAÑO DE COBRE DE 3/8</t>
  </si>
  <si>
    <t>2.9.6-5591.4</t>
  </si>
  <si>
    <t>ROLLO DE 15 METROS CAÑO DE COBRE DE 1/2</t>
  </si>
  <si>
    <t>2.9.6-5591.5</t>
  </si>
  <si>
    <t>ROLLO DE 15 METROS CAÑO DE COBRE DE 1/4</t>
  </si>
  <si>
    <t>2.9.6-5591.6</t>
  </si>
  <si>
    <t>ROLLO DE 2 METROS DE TIRA DE AISLACIÓN TÉRMICA PARA CAÑOS DE 5/8</t>
  </si>
  <si>
    <t>2.9.6-1712.305</t>
  </si>
  <si>
    <t>ROLLO DE 2 METROS DE TIRA DE AISLACIÓN TÉRMICA PARA CAÑOS DE 3/8</t>
  </si>
  <si>
    <t>2.9.6-1712.306</t>
  </si>
  <si>
    <t>ROLLO DE 2 METROS DE TIRA DE AISLACIÓN TÉRMICA PARA CAÑOS DE 1/2</t>
  </si>
  <si>
    <t>2.9.6-1712.307</t>
  </si>
  <si>
    <t>ROLLO DE 2 METROS DE TIRA DE AISLACIÓN TÉRMICA PARA CAÑOS DE 1/4</t>
  </si>
  <si>
    <t>2.9.6-1712.308</t>
  </si>
  <si>
    <t>CINTA DE PVC PARA REFRIGERACIÓN, SIN ADHESIVO – ROLLO DE 20 METROS</t>
  </si>
  <si>
    <t>2.9.9-3027.9</t>
  </si>
  <si>
    <t>MENSULAS PARA AIRE ACONDICIONADO DE 4500 A 6000 FRIGORIAS, 50X50 APROXIMADAMENTE</t>
  </si>
  <si>
    <t>2.9.6-1376.235</t>
  </si>
  <si>
    <t>GARRAFA REFRIGERANTE R410</t>
  </si>
  <si>
    <t>2.5.6-6856.29</t>
  </si>
  <si>
    <t>GARRAFA REFRIGERANTE R22</t>
  </si>
  <si>
    <t>2.5.6-6856.1</t>
  </si>
  <si>
    <t>MANGUERA CRISTAL PARA DESAGÜE DE 5/8" – ROLLO DE 50 METROS (PRECIO POR METRO)</t>
  </si>
  <si>
    <t>2.9.9-9053.30</t>
  </si>
  <si>
    <t>TACO DE GOMA, AMORTIGUADOR ANTIVIBRACIÓN – BOLSA X 4 UNIDADES</t>
  </si>
  <si>
    <t>2.9.6-1712.93</t>
  </si>
  <si>
    <t>CAJA DE 200 TARUGOS MULTIPROPÓSITOS DE 8MM</t>
  </si>
  <si>
    <t>2.5.8-819.9</t>
  </si>
  <si>
    <t>CAJA DE 200 TARUGOS MULTIPROPÓSITOS DE 10MM</t>
  </si>
  <si>
    <t>CAJA DE 200 TORNILLOS TIRAFONDO PARA TARUGO DE 10MM - PRECIO POR UNIDAD</t>
  </si>
  <si>
    <t>2.7.9-643.112</t>
  </si>
  <si>
    <t>CAJA DE 200 TORNILLOS TIRAFONDO PARA TARUGO DE 8MM</t>
  </si>
  <si>
    <t>2.7.9-643.25</t>
  </si>
  <si>
    <t>CAJA DE 200 ARANDELAS PLANAS PARA TARUGOS DE 10MM</t>
  </si>
  <si>
    <t>2.7.9-1600.44</t>
  </si>
  <si>
    <t>CAJA DE 200 ARANDELAS PLANAS PARA TARUGOS DE 8MM</t>
  </si>
  <si>
    <t>2.7.9-1600.35</t>
  </si>
  <si>
    <t>PLOMERIA</t>
  </si>
  <si>
    <t>ADHESIVO - CEMENTO DE CONTACTO; TIPO: DE CONTACTO, PRESENTACION: ENVASE X 1 L</t>
  </si>
  <si>
    <t>81-0054-OC24</t>
  </si>
  <si>
    <t>2.5.9-6887.43</t>
  </si>
  <si>
    <t>ADHESIVO COLA CARPINTERO BLANCO</t>
  </si>
  <si>
    <t>EXISTENCIA PREV. 1</t>
  </si>
  <si>
    <t>S/N</t>
  </si>
  <si>
    <t>ARANDELA PLASTICA 1/2"</t>
  </si>
  <si>
    <t>2.5.8-6723.1</t>
  </si>
  <si>
    <t>ARANDELA PLASTICA 3/4"</t>
  </si>
  <si>
    <t>2.5.8-6723.2</t>
  </si>
  <si>
    <t>EXISTENCIA PREV. 2</t>
  </si>
  <si>
    <t>ARO GOMA BASE DE INODORO</t>
  </si>
  <si>
    <t>81-0049-OC24</t>
  </si>
  <si>
    <t>2.9.6-5017.22</t>
  </si>
  <si>
    <t>BOYA OBTURADOR UNIVERSAL REGULABLE PARA DEPOSITO EMBUTIR TIPO IDEAL 1450</t>
  </si>
  <si>
    <t>2.9.6-5017.6</t>
  </si>
  <si>
    <t>BOYAS FLOTANTE telgopor</t>
  </si>
  <si>
    <t>2.9.6-402.1</t>
  </si>
  <si>
    <t>BOTON PULSADO MOCHILA LATERAL</t>
  </si>
  <si>
    <t>BOTON PARA MOCHILA CUADRADO PLASTICO</t>
  </si>
  <si>
    <t>BOTON PULSADOR MOCHILA SUPERIOR REDONDO</t>
  </si>
  <si>
    <t>BUJE BRONCE REDUCCION DIAMETRO MAYOR 1/4"</t>
  </si>
  <si>
    <t>2.5.8-3536.11</t>
  </si>
  <si>
    <t>BUJE BRONCE REDUCCION DIAMETRO MAYOR 3/8"</t>
  </si>
  <si>
    <t>2.5.8-3536.5</t>
  </si>
  <si>
    <t>BUJE BRONCE REDUCCION 1/2" M A 3/8" PESTAÑA</t>
  </si>
  <si>
    <t>BUJE HIDROBRONZ REDUCCION 1/2" A 3/8"</t>
  </si>
  <si>
    <t>2.5.8-3536.6</t>
  </si>
  <si>
    <t>BUJE HIDROBRONZ REDUCCION 1" A 3/4"</t>
  </si>
  <si>
    <t>2.5.8-3536.4</t>
  </si>
  <si>
    <t>CAÑAMO BOLSA X 100 GR</t>
  </si>
  <si>
    <t>CAÑAMO BOLSA GRANDE</t>
  </si>
  <si>
    <t>CAÑAMO BOLSA X 1000 GR</t>
  </si>
  <si>
    <t>CAÑO GALVANIZADO 1/2" X 6,40 M</t>
  </si>
  <si>
    <t>2.7.1-6094.96</t>
  </si>
  <si>
    <t>CAÑO GALVANIZADO 3/4" X 6,40 M</t>
  </si>
  <si>
    <t>2.7.1-6094.79</t>
  </si>
  <si>
    <t>CAÑO GALVANIZADO 1" X 6,40 M</t>
  </si>
  <si>
    <t>2.7.1-6094.193</t>
  </si>
  <si>
    <t>CANO PVC 38/40 X 4 MTS</t>
  </si>
  <si>
    <t>2.5.8-378.64</t>
  </si>
  <si>
    <t>CAÑO PVC X 3,2 MTS   50 MM</t>
  </si>
  <si>
    <t>2.5.8-378.438</t>
  </si>
  <si>
    <t>CAÑO PVC X 4 MTS      60 MM</t>
  </si>
  <si>
    <t>2.5.8-378.222</t>
  </si>
  <si>
    <t>CAÑO PVC X 4 MTS      150 MM</t>
  </si>
  <si>
    <t>2.5.8-378.131</t>
  </si>
  <si>
    <t>Carga De Agua 1/2 PuLG P/mochila Capea O Mónaco</t>
  </si>
  <si>
    <t>81-0050-OC24</t>
  </si>
  <si>
    <t>2.9.6-1792.89</t>
  </si>
  <si>
    <t>CARTUCHO PARA PRESSMA TIC FV (360 361 362) 0360.25.0</t>
  </si>
  <si>
    <t>81-0052-OC24</t>
  </si>
  <si>
    <t>2.7.9-8857.185</t>
  </si>
  <si>
    <t>CANILLA LAVATORIO AUTOMATICA TEMPORIZADA A
PRESION TIPO FV; PAZZA; GENEBRE O CALIDAD
SUPERIOR. LARGO CANILLA 10 CM (+/- 10%), ALTURA CANILLA 10 CM (+/- 20%)</t>
  </si>
  <si>
    <t>2.7.9-626.15</t>
  </si>
  <si>
    <t>CODO BRONCE M/H 3/8"</t>
  </si>
  <si>
    <t>2.7.9-6383.29</t>
  </si>
  <si>
    <t>CODO BRONCE M/M 3/8"</t>
  </si>
  <si>
    <t>CODO BRONCE H/H 3/8"</t>
  </si>
  <si>
    <t>CODO HB M/E 1/2 X 1/2</t>
  </si>
  <si>
    <t>2.7.9-5844.2</t>
  </si>
  <si>
    <t>CODO HB  E/E  1/2"</t>
  </si>
  <si>
    <t>EXISTENCIA PREV. 3</t>
  </si>
  <si>
    <t>CODO HB E/H 3/4"</t>
  </si>
  <si>
    <t>2.7.9-5844.3</t>
  </si>
  <si>
    <t>CODO HB  E/E  3/4" A 1/2" REDUCCION</t>
  </si>
  <si>
    <t>CODO HB H/H 1"</t>
  </si>
  <si>
    <t>2.7.9-6383.72</t>
  </si>
  <si>
    <t>CODO GALVANIZADO H/M 1/2"</t>
  </si>
  <si>
    <t>2.7.1-6082.107</t>
  </si>
  <si>
    <t>CODO GALVANIZADO H/H 3/4"</t>
  </si>
  <si>
    <t>2.7.1-6082.108</t>
  </si>
  <si>
    <t>CODO GALVANIZADO M/H 3/4"</t>
  </si>
  <si>
    <t>2.7.1-6082.77</t>
  </si>
  <si>
    <t>CODO GALVANIZADO H/H 1"</t>
  </si>
  <si>
    <t>2.7.1-6082.109</t>
  </si>
  <si>
    <t>CODO GALVANIZADO M/H 1"</t>
  </si>
  <si>
    <t xml:space="preserve">CODO PVC DIAMETRO 110 MM 45° </t>
  </si>
  <si>
    <t>2.5.8-1147.131</t>
  </si>
  <si>
    <t xml:space="preserve">CODO PVC DIAMETRO 150 MM 45° </t>
  </si>
  <si>
    <t>2.5.8-1147.143</t>
  </si>
  <si>
    <t xml:space="preserve">CODO PVC DIAMETRO 150 MM 90° </t>
  </si>
  <si>
    <t>2.5.8-1147.59</t>
  </si>
  <si>
    <t>CONEXIONES P/ SANITARIOS; TIPO FLEXIBLE MALLADO -
MATERAIL ACERO INOXIDABLE - GOMA - LONG. DE CUERPO 40 CM - TIPO DE CONEXIÓN 1/2 PULGADAS</t>
  </si>
  <si>
    <t>2.7.9-1656.16</t>
  </si>
  <si>
    <t>CONEXIONES P/ SANITARIOS; TIPO FLEXIBLE MALLADO -
MATERAIL ACERO INOXIDABLE - GOMA - LONG. DE CUERPO 30 CM - TIPO DE CONEXIÓN 1/2 PULGADAS</t>
  </si>
  <si>
    <t>2.7.9-1656.17</t>
  </si>
  <si>
    <t>CINTAS DESTAPA CAÑERÍAS; MATERIAL: ACERO, LONG. DE
CUERPO: 15 M</t>
  </si>
  <si>
    <t>2.9.9-7839.2</t>
  </si>
  <si>
    <t>CINTA DE TEFLÓN X ROLLO, MEDIDA 3/4 X 20 MTS.</t>
  </si>
  <si>
    <t>81-0053-OC25</t>
  </si>
  <si>
    <t>2.2.2-1044.47</t>
  </si>
  <si>
    <t>CONEXIÓN FLEXIBLE PARA MINGITORIO</t>
  </si>
  <si>
    <t xml:space="preserve">CUPLA BRONCE 1" PASANTE </t>
  </si>
  <si>
    <t xml:space="preserve">CUPLA BRONCE 3/4" PASANTE </t>
  </si>
  <si>
    <t xml:space="preserve">CUPLA HB 1/2" PASANTE </t>
  </si>
  <si>
    <t>CUPLA HB C/ TOPE 1/2"</t>
  </si>
  <si>
    <t xml:space="preserve">CUPLA HB 3/4" PASANTE </t>
  </si>
  <si>
    <t>CUPLA HB C/ TOPE 3/4"</t>
  </si>
  <si>
    <t>CUPLA REDUCCION HB 3/4" A 1/2"</t>
  </si>
  <si>
    <t>CUPLA REDUCCION HB 1" A 3/4"</t>
  </si>
  <si>
    <t>CUPLA HB C/ TOPE 1"</t>
  </si>
  <si>
    <t xml:space="preserve">CUPLA HB PASANTE 1" </t>
  </si>
  <si>
    <t>CUPLA GALVANIZADA 1/2"</t>
  </si>
  <si>
    <t>CUPLA GALVANIZADA 3/4"</t>
  </si>
  <si>
    <t>CUPLA GALVANIZADA 1"</t>
  </si>
  <si>
    <t>CUPLA GALVANIZADA 1/2" A 3/8" REDUCCION</t>
  </si>
  <si>
    <t>CUPLA PVC RED.2 A 1 1/2</t>
  </si>
  <si>
    <t>CUPLA PVC DIAMETRO 40 MM</t>
  </si>
  <si>
    <t>CUPLA PVC DIAMETRO 60 MM</t>
  </si>
  <si>
    <t>CUPLA PVC DIAMETRO 110 MM</t>
  </si>
  <si>
    <t>CUPLA PVC DIAMETRO 150 MM</t>
  </si>
  <si>
    <t xml:space="preserve">CURVA PVC DIAMETRO 150 MM 45º </t>
  </si>
  <si>
    <t xml:space="preserve">CURVA PVC DIAMETRO 110 MM 90º </t>
  </si>
  <si>
    <t xml:space="preserve">CURVA PVC DIAMETRO 150 MM 90º </t>
  </si>
  <si>
    <t>Descarga Mochila Capea Roca Superior Cromado Repuesto Eco
Flush</t>
  </si>
  <si>
    <t>2.9.6-1792.87</t>
  </si>
  <si>
    <t>DEPOSITO P/ MINGITORIO PVC X 8 LTS</t>
  </si>
  <si>
    <t xml:space="preserve">ELECTRODO 2 MM </t>
  </si>
  <si>
    <t>ELECTRODO 2,5 MM</t>
  </si>
  <si>
    <t>ESTERINA EN PANES</t>
  </si>
  <si>
    <t>GOMA FUELLE P/ INODORO CORTAS</t>
  </si>
  <si>
    <t>GOMA FUELLE PARA INODORO (LARGO)</t>
  </si>
  <si>
    <t>2.9.6-5017.21</t>
  </si>
  <si>
    <t>GOMA RIGIDAS P/INODORO NEGRAS</t>
  </si>
  <si>
    <t>GRASA GRAFITADA  POTE X 120 GRS</t>
  </si>
  <si>
    <t>GRASA GRAFITADA  POTE X 1000 GRS</t>
  </si>
  <si>
    <t>KIT O'RING Y RETENES PARA VALVULA DESCARGA INODORO FV 368 (367.17)</t>
  </si>
  <si>
    <t>2.9.6-1792.11</t>
  </si>
  <si>
    <t>LITARGILIO  X  250 GRS</t>
  </si>
  <si>
    <t>LLAVE ESFERICA BRONCE 1/2"</t>
  </si>
  <si>
    <t>LLAVE ESFERICA METALICA 1"</t>
  </si>
  <si>
    <t>MASILLA EPOXI PARA SANITARIO X 500 GRS. MARCA PARSECS, POXILINA O SIMILAR</t>
  </si>
  <si>
    <t>2.5.5-579.27</t>
  </si>
  <si>
    <t>MINGITORIO DE LOZA BLANCO</t>
  </si>
  <si>
    <t>NIPLE BRONCE CONEXIÓN P/ DEPOSITO 1/2"</t>
  </si>
  <si>
    <t>NIPLE BRONCE 1/2" X 10 CM</t>
  </si>
  <si>
    <t>NIPLE BRONCE 1/2" X 12 CM</t>
  </si>
  <si>
    <t>NIPLE BRONCE 1/2" X 15 CM</t>
  </si>
  <si>
    <t>NIPLE GALVANIZADO 1/2" X 8 CM</t>
  </si>
  <si>
    <t>NIPLE GALVANIZADO 1/2" X 12 CM</t>
  </si>
  <si>
    <t>NIPLE GALVANIZADO 1/2" X 15 CM</t>
  </si>
  <si>
    <t>NIPLE GALVANIZADO 3/4" X 8 CM</t>
  </si>
  <si>
    <t>NIPLE GALVANIZADO 3/4" X 10 CM</t>
  </si>
  <si>
    <t>NIPLE GALVANIZADO 3/4" X 12 CM</t>
  </si>
  <si>
    <t>NIPLE GALVANIZADO 3/4" X 15 CM</t>
  </si>
  <si>
    <t>PAÑO PARA SOLDADOR X PAQUETE</t>
  </si>
  <si>
    <t>PROLONGACION P/ CANILLA 1/2" X 10 CM</t>
  </si>
  <si>
    <t>RESPUESTO FV CARTUCHO PARA PRESSMA</t>
  </si>
  <si>
    <t>PISTON COMPLETO PARA PRESSMA TIC 0361.01.20.0)</t>
  </si>
  <si>
    <t>81-0051-OC24</t>
  </si>
  <si>
    <t>REJILLA 8 X 8 CM ABIERTA</t>
  </si>
  <si>
    <t>REJILLA CIEGA ACERO 10 X 10 CM</t>
  </si>
  <si>
    <t>ROSCA C/ TUERCA BRONCE 1"</t>
  </si>
  <si>
    <t>ROSCA C/ TUERCA GALVANIZADA 3/4"</t>
  </si>
  <si>
    <t>ROSCA C/ TUERCA GALVANIZADA 1"</t>
  </si>
  <si>
    <t>Repuesto Válvula Vf051 Descarga Mochila Ferrum</t>
  </si>
  <si>
    <t>81-0055-OC24</t>
  </si>
  <si>
    <t>Repuesto Deposito Mochila Entrada Agua Dealer 1/2 Boya 4110</t>
  </si>
  <si>
    <t>SIFON DE GOMA SIMPLE P/ 1 BACHA</t>
  </si>
  <si>
    <t>SIFON DE GOMA DOBLE P/ 2 BACHAS</t>
  </si>
  <si>
    <t>SILICONA TRANSPARENTE</t>
  </si>
  <si>
    <t>SOPAPA DE GOMA GRANDE</t>
  </si>
  <si>
    <t>SOPAPA DE GOMA CHICA</t>
  </si>
  <si>
    <t>SELLADOR SILICONA UNIVERSAL TRANSPARENTE CARTUCHO X 280 GRS.</t>
  </si>
  <si>
    <t>2.5.5-7012.114</t>
  </si>
  <si>
    <t>SELLADOR DE ROSCAS SANITARIAS CAUCHO X 125 CC TIPO HYDRO 3</t>
  </si>
  <si>
    <t>2.5.5-7012.7</t>
  </si>
  <si>
    <t>TORNILLO PARA FIJACIÓN DE INODORO</t>
  </si>
  <si>
    <t>2.9.6-5017.13</t>
  </si>
  <si>
    <t>TAPAS P/ INODORO UNIVERSAL, MATERIAL: PVC REFORZADO</t>
  </si>
  <si>
    <t>2.9.6-1492.7</t>
  </si>
  <si>
    <t>TAPA PLASTICA PARA FRENTE DE DEPOSITO, PARA EMBUTIR CON BOTON A RESORTE DE BRONCE CROMADO Y
SOBRETAPA PLASTICA O METALICA</t>
  </si>
  <si>
    <t>2.9.6-1876.3</t>
  </si>
  <si>
    <t xml:space="preserve">TAPA CIEGA P/INSPECCION 40 X 40 </t>
  </si>
  <si>
    <t>TAPA GALVANIZADA 1/2"</t>
  </si>
  <si>
    <t>TAPA GALVANIZADA 3/4"</t>
  </si>
  <si>
    <t>TAPA GALVANIZADA 1"</t>
  </si>
  <si>
    <t>TAPON GALVANIZADO 3/4"</t>
  </si>
  <si>
    <t>TAPON GALVANIZADO 1"</t>
  </si>
  <si>
    <t>TAPON PVC 3/4"</t>
  </si>
  <si>
    <t>TARUGOS DE NYLON CON TOPE N° 6</t>
  </si>
  <si>
    <t>2.5.8-819.125</t>
  </si>
  <si>
    <t>TARUGOS DE NYLON CON TOPE N° 8</t>
  </si>
  <si>
    <t>2.5.8-819.126</t>
  </si>
  <si>
    <t>TARUGOS DE NYLON CON TOPE N° 10</t>
  </si>
  <si>
    <t>2.5.8-819.127</t>
  </si>
  <si>
    <t>TARUGO ESPIRAL PARA PLACA DE YESO</t>
  </si>
  <si>
    <t>2.5.8-819.134</t>
  </si>
  <si>
    <t>TEE BRONCE 1/2" X 1/2"</t>
  </si>
  <si>
    <t>TEE BRONCE REDUCCION 3/4"  A  1/2"  H / H</t>
  </si>
  <si>
    <t>TEE HB 1/2" E - E</t>
  </si>
  <si>
    <t>TEE HB 1/2" E - H</t>
  </si>
  <si>
    <t>TEE HB 3/4" E - E</t>
  </si>
  <si>
    <t>TEE HB 3/4" E - M</t>
  </si>
  <si>
    <t>TEE GALVANIZADA 1/2" - 1/2" - 1/2"</t>
  </si>
  <si>
    <t>TEE GALVANIZADA 3/4" - 1/2" - 3/4"</t>
  </si>
  <si>
    <t>TEE GALVANIZADA 3/4" - 3/4" - 3/4" HHH</t>
  </si>
  <si>
    <t>TEE GALVANIZADA 1" - 3/4" - 1"  H H</t>
  </si>
  <si>
    <t>TEE GALVANIZADA 1" - 1" - 1" H H</t>
  </si>
  <si>
    <t>TEE EPOXI 1/2" - 1/2" - 1/2"  H H</t>
  </si>
  <si>
    <t>TEFLON 1/2" ROLLO</t>
  </si>
  <si>
    <t>TELA ESMERIL 60</t>
  </si>
  <si>
    <t>TORNILLOS FIX CABEZA FRESADA RANURA PHILLIPS
ACABADO ZINCADO AMARILLO 4 X 35 MM</t>
  </si>
  <si>
    <t>2.7.9-644.1677</t>
  </si>
  <si>
    <t>TORNILLOS FIX CABEZA FRESADA RANURA PHILLIPS
ACABADO ZINCADO AMARILLO 5 X 45 MM</t>
  </si>
  <si>
    <t>2.7.9-644.1366</t>
  </si>
  <si>
    <t>TORNILLOS FIX CABEZA FRESADA RANURA PHILLIPS
ACABADO ZINCADO AMARILLO 6 X 60 MM</t>
  </si>
  <si>
    <t>2.7.9-644.1297</t>
  </si>
  <si>
    <t>TORNILLO DE BRONCE PARA FIJAR MOCHILA</t>
  </si>
  <si>
    <t>TUBO HB 1/2" H</t>
  </si>
  <si>
    <t>TUBO HB 1/2" M</t>
  </si>
  <si>
    <t>TUBO HB 3/4 M</t>
  </si>
  <si>
    <t>UNIÓN DOBLE GALVANIZADO 3/4"</t>
  </si>
  <si>
    <t>UNIÓN DOBLE PVC EN T DIAMETRO 40 MM</t>
  </si>
  <si>
    <t>UNIÓN DOBLE PVC EN T DIAMETRO 60 MM</t>
  </si>
  <si>
    <t>UNIÓN DOBLE PVC EN T DIAMETRO 110 MM</t>
  </si>
  <si>
    <t>UNION DOBLE PVC EN T DIAMETRO 150 MM</t>
  </si>
  <si>
    <t>Válvula Descarga Mochila Deposito Para Roca Capea</t>
  </si>
  <si>
    <t>VALVULA NEOPRENO S/ VASTAGO 3/4"</t>
  </si>
  <si>
    <t>VALVULA NEOPRENO S/ VASTAGO 1"</t>
  </si>
  <si>
    <t>VALVULA NEOPRENP S/BASTAGO 1/2"</t>
  </si>
  <si>
    <t>VALVULA NEOPRENO C/ VASTAGO 1/2"</t>
  </si>
  <si>
    <t>VALVULA NEOPRENO C/ VASTAGO 3/4"</t>
  </si>
  <si>
    <t>VALVULA NEOPRENO C/ VASTAGO 1"</t>
  </si>
  <si>
    <t>VALVULA TIPO IMSA TUERCA HEMBRA PARA PARED</t>
  </si>
  <si>
    <t>VALVULA AGUA WJ211 TIPO FLUMAC ROSCA M</t>
  </si>
  <si>
    <t>VARILLA ROSCADA 1/4 X 1 M</t>
  </si>
  <si>
    <t xml:space="preserve">Válvula Automática + Tecla De Descarga – Clean- Combo Deca </t>
  </si>
  <si>
    <t>2.9.6-1792.7</t>
  </si>
  <si>
    <t>VALVULAS P/MINGITORIOS; ACCIONAMIENTO: MANUAL, VOLUMEN DE DESCARGA: REGULABLE TEMPORIZADORA,
MATERIAL: BRONCE CROMADO</t>
  </si>
  <si>
    <t>2.7.1-1365.5</t>
  </si>
  <si>
    <t>ELECTRICIDAD</t>
  </si>
  <si>
    <t xml:space="preserve">ADAPTADOR DE 2 REDONDO A 2 PLANO </t>
  </si>
  <si>
    <t>ADAPTADOR DE 3 PLANO A 2 REDONDO</t>
  </si>
  <si>
    <t>BANDEJA PORTA CABLE</t>
  </si>
  <si>
    <t>BASTIDORES DE CHAPA</t>
  </si>
  <si>
    <t>Bastidor rectangular – Tipo Jeluz</t>
  </si>
  <si>
    <t>81-0058-OC24</t>
  </si>
  <si>
    <t>2.9.3-1454.13</t>
  </si>
  <si>
    <t>BATERIAS RECARG. GEL P/EQUIPO ALARMA</t>
  </si>
  <si>
    <t>CABLE UNIPOLAR 1X 1,50</t>
  </si>
  <si>
    <t>CABLE UNIPOLAR 1 X 2 ,50 TRANSP. X250MTS.</t>
  </si>
  <si>
    <t>CABLE UNIPOLAR 1 X 4</t>
  </si>
  <si>
    <t>CABLE UNIPOLAR 1 X 6</t>
  </si>
  <si>
    <t>CABLE UNIPOLAR 1 x 10 mm                                                  MTS</t>
  </si>
  <si>
    <t>CABLE SINTENAX 4 X1 6 mm                                                   MTS</t>
  </si>
  <si>
    <t>CABLE SUBTERRANEO 3X70 + 1X35</t>
  </si>
  <si>
    <t>CAJA PARA EMBUTIR TIPO MIGNON PLASTICA</t>
  </si>
  <si>
    <t>CAMPANILLA PARA TIMBRE</t>
  </si>
  <si>
    <t>CAPACITOR DOBLE 50 + 4uf 450 Vca</t>
  </si>
  <si>
    <t>CAPACITOR MARCHA 4 Mf X 400 CA</t>
  </si>
  <si>
    <t>Cable canal - PVC - formato lineal - 100 mm x 50 mm sin adhesivo - color blanco x 2 metros</t>
  </si>
  <si>
    <t>81-0057-OC24</t>
  </si>
  <si>
    <t>293-01451-0108</t>
  </si>
  <si>
    <t>Cable canal - PVC - formato lineal - 18 mm x 21 mm con adhesivo - color blanco</t>
  </si>
  <si>
    <t>293-01451-0044</t>
  </si>
  <si>
    <t>Cinta Aisladora 3m Tipo Temflex 1550 X 20 Mts Color negra</t>
  </si>
  <si>
    <t>2.9.3-1033.58</t>
  </si>
  <si>
    <t>CINTA AISLADORA TELA NEGRA</t>
  </si>
  <si>
    <t>CINTA AISLADORA AUTOSOLDABLE</t>
  </si>
  <si>
    <t xml:space="preserve">Cable Unipolar – Tipo Trefilcon 2.5 Mm Normalizado Rollo 100 Metros Cubierta Marrón (PRECIO POR METRO) </t>
  </si>
  <si>
    <t>81-0059-OC24</t>
  </si>
  <si>
    <t>2.9.3-1137.316</t>
  </si>
  <si>
    <t>Cable Unipolar – Tipo Trefilcon 2.5 Mm Normalizado Rollo 100 Metros Color De La Cubierta Celeste</t>
  </si>
  <si>
    <t xml:space="preserve">Conductor tipo taller - 3 x 2,5 mm2 - aislación PVC, normalizado Tipo Pirelli o superior x 100 mts. (PRECIO POR METRO) </t>
  </si>
  <si>
    <t>293-02285-0082</t>
  </si>
  <si>
    <t>CONTACTORES 40A TRIPOLAR</t>
  </si>
  <si>
    <t>CONTACTORES 50A TRIPOLAR</t>
  </si>
  <si>
    <t>CONTACTORES 65A TRIPOLAR</t>
  </si>
  <si>
    <t>CONTACTORES 95A TRIPOLAR</t>
  </si>
  <si>
    <t>DETECTOR DE VOLTAJE</t>
  </si>
  <si>
    <t>DVL1000-9 Buscapolo Inductivo Digital Lápiz Detector De Tensión 1000v</t>
  </si>
  <si>
    <t>2.9.3-1984.5</t>
  </si>
  <si>
    <t>EQUIPO DE ENCENDIDO</t>
  </si>
  <si>
    <t>FICHA HEMBRA 2 PATAS REDONDAS P/PROLONGACION</t>
  </si>
  <si>
    <t xml:space="preserve">FICHA MACHO 3 PATAS CHATAS C/TIERRA P/PROLONGACION </t>
  </si>
  <si>
    <t>FOTOCONTROLES FOTOCELULAS</t>
  </si>
  <si>
    <t>Fuente driver para panel led 24w (28x28cm)</t>
  </si>
  <si>
    <t>293-01887-0152</t>
  </si>
  <si>
    <t>Fuente driver para panel led NRV-PL 32005 40w (60x60cm)</t>
  </si>
  <si>
    <t xml:space="preserve">FUSIBLE NH  100 A   500 V 120 kA </t>
  </si>
  <si>
    <t>FUSIBLE NH 500 V 500 Amp 120 kA LARGO</t>
  </si>
  <si>
    <t>GRAMPAS KALOP N° 5</t>
  </si>
  <si>
    <t>EXISTENCIA PREV. 4</t>
  </si>
  <si>
    <t>GRAMPAS KALOP N° 8</t>
  </si>
  <si>
    <t>GRAMPAS KALOP N° 10</t>
  </si>
  <si>
    <t>INTERRUPTOR COMANDO ESTRIBO 600 A</t>
  </si>
  <si>
    <t>Lampara Led 9w / 10w Tipo Foco 220v (E27) - luz fría</t>
  </si>
  <si>
    <t>293-09785-0044</t>
  </si>
  <si>
    <t>Lampara Dicroica Led 7w Gu10 220v Gu 10 - luz fría</t>
  </si>
  <si>
    <t>293-09785-0109</t>
  </si>
  <si>
    <t>LAMPARA TUBO HALOGENO 400W MERCURIO</t>
  </si>
  <si>
    <t>LLAVE TREMICA 2 X 40 A</t>
  </si>
  <si>
    <t>LLAVE TERMICA 3 X 32 A</t>
  </si>
  <si>
    <t>LLAVE TERMICA 3 X 40 A</t>
  </si>
  <si>
    <t>LLAVE TERMICA 3 X 50 A</t>
  </si>
  <si>
    <t>LLAVE TERMICA 3 X 63 A</t>
  </si>
  <si>
    <t>LLAVE TERMICA 3 X 100 A</t>
  </si>
  <si>
    <t>MODULO INTERRUPTOR TECLA PARA EMBUTIR</t>
  </si>
  <si>
    <t>MODULO TOMA PARA EMBUTIR CON TIERRA</t>
  </si>
  <si>
    <t>Módulo 1 toma para embutir - 10 A - Tipo línea Siglo XXI</t>
  </si>
  <si>
    <t>293-06736-0007</t>
  </si>
  <si>
    <t>Módulo punto simple – Tipo Jeluz platinum</t>
  </si>
  <si>
    <t>2.9.3-657.23</t>
  </si>
  <si>
    <t>MODULO TOMA CORRIENTE DE 10 Amp</t>
  </si>
  <si>
    <t>Módulo punto ciego – Tipo Jeluz platinum</t>
  </si>
  <si>
    <t>Panel Plafón Led Embutir 60x60 cm Cuadrado 40w Luz Fría Empotrable</t>
  </si>
  <si>
    <t>293-06568-0129</t>
  </si>
  <si>
    <t>PILAS DURACELL AA</t>
  </si>
  <si>
    <t>Plafón listón doble para 2 tubos led 120cm 18w 220v - Luz fría</t>
  </si>
  <si>
    <t>2.9.3-4701.2</t>
  </si>
  <si>
    <t>Pinza amperométrica digital Uni-T UT204+ 600ª</t>
  </si>
  <si>
    <t>4.3.9-2317.2</t>
  </si>
  <si>
    <t>Pack x 50 mts de cable taller Tpr 3 x 4 mm Tipo Kalop</t>
  </si>
  <si>
    <t>2.9.3-2285.157</t>
  </si>
  <si>
    <t>Plafón Aplicar Led 60x60 48w Frio</t>
  </si>
  <si>
    <t>2.9.3-6568.312</t>
  </si>
  <si>
    <t>Periscopio Piso/pared con 4 Tomas 10 Amp Triangulo</t>
  </si>
  <si>
    <t>2.9.3-1553.27</t>
  </si>
  <si>
    <t>Precinto plástico - longitud 200 mm - color negro x 100</t>
  </si>
  <si>
    <t>258-00723-0017</t>
  </si>
  <si>
    <t>Precinto plástico - longitud 300 mm - color negro x 100</t>
  </si>
  <si>
    <t>PULSADOR PARA TIMBRE EMBUTIR</t>
  </si>
  <si>
    <t>REACTANCIAS  ELECTRICA PARA TUBOS 18/20 W</t>
  </si>
  <si>
    <t>REACTANCIAS ELCTRICA PARA TUBOS 27/30 W</t>
  </si>
  <si>
    <t>REACTANCIAS ELECTRICA 38/40W</t>
  </si>
  <si>
    <t>REACTANCIAS ELCTRICA PARA TUBOS 70 W</t>
  </si>
  <si>
    <t>REACTANCIAS ELECTRICA PARA TUBOS 150 W</t>
  </si>
  <si>
    <t>RECATANCIA ELECTRONICA 30 W</t>
  </si>
  <si>
    <t>REACTANC.ELECTRONICA 36/40W</t>
  </si>
  <si>
    <t>REACTANCIA ELECTRONICA 55W</t>
  </si>
  <si>
    <t>Spot Dicroica Led Completa Acero Blanco 7w / 6w Embutir Móvil - Luz Fría</t>
  </si>
  <si>
    <t>293-06568-0001</t>
  </si>
  <si>
    <t>SOPORTE LISTON PARA 2 TUBOS</t>
  </si>
  <si>
    <t>TAPA PLASTICA BLANCA RECTANGULAR 1 RANURA</t>
  </si>
  <si>
    <t>TAPA PLASTICA BLANCA RECTANGULAR 2 RANURAS</t>
  </si>
  <si>
    <t>TAPA PLASTICA BLANCA RECTANGULAR 3 RANURAS</t>
  </si>
  <si>
    <t>TAPA PLASTICA BLANCA BIPOLAR C/ TIERRA COMBINADA</t>
  </si>
  <si>
    <t>TAPA PLASTICA BLANCA RECTANGULAR  CIEGA</t>
  </si>
  <si>
    <t>TARUGO FISHER 8 MM SIN TOPE</t>
  </si>
  <si>
    <t>TARUGO FISHER 10 MM</t>
  </si>
  <si>
    <t>TARUGO FISHER 12 MM</t>
  </si>
  <si>
    <t>TARUGO FISHER C/TOPE  5 MM</t>
  </si>
  <si>
    <t>TARUGO FISHER C/ TOPE  10 MM</t>
  </si>
  <si>
    <t>TORNILLO PARKER P/TARUGO DEL 6"</t>
  </si>
  <si>
    <t>TORNILLO PARKER P/TARUGO DEL 8"</t>
  </si>
  <si>
    <t>TORNILLO PARA BASTIDOR LARGO BOLSAS</t>
  </si>
  <si>
    <t>TRANFORMADOR P/DICROICA 12 V X 50 W</t>
  </si>
  <si>
    <t>TUBOS 18/20  W</t>
  </si>
  <si>
    <t>TUBOS 36/40</t>
  </si>
  <si>
    <t>TUBOS 55W</t>
  </si>
  <si>
    <t>TUBOS 105 W</t>
  </si>
  <si>
    <t>Tubo led 18w T8 220v (reemplazo flurescente 36w) 120 cm - luz fría</t>
  </si>
  <si>
    <t>293-09785-0016</t>
  </si>
  <si>
    <t>Tapa rectangular - Tipo Jeluz platinum</t>
  </si>
  <si>
    <t>2.9.3-1455.111</t>
  </si>
  <si>
    <t>Zócalo Gu10 220v Dicroicas Ar111 Lámparas</t>
  </si>
  <si>
    <t>2.9.3-1579.42</t>
  </si>
  <si>
    <t>ZOCALO PARA TUBOS 105 W (JUEGO)</t>
  </si>
  <si>
    <t>Zapatilla 4 tomas con cable 2,5 / 3 mts. - con llave de corte (Tipo Kalop, Richi, Cambre o calidad superior)</t>
  </si>
  <si>
    <t>293-01766-0001</t>
  </si>
  <si>
    <t>PINTURA</t>
  </si>
  <si>
    <t>CEPILLO ALAMBRE ACERO CON MANGO</t>
  </si>
  <si>
    <t>CINTA ENMASCARAR X 12 MM</t>
  </si>
  <si>
    <t>Diluyente - Envase x 4L</t>
  </si>
  <si>
    <t>81-0047-OC24</t>
  </si>
  <si>
    <t>2.5.5-5444.1</t>
  </si>
  <si>
    <t>Enduido - Lata x 10L</t>
  </si>
  <si>
    <t>2.5.5-381.3</t>
  </si>
  <si>
    <t>Esmalte sintético blanco - Lata x 4L</t>
  </si>
  <si>
    <t>2.5.5-6979.312</t>
  </si>
  <si>
    <t>ENDUIDO PLASTICO AL AGUA LATA X 20 KG</t>
  </si>
  <si>
    <t>ENTONADOR X 120 CC SIENA</t>
  </si>
  <si>
    <t>ENTONADOR X 120 CC AMARILLO</t>
  </si>
  <si>
    <t>ENTONADOR X 120 CC OCRE</t>
  </si>
  <si>
    <t>FIBRADO P/TECHO IMPERMEABILIZANTE LATA 20 KG</t>
  </si>
  <si>
    <t>Fijador - Lata x 10L</t>
  </si>
  <si>
    <t>2.5.5-578.13</t>
  </si>
  <si>
    <t>FIJADOR AL ACEITE LATA X 20 L</t>
  </si>
  <si>
    <t>FIJADOR AL AGUA LATA X 20 L</t>
  </si>
  <si>
    <t>Látex interior tipo SW7005 - Lata x 20L</t>
  </si>
  <si>
    <t>2.5.5-6979.350</t>
  </si>
  <si>
    <t>Látex interior tipo SW7010 - Lata x 20L</t>
  </si>
  <si>
    <t>Laca exterior brillante melacrílica - Lata x 0,5 L</t>
  </si>
  <si>
    <t>2.5.5-580.16</t>
  </si>
  <si>
    <t>LIJA Nº 400</t>
  </si>
  <si>
    <t>MASILLA PLASTICA LATA X 1 KG GRIS</t>
  </si>
  <si>
    <t>Pintura asfaltica - Lata x 18L</t>
  </si>
  <si>
    <t>2.5.5-6979.437</t>
  </si>
  <si>
    <t>Pintura alto tránsito (Amarillo) - Lata x 4L</t>
  </si>
  <si>
    <t>2.5.5-6979.373</t>
  </si>
  <si>
    <t>Pintura alto tránsito (Negro) - Lata x 4L</t>
  </si>
  <si>
    <t>PINTURA ESMALTE HIDROESMALTE X 4 LITROS</t>
  </si>
  <si>
    <t>PINTURA LATEX AL AGUA X 20 LITROS</t>
  </si>
  <si>
    <t>Papel de Lija N° 80 x 50</t>
  </si>
  <si>
    <t>81-0048-OC24</t>
  </si>
  <si>
    <t>2.3.4-999.17</t>
  </si>
  <si>
    <t>Papel de Lija N° 100 x 50</t>
  </si>
  <si>
    <t>2.3.4-999.19</t>
  </si>
  <si>
    <t>Papel de Lija N° 120 x 50</t>
  </si>
  <si>
    <t>2.3.4-999.21</t>
  </si>
  <si>
    <t>Pincel cerda larga N° 20</t>
  </si>
  <si>
    <t>2.9.9-1059.115</t>
  </si>
  <si>
    <t>Pincel cerda larga N° 25</t>
  </si>
  <si>
    <t>2.9.9-1059.189</t>
  </si>
  <si>
    <t>Pincel cerda larga N° 40</t>
  </si>
  <si>
    <t>2.9.9-1059.61</t>
  </si>
  <si>
    <t>Rollo de cartón corrugado 1 m x 30 metros</t>
  </si>
  <si>
    <t>2.3.4-4325.12</t>
  </si>
  <si>
    <t>REMOVEDOR X 4 LITROS</t>
  </si>
  <si>
    <t>Rodillo de lana de 22 cm</t>
  </si>
  <si>
    <t>2.9.9-1416.6</t>
  </si>
  <si>
    <t>VIRUTA EN BOLSAS</t>
  </si>
  <si>
    <t>YESO BOLSA X 10 KG</t>
  </si>
  <si>
    <t>LIBRERIA</t>
  </si>
  <si>
    <t>ABROCHADORA 21/6 pinza</t>
  </si>
  <si>
    <t>ABROCHADORA 10/50 pinza</t>
  </si>
  <si>
    <t>ABROCHADORA N°23 pinza</t>
  </si>
  <si>
    <t>ABROCHADORA ESCRITORIO 64</t>
  </si>
  <si>
    <t>Adhesivo tipo boligoma x 30 ml.</t>
  </si>
  <si>
    <t>81-0037-OC24</t>
  </si>
  <si>
    <t>2.9.2-262.40</t>
  </si>
  <si>
    <t>ADHESIVO VINILICO X 250 CC</t>
  </si>
  <si>
    <t>ADHESIVO VINILICO X 30 ML</t>
  </si>
  <si>
    <t>ADHESIVO BARRA</t>
  </si>
  <si>
    <t>ADHESIVO TRANSPARENTE X50 ML</t>
  </si>
  <si>
    <t>ARANDELAS DE CARTON</t>
  </si>
  <si>
    <t>ARCHIVOS PLASTICOS</t>
  </si>
  <si>
    <t>ALMOHADILLA PARA SELLOS</t>
  </si>
  <si>
    <t>Bandas elásticas grandes</t>
  </si>
  <si>
    <t>81-0038-OC24</t>
  </si>
  <si>
    <t>2.9.2-1428.23</t>
  </si>
  <si>
    <t>Bibliorato tamaño carta</t>
  </si>
  <si>
    <t>2.9.2-274.6</t>
  </si>
  <si>
    <t>Bibliorato tamaño oficio</t>
  </si>
  <si>
    <t>2.9.2-274.31</t>
  </si>
  <si>
    <t>Bolígrafo azul</t>
  </si>
  <si>
    <t>2.9.2-317.32</t>
  </si>
  <si>
    <t>BOLIGRAFO NEGRO</t>
  </si>
  <si>
    <t>Bolígrafo rojo</t>
  </si>
  <si>
    <t>BOLIGRAFO VERDE</t>
  </si>
  <si>
    <t>BROCHE P/ABROCHADORA 21/6</t>
  </si>
  <si>
    <t>Broches P/abrochadora 10</t>
  </si>
  <si>
    <t>2.9.2-700.28</t>
  </si>
  <si>
    <t>BROCHE P/ABROCHADORA 64</t>
  </si>
  <si>
    <t>BROCHE P/ABROCHADORA N° 23/10   23/24</t>
  </si>
  <si>
    <t>BROCHE DORADO N° 4</t>
  </si>
  <si>
    <t>BROCHE DORADO Nº 8</t>
  </si>
  <si>
    <t>BROCHE DORADO Nº 12</t>
  </si>
  <si>
    <t>BROCHE DORADO N° 14</t>
  </si>
  <si>
    <t>BROCHE APRIETA PAPEL 41 mm</t>
  </si>
  <si>
    <t>BROCHE APRIETA PAPEL 25 mm</t>
  </si>
  <si>
    <t>Cajas plásticas</t>
  </si>
  <si>
    <t>81-0039-OC24</t>
  </si>
  <si>
    <t>2.9.2-850.1</t>
  </si>
  <si>
    <t>CORRECTOR EN LAPIZ</t>
  </si>
  <si>
    <t>CARPETA CARATULA A4</t>
  </si>
  <si>
    <t>CARPETA CARTULINA OFICIO  26X36</t>
  </si>
  <si>
    <t>Carpeta presupuesto tapa transparente A4</t>
  </si>
  <si>
    <t>2.9.2-1358.398</t>
  </si>
  <si>
    <t>Carpeta tres solapas</t>
  </si>
  <si>
    <t>81-0040-OC24</t>
  </si>
  <si>
    <t>2.9.2-1358.59</t>
  </si>
  <si>
    <t>CARPETA TAPA PLASTICA TRANSP. OFICIO</t>
  </si>
  <si>
    <t>CARPET TRANSP. A 4 TIPO SOBRE</t>
  </si>
  <si>
    <t>CARPETA P/FICHERO CARTULINA OFICIO INTERNA</t>
  </si>
  <si>
    <t>CARPETA OFICIO CON OREJAS</t>
  </si>
  <si>
    <t>CARPETA 3 SOLAPAS CON ELASTICO</t>
  </si>
  <si>
    <t>2.9.2-1358.3</t>
  </si>
  <si>
    <t>CARPETA C/BROCHE NEPACO</t>
  </si>
  <si>
    <t>CARPETA COLGANTE CON VISOR</t>
  </si>
  <si>
    <t>Cinta para embalar Marrón 5 cm x 50 mts</t>
  </si>
  <si>
    <t>81-0041-OC24</t>
  </si>
  <si>
    <t>2.3.4-734.75</t>
  </si>
  <si>
    <t>Cinta para embalar Transparente 5 cm x 50 mts</t>
  </si>
  <si>
    <t>2.3.4-734.11</t>
  </si>
  <si>
    <t>CINTA DE PAPEL ENMASCARAR 48 mm x 50 mts</t>
  </si>
  <si>
    <t>Clips N° 3</t>
  </si>
  <si>
    <t>2.9.2-660.28</t>
  </si>
  <si>
    <t>CUADERNO CORRESPONDENCIA</t>
  </si>
  <si>
    <t>CUADERNO INDICE</t>
  </si>
  <si>
    <t>Cuaderno tapa dura rayado x 50 hojas</t>
  </si>
  <si>
    <t>2.3.1-6587.347</t>
  </si>
  <si>
    <t>Cuaderno tipo universitario rayado</t>
  </si>
  <si>
    <t>2.3.1-6587.267</t>
  </si>
  <si>
    <t>Cuaderno tipo universitario cuadriculado</t>
  </si>
  <si>
    <t>2.3.1-6587.266</t>
  </si>
  <si>
    <t>Cúter</t>
  </si>
  <si>
    <t>2.9.2-790.30</t>
  </si>
  <si>
    <t>Folio A4 paquete x 100 unidades</t>
  </si>
  <si>
    <t>2.9.2-1611.3</t>
  </si>
  <si>
    <t>FOLIOS OFICIO</t>
  </si>
  <si>
    <t>GOMA BORRA TINTA Y LAPIZ</t>
  </si>
  <si>
    <t>GOMA BORRAR LAPIZ</t>
  </si>
  <si>
    <t>Hilo Plástico</t>
  </si>
  <si>
    <t>2.9.2-851.16</t>
  </si>
  <si>
    <t>LAPIZ NEGRO 2H</t>
  </si>
  <si>
    <t>LAPIZ NEGRO 2 B</t>
  </si>
  <si>
    <t>LAPIZ  2HB</t>
  </si>
  <si>
    <t>Libro de actas 400 folios</t>
  </si>
  <si>
    <t>81-0042-OC24</t>
  </si>
  <si>
    <t>2.3.1-6587.404</t>
  </si>
  <si>
    <t>Lomo para Bibliorato (paquete x 20 unidades)</t>
  </si>
  <si>
    <t>2.3.1-1650.1</t>
  </si>
  <si>
    <t>Máquina perforadora grande</t>
  </si>
  <si>
    <t>2.9.2-858.7</t>
  </si>
  <si>
    <t>MARCADOR PIZARRA NEGRO</t>
  </si>
  <si>
    <t>MARCADOR PIZARRA ROJO</t>
  </si>
  <si>
    <t>Marcador al agua azul</t>
  </si>
  <si>
    <t>81-0043-OC24</t>
  </si>
  <si>
    <t>2.9.2-1616.25</t>
  </si>
  <si>
    <t>Marcador al agua negro</t>
  </si>
  <si>
    <t>2.9.2-1616.1</t>
  </si>
  <si>
    <t>Marcador al agua rojo</t>
  </si>
  <si>
    <t>2.9.2-1616.57</t>
  </si>
  <si>
    <t>Marcador al agua verde</t>
  </si>
  <si>
    <t>2.9.2-1616.66</t>
  </si>
  <si>
    <t>MARCADOR TRAZO FINO AZUL</t>
  </si>
  <si>
    <t>MARCADOR INDELEBLE AZUL</t>
  </si>
  <si>
    <t>MARCADOR INDELEBLE NEGRO</t>
  </si>
  <si>
    <t>MARCADOR NEGRO AL SOLVENTE</t>
  </si>
  <si>
    <t>MARCADOR AZUL AL SOLVENTE</t>
  </si>
  <si>
    <t>MARCADOR CELESTE AL SOLVENTE</t>
  </si>
  <si>
    <t>MARCADOR ROJO AL SOLVENTE</t>
  </si>
  <si>
    <t>MARCADOR VERDE AL SOLVENTE</t>
  </si>
  <si>
    <t>MARCADOR CELESTE AL SOVENTE</t>
  </si>
  <si>
    <t>Papel obra A4</t>
  </si>
  <si>
    <t>81-0018-OC25</t>
  </si>
  <si>
    <t>2.3.1-9896.10</t>
  </si>
  <si>
    <t>PAPEL OBRA OFICIO</t>
  </si>
  <si>
    <t>PAPEL OBRA A3 80 grs</t>
  </si>
  <si>
    <t>PAPEL CARBONICO</t>
  </si>
  <si>
    <t>PAPEL CORRECTOR PARA MAQ ESCRIBIR</t>
  </si>
  <si>
    <t>PAPEL PARA MAQUINA DE SUMAR</t>
  </si>
  <si>
    <t>PORTA CINTA CHICO</t>
  </si>
  <si>
    <t>PORTA CINTA GRANDE</t>
  </si>
  <si>
    <t>PORTA LAPICES</t>
  </si>
  <si>
    <t>PORTA TACOS  9 X9</t>
  </si>
  <si>
    <t>PORTACLIPS PLASTICO</t>
  </si>
  <si>
    <t>REGLA PLASTICA  X 30 CMTS</t>
  </si>
  <si>
    <t>REGLAT/PLANA METAL 100cm</t>
  </si>
  <si>
    <t>REGLA T/PLANA METAL 50 cm</t>
  </si>
  <si>
    <t>REPUESTO HOJA DE CUTER</t>
  </si>
  <si>
    <t>Resaltadores color amarillo</t>
  </si>
  <si>
    <t>2.9.2-1354.28</t>
  </si>
  <si>
    <t>Resaltadores color verde</t>
  </si>
  <si>
    <t>2.9.2-1354.29</t>
  </si>
  <si>
    <t>Resaltadores color naranja</t>
  </si>
  <si>
    <t>2.9.2-1354.16</t>
  </si>
  <si>
    <t>Resaltadores color rosa</t>
  </si>
  <si>
    <t>Resaltadores color celeste</t>
  </si>
  <si>
    <t xml:space="preserve">SACABROCHES PLASTICO </t>
  </si>
  <si>
    <t>Sacapuntas</t>
  </si>
  <si>
    <t>2.9.2-696.6</t>
  </si>
  <si>
    <t>SELLO FECHADOR</t>
  </si>
  <si>
    <t>SELLO NUMERADOR</t>
  </si>
  <si>
    <t>SEPARADOR A4 JGO. X 5 UNIDADES</t>
  </si>
  <si>
    <t>SOBRE BLANCO 11X 22 CON MEMBRETE</t>
  </si>
  <si>
    <t>SOBRE BLANCO 15X23 SIN MEMBRETE</t>
  </si>
  <si>
    <t>SOBRE BLANCO 15 X 23 CON MEMBRETE</t>
  </si>
  <si>
    <t>SOBRE BLANCO 12 X 23 SIN MEMBRETE</t>
  </si>
  <si>
    <t>SOBRE BLANCO KRAFT 16 X 22 CON MEMBRETE</t>
  </si>
  <si>
    <t>SOBRE BLANCO KRAFT 25 X 20 CON MEMBRETE</t>
  </si>
  <si>
    <t>SOBRE BLANCO KRAFT 24 X 30 SIN MEMBRETE</t>
  </si>
  <si>
    <t>SOBRE KRAFT A4 MARRON 23 X 32 S/MEMBRETE</t>
  </si>
  <si>
    <t>SOBRE KRAFT OFICIO MARRON 23x 36 S/MEMBRETE</t>
  </si>
  <si>
    <t>SOBRE MADERA 27 X 36 CON MEMBRETE</t>
  </si>
  <si>
    <t>SOBRE MADERA 30 X 40 CON MEMBRETE</t>
  </si>
  <si>
    <t xml:space="preserve">SOBRE BOLSA MADERA 37 X 45 SIN MEMBRETE </t>
  </si>
  <si>
    <t>Tacos de colores 9 x 9</t>
  </si>
  <si>
    <t>2.9.2-1466.1</t>
  </si>
  <si>
    <t>TIJERAS CHICA</t>
  </si>
  <si>
    <t>Tijeras</t>
  </si>
  <si>
    <t>2.9.2-758.34</t>
  </si>
  <si>
    <t>TINTA NEGRA PARA SELLOS</t>
  </si>
  <si>
    <t>TINTA AZUL PARA SELLOS</t>
  </si>
  <si>
    <t>2.3.3-1450.6</t>
  </si>
  <si>
    <t>CABLE CANAL</t>
  </si>
  <si>
    <t xml:space="preserve">ACOPLE RECTO 10 X 20 </t>
  </si>
  <si>
    <t xml:space="preserve">ACOPLE RECTO 40 X 16 </t>
  </si>
  <si>
    <t>CODO EXTERNO 20X10</t>
  </si>
  <si>
    <t xml:space="preserve">TIRAS PISO </t>
  </si>
  <si>
    <t>TIRAS 21 x 18 m.m.</t>
  </si>
  <si>
    <t>TIRAS 10 X 20</t>
  </si>
  <si>
    <t>TIRAS 50X100</t>
  </si>
  <si>
    <t>TIRAS 14 X 7</t>
  </si>
  <si>
    <t xml:space="preserve">DERIVACION T 10 X 20 </t>
  </si>
  <si>
    <t>VESTIMENTA</t>
  </si>
  <si>
    <t>BORCEGUI SUELA GOMA CAÑA LARGA</t>
  </si>
  <si>
    <t>BUZO AZUL C/LOGO MINISTERIO DEL INTERIOR</t>
  </si>
  <si>
    <t>CALZADO SEGURIDAD C/PUNTA DE ACERO</t>
  </si>
  <si>
    <t>CALZADO PARA HOMBRE</t>
  </si>
  <si>
    <t>CALZADO PARA DAMA</t>
  </si>
  <si>
    <t>CAMISA BLANCA PARA MOZA</t>
  </si>
  <si>
    <t>CAMISA BLANCA DE MUJER C/LOGO M/LARGA</t>
  </si>
  <si>
    <t>CAMISA BLANCA VESTIR DE HOMBRE</t>
  </si>
  <si>
    <t>CAMISA BLANCA HOMBRE C/LOGO</t>
  </si>
  <si>
    <t>CAMISA CELESTE VESTIR</t>
  </si>
  <si>
    <t>CAMISA DE TRABAJO HOMBRE CARGO C/ BEIGE</t>
  </si>
  <si>
    <t>CAMISA TRABAJO AZULINO</t>
  </si>
  <si>
    <t>CAMISA TRABAJO BLANCA</t>
  </si>
  <si>
    <t>CAMISA BLANCA M/CORTA  CON LOGO VIVIENDA</t>
  </si>
  <si>
    <t>CAMISA BLANCA M/LARGA CON LOGO VIVIENDA</t>
  </si>
  <si>
    <t>CAMPERA CON LOGO MINISTERIO Y VIVIENDA</t>
  </si>
  <si>
    <t>CAMPERA IMPERMEABLE C/CAPUCHA</t>
  </si>
  <si>
    <t>CARDIGAN CON LOGO MINISTERIO</t>
  </si>
  <si>
    <t>CASCOS SEGURIDAD</t>
  </si>
  <si>
    <t>CHALECO MOZO NEGRO</t>
  </si>
  <si>
    <t>CHOMBA AZUL C/LOGO MINISTERIO DEL INTERIOR</t>
  </si>
  <si>
    <t>CHOMBAS CON LOGO MINISTERIO Y VIVIENDA</t>
  </si>
  <si>
    <t>CORBATA AZUL</t>
  </si>
  <si>
    <t>DELANTAL BLANCO COCINA</t>
  </si>
  <si>
    <t>PANTALON BLANCO TRABAJO</t>
  </si>
  <si>
    <t>PANTALON NEGRO DE GABARDINA PARA MOZO</t>
  </si>
  <si>
    <t>PANTALON NEGRO VESTIR HOMBRE</t>
  </si>
  <si>
    <t>PANTALON NEGRO PARA MOZA</t>
  </si>
  <si>
    <t>PANTALON DE TRABAJO CARGO COLOR BEIGE</t>
  </si>
  <si>
    <t>POLAINAS DESCARNE PARA SOLDADOR</t>
  </si>
  <si>
    <t>PULLOVER LANA</t>
  </si>
  <si>
    <t>SWEATER CON LOGO</t>
  </si>
  <si>
    <t>SACO CRUZADO DE VESTIR</t>
  </si>
  <si>
    <t>SACO MOZO NEGRO</t>
  </si>
  <si>
    <t>TERMOFUSION</t>
  </si>
  <si>
    <t>CAÑO 20 MM X 4 MTS</t>
  </si>
  <si>
    <t>CAÑO 25 MM X 4 MTS</t>
  </si>
  <si>
    <t>CAÑO 32 MM X 4 MTS</t>
  </si>
  <si>
    <t>CODO 90 º X 25 MM</t>
  </si>
  <si>
    <t>CODO 90 º X 32 MM</t>
  </si>
  <si>
    <t>CODO 90 º X 25 MM X 1/2" C/REDUCCION HEMBRA</t>
  </si>
  <si>
    <t>CODO 90 º X 25 MM X 3/4" C/REDUCCION HEMBRA</t>
  </si>
  <si>
    <t>CODO 45 º X 20 MM</t>
  </si>
  <si>
    <t>CODO 45 º X 25 MM</t>
  </si>
  <si>
    <t>CODO 45 º X 32 MM</t>
  </si>
  <si>
    <t>CUPLA  REDUCCION 25 MM A 20 MM</t>
  </si>
  <si>
    <t>CUPLA  REDUCCION 32 MM A 20 MM</t>
  </si>
  <si>
    <t>CUPLA  REDUCCION 32 MM A 25 MM</t>
  </si>
  <si>
    <t>REDUCCION X 25 MM X 1/2" MACHO</t>
  </si>
  <si>
    <t>REDUCCION EN T 20 MM X 1/2</t>
  </si>
  <si>
    <t xml:space="preserve">REDUCCION EN T X 25 MM X 3/4" MACHO </t>
  </si>
  <si>
    <t>REDUCCION X 32 MM X 1" MACHO</t>
  </si>
  <si>
    <t>REDUCCION X 25 MM X 1/2" HEMBRA</t>
  </si>
  <si>
    <t>REDUCCION X 25 MM X 3/4" HEMBRA</t>
  </si>
  <si>
    <t>REDUCCION X 32 MM X 1" HEMBRA</t>
  </si>
  <si>
    <t>TAPA DE 25 MM</t>
  </si>
  <si>
    <t>TAPA DE 32 MM</t>
  </si>
  <si>
    <t>TAPON DE 3/4"</t>
  </si>
  <si>
    <t>UNION NORMAL 20 MM</t>
  </si>
  <si>
    <t>UNION NORMAL 25 MM</t>
  </si>
  <si>
    <t>UNION NORMAL 32 MM</t>
  </si>
  <si>
    <t xml:space="preserve">UNION EN T REDUCCIÒN 25 A 20 MM </t>
  </si>
  <si>
    <t>UNION EN T REDUCCIÒN 32 A 20 MM</t>
  </si>
  <si>
    <t>UNION EN T REDUCCIÒN 32 A 25 MM</t>
  </si>
  <si>
    <t>UNION DOBLE MIXTA 20 MM  X 1/2"</t>
  </si>
  <si>
    <t>UNION DOBLE MIXTA 25 MM  X 3/4"</t>
  </si>
  <si>
    <t>UNION DOBLE MIXTA 32 MM X 1"</t>
  </si>
  <si>
    <t>VARIOS</t>
  </si>
  <si>
    <t>AMOLADORA ANGULAR DE BANCO 150 MM 250 WATTS</t>
  </si>
  <si>
    <t>BARBIJOS</t>
  </si>
  <si>
    <t>CINTA DESTAPA CAÑERIA X 15 MTS METALICA</t>
  </si>
  <si>
    <t>CINTA DESTAPA CAÑERIA X 10 MTS PLASTICA</t>
  </si>
  <si>
    <t>CHISPERO PARA AUTÒGENA</t>
  </si>
  <si>
    <t xml:space="preserve">DESTORNILLADORES CHICOS (3 PHILIPS + 3 PLANOS) </t>
  </si>
  <si>
    <t>DISCO P/AMOLADORA TIPO ABRASIVO</t>
  </si>
  <si>
    <t>FRATACHO</t>
  </si>
  <si>
    <t>HOJA PARA SIERRA PARA CALADORA TIPO EXPERTO</t>
  </si>
  <si>
    <t>PINZA PELA CABLE</t>
  </si>
  <si>
    <t>RUEDA DE GOMA</t>
  </si>
  <si>
    <t>SIERRA CIRCULAR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</si>
</sst>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 &quot;$&quot;\ * #,##0.00000_ ;_ &quot;$&quot;\ * \-#,##0.00000_ ;_ &quot;$&quot;\ * &quot;-&quot;??_ ;_ @_ "/>
  </numFmts>
  <fonts count="5">
    <font>
      <sz val="11"/>
      <color theme="1"/>
      <name val="Calibri"/>
      <family val="2"/>
      <scheme val="minor"/>
    </font>
    <font>
      <sz val="11"/>
      <name val="Calibri"/>
    </font>
    <font>
      <sz val="10"/>
      <color rgb="FF17365D"/>
      <name val="Arial"/>
    </font>
    <font>
      <sz val="9"/>
      <color rgb="FF17365D"/>
      <name val="Arial"/>
    </font>
    <font>
      <sz val="11"/>
      <color rgb="FF333333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%20DE%20STOCK%20-%20ALMACENES-stock-2024-2025-CON%20EXISTENCIA%20PREVIA-nueva%20formula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y Compras"/>
      <sheetName val="Pedidos"/>
      <sheetName val="Consolidado"/>
      <sheetName val="CIERRE POR RUBRO"/>
    </sheetNames>
    <sheetDataSet>
      <sheetData sheetId="0"/>
      <sheetData sheetId="1">
        <row r="1">
          <cell r="D1" t="str">
            <v>ORDEN DE COMPRA</v>
          </cell>
          <cell r="E1" t="str">
            <v>RENGLÓN</v>
          </cell>
          <cell r="F1" t="str">
            <v>BIEN</v>
          </cell>
          <cell r="G1" t="str">
            <v>CANTIDAD ENTREGADA</v>
          </cell>
        </row>
        <row r="2">
          <cell r="D2" t="str">
            <v>81-0080-OC24</v>
          </cell>
          <cell r="E2">
            <v>1</v>
          </cell>
          <cell r="F2" t="str">
            <v>EQUIPO SPLIT DE 4500 FRIGORÍAS - TIPO DE CLIMATIZACIÓNFRIO/CALOR - EFICIENCIA ENERGÉTICA DE CLASE C O MAYOR</v>
          </cell>
          <cell r="G2">
            <v>2</v>
          </cell>
        </row>
        <row r="3">
          <cell r="D3" t="str">
            <v>81-0081-OC24</v>
          </cell>
          <cell r="E3">
            <v>2</v>
          </cell>
          <cell r="F3" t="str">
            <v>EQUIPO SPLIT DE 6000 FRIGORÍAS - TIPO DE CLIMATIZACIÓN
FRIO/CALOR - EFICIENCIA ENERGÉTICA DE CLASE C O MAYOR EN CALEFACCIÓN Y A EN REFRIGERACIÓN - NO CONVERTER</v>
          </cell>
          <cell r="G3">
            <v>3</v>
          </cell>
        </row>
        <row r="4">
          <cell r="D4" t="str">
            <v>81-0082-OC24</v>
          </cell>
          <cell r="E4">
            <v>9</v>
          </cell>
          <cell r="F4" t="str">
            <v>ROLLO DE 2 METROS DE TIRA DE AISLACIÓN TÉRMICA PARA CAÑOS DE 1/2</v>
          </cell>
          <cell r="G4">
            <v>2</v>
          </cell>
        </row>
        <row r="5">
          <cell r="D5" t="str">
            <v>81-0082-OC24</v>
          </cell>
          <cell r="E5">
            <v>10</v>
          </cell>
          <cell r="F5" t="str">
            <v>ROLLO DE 2 METROS DE TIRA DE AISLACIÓN TÉRMICA PARA CAÑOS DE 1/4</v>
          </cell>
          <cell r="G5">
            <v>4</v>
          </cell>
        </row>
        <row r="6">
          <cell r="D6" t="str">
            <v>81-0082-OC24</v>
          </cell>
          <cell r="E6">
            <v>11</v>
          </cell>
          <cell r="F6" t="str">
            <v>CINTA DE PVC PARA REFRIGERACIÓN, SIN ADHESIVO – ROLLO DE 20 METROS</v>
          </cell>
          <cell r="G6">
            <v>2</v>
          </cell>
        </row>
        <row r="7">
          <cell r="D7" t="str">
            <v>81-0082-OC24</v>
          </cell>
          <cell r="E7">
            <v>13</v>
          </cell>
          <cell r="F7" t="str">
            <v>MENSULAS PARA AIRE ACONDICIONADO DE 4500 A 6000 FRIGORIAS, 50X50 APROXIMADAMENTE</v>
          </cell>
          <cell r="G7">
            <v>1</v>
          </cell>
        </row>
        <row r="8">
          <cell r="D8" t="str">
            <v>81-0082-OC24</v>
          </cell>
          <cell r="E8">
            <v>14</v>
          </cell>
          <cell r="F8" t="str">
            <v>GARRAFA REFRIGERANTE R410</v>
          </cell>
          <cell r="G8">
            <v>1</v>
          </cell>
        </row>
        <row r="9">
          <cell r="D9" t="str">
            <v>81-0082-OC24</v>
          </cell>
          <cell r="E9">
            <v>15</v>
          </cell>
          <cell r="F9" t="str">
            <v>GARRAFA REFRIGERANTE R22</v>
          </cell>
          <cell r="G9">
            <v>1</v>
          </cell>
        </row>
        <row r="10">
          <cell r="D10" t="str">
            <v>81-0082-OC24</v>
          </cell>
          <cell r="E10">
            <v>16</v>
          </cell>
          <cell r="F10" t="str">
            <v>MANGUERA CRISTAL PARA DESAGÜE DE 5/8" – ROLLO DE 50 METROS (PRECIO POR METRO)</v>
          </cell>
          <cell r="G10">
            <v>25</v>
          </cell>
        </row>
        <row r="11">
          <cell r="D11" t="str">
            <v>81-0082-OC24</v>
          </cell>
          <cell r="E11">
            <v>17</v>
          </cell>
          <cell r="F11" t="str">
            <v>TACO DE GOMA, AMORTIGUADOR ANTIVIBRACIÓN – BOLSA X 4 UNIDADES</v>
          </cell>
          <cell r="G11">
            <v>1</v>
          </cell>
        </row>
        <row r="12">
          <cell r="D12" t="str">
            <v>81-0082-OC24</v>
          </cell>
          <cell r="E12">
            <v>20</v>
          </cell>
          <cell r="F12" t="str">
            <v>CAJA DE 200 TORNILLOS TIRAFONDO PARA TARUGO DE 10MM - PRECIO POR UNIDAD</v>
          </cell>
          <cell r="G12">
            <v>8</v>
          </cell>
        </row>
        <row r="13">
          <cell r="D13" t="str">
            <v>81-0082-OC24</v>
          </cell>
          <cell r="E13">
            <v>21</v>
          </cell>
          <cell r="F13" t="str">
            <v>CAJA DE 200 TORNILLOS TIRAFONDO PARA TARUGO DE 8MM</v>
          </cell>
          <cell r="G13">
            <v>16</v>
          </cell>
        </row>
        <row r="14">
          <cell r="D14" t="str">
            <v>81-0082-OC24</v>
          </cell>
          <cell r="E14">
            <v>18</v>
          </cell>
          <cell r="F14" t="str">
            <v>CAJA DE 200 TARUGOS MULTIPROPÓSITOS DE 8MM</v>
          </cell>
          <cell r="G14">
            <v>16</v>
          </cell>
        </row>
        <row r="15">
          <cell r="D15" t="str">
            <v>81-0082-OC24</v>
          </cell>
          <cell r="E15">
            <v>19</v>
          </cell>
          <cell r="F15" t="str">
            <v>CAJA DE 200 TARUGOS MULTIPROPÓSITOS DE 10MM</v>
          </cell>
          <cell r="G15">
            <v>8</v>
          </cell>
        </row>
        <row r="16">
          <cell r="D16" t="str">
            <v>81-0082-OC24</v>
          </cell>
          <cell r="E16">
            <v>22</v>
          </cell>
          <cell r="F16" t="str">
            <v>CAJA DE 200 ARANDELAS PLANAS PARA TARUGOS DE 10MM</v>
          </cell>
          <cell r="G16">
            <v>16</v>
          </cell>
        </row>
        <row r="17">
          <cell r="D17" t="str">
            <v>81-0082-OC24</v>
          </cell>
          <cell r="E17">
            <v>23</v>
          </cell>
          <cell r="F17" t="str">
            <v>CAJA DE 200 ARANDELAS PLANAS PARA TARUGOS DE 8MM</v>
          </cell>
          <cell r="G17">
            <v>8</v>
          </cell>
        </row>
        <row r="18">
          <cell r="D18" t="str">
            <v>81-0082-OC24</v>
          </cell>
          <cell r="E18">
            <v>8</v>
          </cell>
          <cell r="F18" t="str">
            <v>ROLLO DE 2 METROS DE TIRA DE AISLACIÓN TÉRMICA PARA CAÑOS DE 3/8</v>
          </cell>
          <cell r="G18">
            <v>2</v>
          </cell>
        </row>
        <row r="19">
          <cell r="D19" t="str">
            <v>81-0038-OC24</v>
          </cell>
          <cell r="E19">
            <v>2</v>
          </cell>
          <cell r="F19" t="str">
            <v>Bandas elásticas grandes</v>
          </cell>
          <cell r="G19">
            <v>17</v>
          </cell>
        </row>
        <row r="20">
          <cell r="D20" t="str">
            <v>81-0037-OC24</v>
          </cell>
          <cell r="E20">
            <v>3</v>
          </cell>
          <cell r="F20" t="str">
            <v>Bibliorato tamaño carta</v>
          </cell>
          <cell r="G20">
            <v>13</v>
          </cell>
        </row>
        <row r="21">
          <cell r="D21" t="str">
            <v>81-0037-OC24</v>
          </cell>
          <cell r="E21">
            <v>4</v>
          </cell>
          <cell r="F21" t="str">
            <v>Bibliorato tamaño oficio</v>
          </cell>
          <cell r="G21">
            <v>24</v>
          </cell>
        </row>
        <row r="22">
          <cell r="D22" t="str">
            <v>81-0037-OC24</v>
          </cell>
          <cell r="E22">
            <v>5</v>
          </cell>
          <cell r="F22" t="str">
            <v>Bolígrafo azul</v>
          </cell>
          <cell r="G22">
            <v>294</v>
          </cell>
        </row>
        <row r="23">
          <cell r="D23" t="str">
            <v>81-0037-OC24</v>
          </cell>
          <cell r="E23">
            <v>9</v>
          </cell>
          <cell r="F23" t="str">
            <v>Carpeta presupuesto tapa transparente A4</v>
          </cell>
          <cell r="G23">
            <v>188</v>
          </cell>
        </row>
        <row r="24">
          <cell r="D24" t="str">
            <v>81-0040-OC24</v>
          </cell>
          <cell r="E24">
            <v>10</v>
          </cell>
          <cell r="F24" t="str">
            <v>Carpeta tres solapas</v>
          </cell>
          <cell r="G24">
            <v>120</v>
          </cell>
        </row>
        <row r="25">
          <cell r="D25" t="str">
            <v>81-0038-OC24</v>
          </cell>
          <cell r="E25">
            <v>14</v>
          </cell>
          <cell r="F25" t="str">
            <v>Cuaderno tapa dura rayado x 50 hojas</v>
          </cell>
          <cell r="G25">
            <v>37</v>
          </cell>
        </row>
        <row r="26">
          <cell r="D26" t="str">
            <v>81-0037-OC24</v>
          </cell>
          <cell r="E26">
            <v>15</v>
          </cell>
          <cell r="F26" t="str">
            <v>Cuaderno tipo universitario rayado</v>
          </cell>
          <cell r="G26">
            <v>81</v>
          </cell>
        </row>
        <row r="27">
          <cell r="D27" t="str">
            <v>81-0037-OC24</v>
          </cell>
          <cell r="E27">
            <v>16</v>
          </cell>
          <cell r="F27" t="str">
            <v>Cuaderno tipo universitario cuadriculado</v>
          </cell>
          <cell r="G27">
            <v>122</v>
          </cell>
        </row>
        <row r="28">
          <cell r="D28" t="str">
            <v>81-0041-OC24</v>
          </cell>
          <cell r="E28">
            <v>18</v>
          </cell>
          <cell r="F28" t="str">
            <v>Folio A4 paquete x 100 unidades</v>
          </cell>
          <cell r="G28">
            <v>2615</v>
          </cell>
        </row>
        <row r="29">
          <cell r="D29" t="str">
            <v>81-0042-OC24</v>
          </cell>
          <cell r="E29">
            <v>20</v>
          </cell>
          <cell r="F29" t="str">
            <v>Libro de actas 400 folios</v>
          </cell>
          <cell r="G29">
            <v>8</v>
          </cell>
        </row>
        <row r="30">
          <cell r="D30" t="str">
            <v>81-0039-OC24</v>
          </cell>
          <cell r="E30">
            <v>22</v>
          </cell>
          <cell r="F30" t="str">
            <v>Máquina perforadora grande</v>
          </cell>
          <cell r="G30">
            <v>7</v>
          </cell>
        </row>
        <row r="31">
          <cell r="D31" t="str">
            <v>81-0038-OC24</v>
          </cell>
          <cell r="E31">
            <v>27</v>
          </cell>
          <cell r="F31" t="str">
            <v>Resaltadores color amarillo</v>
          </cell>
          <cell r="G31">
            <v>130</v>
          </cell>
        </row>
        <row r="32">
          <cell r="D32" t="str">
            <v>81-0038-OC24</v>
          </cell>
          <cell r="E32">
            <v>28</v>
          </cell>
          <cell r="F32" t="str">
            <v>Resaltadores color verde</v>
          </cell>
          <cell r="G32">
            <v>123</v>
          </cell>
        </row>
        <row r="33">
          <cell r="D33" t="str">
            <v>81-0038-OC24</v>
          </cell>
          <cell r="E33">
            <v>29</v>
          </cell>
          <cell r="F33" t="str">
            <v>Resaltadores color naranja</v>
          </cell>
          <cell r="G33">
            <v>102</v>
          </cell>
        </row>
        <row r="34">
          <cell r="D34" t="str">
            <v>81-0038-OC24</v>
          </cell>
          <cell r="E34">
            <v>30</v>
          </cell>
          <cell r="F34" t="str">
            <v>Resaltadores color rosa</v>
          </cell>
          <cell r="G34">
            <v>92</v>
          </cell>
        </row>
        <row r="35">
          <cell r="D35" t="str">
            <v>81-0038-OC24</v>
          </cell>
          <cell r="E35">
            <v>31</v>
          </cell>
          <cell r="F35" t="str">
            <v>Resaltadores color celeste</v>
          </cell>
          <cell r="G35">
            <v>104</v>
          </cell>
        </row>
        <row r="36">
          <cell r="D36" t="str">
            <v>81-0037-OC24</v>
          </cell>
          <cell r="E36">
            <v>32</v>
          </cell>
          <cell r="F36" t="str">
            <v>Sacapuntas</v>
          </cell>
          <cell r="G36">
            <v>56</v>
          </cell>
        </row>
        <row r="37">
          <cell r="D37" t="str">
            <v>81-0038-OC24</v>
          </cell>
          <cell r="E37">
            <v>34</v>
          </cell>
          <cell r="F37" t="str">
            <v>Tijeras</v>
          </cell>
          <cell r="G37">
            <v>4</v>
          </cell>
        </row>
        <row r="38">
          <cell r="D38" t="str">
            <v>81-0049-OC24</v>
          </cell>
          <cell r="E38">
            <v>1</v>
          </cell>
          <cell r="F38" t="str">
            <v>CONEXIONES P/ SANITARIOS; TIPO FLEXIBLE MALLADO -
MATERAIL ACERO INOXIDABLE - GOMA - LONG. DE CUERPO 40 CM - TIPO DE CONEXIÓN 1/2 PULGADAS</v>
          </cell>
          <cell r="G38">
            <v>18</v>
          </cell>
        </row>
        <row r="39">
          <cell r="D39" t="str">
            <v>81-0049-OC24</v>
          </cell>
          <cell r="E39">
            <v>2</v>
          </cell>
          <cell r="F39" t="str">
            <v>CONEXIONES P/ SANITARIOS; TIPO FLEXIBLE MALLADO -
MATERAIL ACERO INOXIDABLE - GOMA - LONG. DE CUERPO 30 CM - TIPO DE CONEXIÓN 1/2 PULGADAS</v>
          </cell>
          <cell r="G39">
            <v>5</v>
          </cell>
        </row>
        <row r="40">
          <cell r="D40" t="str">
            <v>81-0051-OC24</v>
          </cell>
          <cell r="E40">
            <v>4</v>
          </cell>
          <cell r="F40" t="str">
            <v>TAPAS P/ INODORO UNIVERSAL, MATERIAL: PVC REFORZADO</v>
          </cell>
          <cell r="G40">
            <v>28</v>
          </cell>
        </row>
        <row r="41">
          <cell r="D41" t="str">
            <v>81-0049-OC24</v>
          </cell>
          <cell r="E41">
            <v>5</v>
          </cell>
          <cell r="F41" t="str">
            <v>BOYA OBTURADOR UNIVERSAL REGULABLE PARA DEPOSITO EMBUTIR TIPO IDEAL 1450</v>
          </cell>
          <cell r="G41">
            <v>1</v>
          </cell>
        </row>
        <row r="42">
          <cell r="D42" t="str">
            <v>81-0052-OC24</v>
          </cell>
          <cell r="E42">
            <v>6</v>
          </cell>
          <cell r="F42" t="str">
            <v>TAPA PLASTICA PARA FRENTE DE DEPOSITO, PARA EMBUTIR CON BOTON A RESORTE DE BRONCE CROMADO Y
SOBRETAPA PLASTICA O METALICA</v>
          </cell>
          <cell r="G42">
            <v>4</v>
          </cell>
        </row>
        <row r="43">
          <cell r="D43" t="str">
            <v>81-0052-OC24</v>
          </cell>
          <cell r="E43">
            <v>9</v>
          </cell>
          <cell r="F43" t="str">
            <v>MASILLA EPOXI PARA SANITARIO X 500 GRS. MARCA PARSECS, POXILINA O SIMILAR</v>
          </cell>
          <cell r="G43">
            <v>7</v>
          </cell>
        </row>
        <row r="44">
          <cell r="D44" t="str">
            <v>81-0051-OC24</v>
          </cell>
          <cell r="E44">
            <v>14</v>
          </cell>
          <cell r="F44" t="str">
            <v>VALVULAS P/MINGITORIOS; ACCIONAMIENTO: MANUAL, VOLUMEN DE DESCARGA: REGULABLE TEMPORIZADORA,
MATERIAL: BRONCE CROMADO</v>
          </cell>
          <cell r="G44">
            <v>7</v>
          </cell>
        </row>
        <row r="45">
          <cell r="D45" t="str">
            <v>81-0052-OC24</v>
          </cell>
          <cell r="E45">
            <v>18</v>
          </cell>
          <cell r="F45" t="str">
            <v>KIT O'RING Y RETENES PARA VALVULA DESCARGA INODORO FV 368 (367.17)</v>
          </cell>
          <cell r="G45">
            <v>1</v>
          </cell>
        </row>
        <row r="46">
          <cell r="D46" t="str">
            <v>81-0054-OC24</v>
          </cell>
          <cell r="E46">
            <v>19</v>
          </cell>
          <cell r="F46" t="str">
            <v>ADHESIVO - CEMENTO DE CONTACTO; TIPO: DE CONTACTO, PRESENTACION: ENVASE X 1 L</v>
          </cell>
          <cell r="G46">
            <v>1</v>
          </cell>
        </row>
        <row r="47">
          <cell r="D47" t="str">
            <v>81-0054-OC24</v>
          </cell>
          <cell r="E47">
            <v>24</v>
          </cell>
          <cell r="F47" t="str">
            <v>TORNILLOS FIX CABEZA FRESADA RANURA PHILLIPS
ACABADO ZINCADO AMARILLO 4 X 35 MM</v>
          </cell>
          <cell r="G47">
            <v>30</v>
          </cell>
        </row>
        <row r="48">
          <cell r="D48" t="str">
            <v>81-0054-OC24</v>
          </cell>
          <cell r="E48">
            <v>26</v>
          </cell>
          <cell r="F48" t="str">
            <v>TORNILLOS FIX CABEZA FRESADA RANURA PHILLIPS
ACABADO ZINCADO AMARILLO 6 X 60 MM</v>
          </cell>
          <cell r="G48">
            <v>15</v>
          </cell>
        </row>
        <row r="49">
          <cell r="D49" t="str">
            <v>81-0050-OC24</v>
          </cell>
          <cell r="E49">
            <v>27</v>
          </cell>
          <cell r="F49" t="str">
            <v>Carga De Agua 1/2 PuLG P/mochila Capea O Mónaco</v>
          </cell>
          <cell r="G49">
            <v>3</v>
          </cell>
        </row>
        <row r="50">
          <cell r="D50" t="str">
            <v>81-0050-OC24</v>
          </cell>
          <cell r="E50">
            <v>28</v>
          </cell>
          <cell r="F50" t="str">
            <v>Válvula Descarga Mochila Deposito Para Roca Capea</v>
          </cell>
          <cell r="G50">
            <v>3</v>
          </cell>
        </row>
        <row r="51">
          <cell r="D51" t="str">
            <v>81-0054-OC24</v>
          </cell>
          <cell r="E51">
            <v>30</v>
          </cell>
          <cell r="F51" t="str">
            <v>Repuesto Deposito Mochila Entrada Agua Dealer 1/2 Boya 4110</v>
          </cell>
          <cell r="G51">
            <v>2</v>
          </cell>
        </row>
        <row r="52">
          <cell r="D52" t="str">
            <v>81-0052-OC24</v>
          </cell>
          <cell r="E52">
            <v>31</v>
          </cell>
          <cell r="F52" t="str">
            <v>Descarga Mochila Capea Roca Superior Cromado Repuesto Eco
Flush</v>
          </cell>
          <cell r="G52">
            <v>3</v>
          </cell>
        </row>
        <row r="53">
          <cell r="D53" t="str">
            <v>81-0047-OC24</v>
          </cell>
          <cell r="E53">
            <v>1</v>
          </cell>
          <cell r="F53" t="str">
            <v>Enduido - Lata x 10L</v>
          </cell>
          <cell r="G53">
            <v>4</v>
          </cell>
        </row>
        <row r="54">
          <cell r="D54" t="str">
            <v>81-0047-OC24</v>
          </cell>
          <cell r="E54">
            <v>6</v>
          </cell>
          <cell r="F54" t="str">
            <v>Esmalte sintético blanco - Lata x 4L</v>
          </cell>
          <cell r="G54">
            <v>3</v>
          </cell>
        </row>
        <row r="55">
          <cell r="D55" t="str">
            <v>81-0047-OC24</v>
          </cell>
          <cell r="E55">
            <v>7</v>
          </cell>
          <cell r="F55" t="str">
            <v>Laca exterior brillante melacrílica - Lata x 0,5 L</v>
          </cell>
          <cell r="G55">
            <v>2</v>
          </cell>
        </row>
        <row r="56">
          <cell r="D56" t="str">
            <v>81-0047-OC24</v>
          </cell>
          <cell r="E56">
            <v>8</v>
          </cell>
          <cell r="F56" t="str">
            <v>Pintura alto tránsito (Amarillo) - Lata x 4L</v>
          </cell>
          <cell r="G56">
            <v>1</v>
          </cell>
        </row>
        <row r="57">
          <cell r="D57" t="str">
            <v>81-0047-OC24</v>
          </cell>
          <cell r="E57">
            <v>10</v>
          </cell>
          <cell r="F57" t="str">
            <v>Diluyente - Envase x 4L</v>
          </cell>
          <cell r="G57">
            <v>3</v>
          </cell>
        </row>
        <row r="58">
          <cell r="D58" t="str">
            <v>81-0048-OC24</v>
          </cell>
          <cell r="E58">
            <v>12</v>
          </cell>
          <cell r="F58" t="str">
            <v>Papel de Lija N° 100 x 50</v>
          </cell>
          <cell r="G58">
            <v>125</v>
          </cell>
        </row>
        <row r="59">
          <cell r="D59" t="str">
            <v>81-0048-OC24</v>
          </cell>
          <cell r="E59">
            <v>13</v>
          </cell>
          <cell r="F59" t="str">
            <v>Papel de Lija N° 120 x 50</v>
          </cell>
          <cell r="G59">
            <v>73</v>
          </cell>
        </row>
        <row r="60">
          <cell r="D60" t="str">
            <v>81-0048-OC24</v>
          </cell>
          <cell r="E60">
            <v>14</v>
          </cell>
          <cell r="F60" t="str">
            <v>Rollo de cartón corrugado 1 m x 30 metros</v>
          </cell>
          <cell r="G60">
            <v>3</v>
          </cell>
        </row>
        <row r="61">
          <cell r="D61" t="str">
            <v>81-0047-OC24</v>
          </cell>
          <cell r="E61">
            <v>15</v>
          </cell>
          <cell r="F61" t="str">
            <v>Pincel cerda larga N° 20</v>
          </cell>
          <cell r="G61">
            <v>16</v>
          </cell>
        </row>
        <row r="62">
          <cell r="D62" t="str">
            <v>81-0047-OC24</v>
          </cell>
          <cell r="E62">
            <v>16</v>
          </cell>
          <cell r="F62" t="str">
            <v>Pincel cerda larga N° 25</v>
          </cell>
          <cell r="G62">
            <v>11</v>
          </cell>
        </row>
        <row r="63">
          <cell r="D63" t="str">
            <v>81-0047-OC24</v>
          </cell>
          <cell r="E63">
            <v>17</v>
          </cell>
          <cell r="F63" t="str">
            <v>Pincel cerda larga N° 40</v>
          </cell>
          <cell r="G63">
            <v>6</v>
          </cell>
        </row>
        <row r="64">
          <cell r="D64" t="str">
            <v>81-0047-OC24</v>
          </cell>
          <cell r="E64">
            <v>18</v>
          </cell>
          <cell r="F64" t="str">
            <v>Rodillo de lana de 22 cm</v>
          </cell>
          <cell r="G64">
            <v>17</v>
          </cell>
        </row>
        <row r="65">
          <cell r="D65" t="str">
            <v>81-0057-OC24</v>
          </cell>
          <cell r="E65">
            <v>1</v>
          </cell>
          <cell r="F65" t="str">
            <v>Tubo led 18w T8 220v (reemplazo flurescente 36w) 120 cm - luz fría</v>
          </cell>
          <cell r="G65">
            <v>75</v>
          </cell>
        </row>
        <row r="66">
          <cell r="D66" t="str">
            <v>81-0057-OC24</v>
          </cell>
          <cell r="E66">
            <v>2</v>
          </cell>
          <cell r="F66" t="str">
            <v>Lampara Led 9w / 10w Tipo Foco 220v (E27) - luz fría</v>
          </cell>
          <cell r="G66">
            <v>200</v>
          </cell>
        </row>
        <row r="67">
          <cell r="D67" t="str">
            <v>81-0058-OC24</v>
          </cell>
          <cell r="E67">
            <v>10</v>
          </cell>
          <cell r="F67" t="str">
            <v>Bastidor rectangular – Tipo Jeluz</v>
          </cell>
          <cell r="G67">
            <v>91</v>
          </cell>
        </row>
        <row r="68">
          <cell r="D68" t="str">
            <v>81-0058-OC24</v>
          </cell>
          <cell r="E68">
            <v>11</v>
          </cell>
          <cell r="F68" t="str">
            <v>Tapa rectangular - Tipo Jeluz platinum</v>
          </cell>
          <cell r="G68">
            <v>82</v>
          </cell>
        </row>
        <row r="69">
          <cell r="D69" t="str">
            <v>81-0058-OC24</v>
          </cell>
          <cell r="E69">
            <v>13</v>
          </cell>
          <cell r="F69" t="str">
            <v>Módulo punto ciego – Tipo Jeluz platinum</v>
          </cell>
          <cell r="G69">
            <v>9</v>
          </cell>
        </row>
        <row r="70">
          <cell r="D70" t="str">
            <v>81-0058-OC24</v>
          </cell>
          <cell r="E70">
            <v>14</v>
          </cell>
          <cell r="F70" t="str">
            <v>Zapatilla 4 tomas con cable 2,5 / 3 mts. - con llave de corte (Tipo Kalop, Richi, Cambre o calidad superior)</v>
          </cell>
          <cell r="G70">
            <v>13</v>
          </cell>
        </row>
        <row r="71">
          <cell r="D71" t="str">
            <v>81-0058-OC24</v>
          </cell>
          <cell r="E71">
            <v>15</v>
          </cell>
          <cell r="F71" t="str">
            <v>Fuente driver para panel led 24w (28x28cm)</v>
          </cell>
          <cell r="G71">
            <v>3</v>
          </cell>
        </row>
        <row r="72">
          <cell r="D72" t="str">
            <v>81-0058-OC24</v>
          </cell>
          <cell r="E72">
            <v>17</v>
          </cell>
          <cell r="F72" t="str">
            <v>Periscopio Piso/pared con 4 Tomas 10 Amp Triangulo</v>
          </cell>
          <cell r="G72">
            <v>5</v>
          </cell>
        </row>
        <row r="73">
          <cell r="D73" t="str">
            <v>81-0057-OC24</v>
          </cell>
          <cell r="E73">
            <v>18</v>
          </cell>
          <cell r="F73" t="str">
            <v>Precinto plástico - longitud 200 mm - color negro x 100</v>
          </cell>
          <cell r="G73">
            <v>8</v>
          </cell>
        </row>
        <row r="74">
          <cell r="D74" t="str">
            <v>81-0057-OC24</v>
          </cell>
          <cell r="E74">
            <v>19</v>
          </cell>
          <cell r="F74" t="str">
            <v>Precinto plástico - longitud 300 mm - color negro x 100</v>
          </cell>
          <cell r="G74">
            <v>5</v>
          </cell>
        </row>
        <row r="75">
          <cell r="D75" t="str">
            <v>81-0057-OC24</v>
          </cell>
          <cell r="E75">
            <v>22</v>
          </cell>
          <cell r="F75" t="str">
            <v>Cinta Aisladora 3m Tipo Temflex 1550 X 20 Mts Color negra</v>
          </cell>
          <cell r="G75">
            <v>26</v>
          </cell>
        </row>
        <row r="76">
          <cell r="D76" t="str">
            <v>81-0057-OC24</v>
          </cell>
          <cell r="E76">
            <v>23</v>
          </cell>
          <cell r="F76" t="str">
            <v>Pinza amperométrica digital Uni-T UT204+ 600ª</v>
          </cell>
          <cell r="G76">
            <v>1</v>
          </cell>
        </row>
        <row r="77">
          <cell r="D77" t="str">
            <v>81-0059-OC24</v>
          </cell>
          <cell r="E77">
            <v>25</v>
          </cell>
          <cell r="F77" t="str">
            <v xml:space="preserve">Conductor tipo taller - 3 x 2,5 mm2 - aislación PVC, normalizado Tipo Pirelli o superior x 100 mts. (PRECIO POR METRO) </v>
          </cell>
          <cell r="G77">
            <v>100</v>
          </cell>
        </row>
        <row r="78">
          <cell r="D78" t="str">
            <v>EXISTENCIA PREV. 1</v>
          </cell>
          <cell r="E78" t="str">
            <v>S/N</v>
          </cell>
          <cell r="F78" t="str">
            <v>Panel Plafón Led Embutir 60x60 cm Cuadrado 40w Luz Fría Empotrable</v>
          </cell>
          <cell r="G78">
            <v>1</v>
          </cell>
        </row>
        <row r="79">
          <cell r="D79" t="str">
            <v>81-0057-OC24</v>
          </cell>
          <cell r="E79">
            <v>23</v>
          </cell>
          <cell r="F79" t="str">
            <v>Pinza amperométrica digital Uni-T UT204+ 600ª</v>
          </cell>
          <cell r="G79">
            <v>1</v>
          </cell>
        </row>
        <row r="80">
          <cell r="D80" t="str">
            <v>EXISTENCIA PREV. 1</v>
          </cell>
          <cell r="E80" t="str">
            <v>S/N</v>
          </cell>
          <cell r="F80" t="str">
            <v>MODULO TOMA CORRIENTE DE 10 Amp</v>
          </cell>
          <cell r="G80">
            <v>16</v>
          </cell>
        </row>
        <row r="81">
          <cell r="D81" t="str">
            <v>81-0058-OC24</v>
          </cell>
          <cell r="E81">
            <v>9</v>
          </cell>
          <cell r="F81" t="str">
            <v>Módulo 1 toma para embutir - 10 A - Tipo línea Siglo XXI</v>
          </cell>
          <cell r="G81">
            <v>16</v>
          </cell>
        </row>
        <row r="82">
          <cell r="D82" t="str">
            <v>81-0058-OC24</v>
          </cell>
          <cell r="E82">
            <v>12</v>
          </cell>
          <cell r="F82" t="str">
            <v>Módulo punto simple – Tipo Jeluz platinum</v>
          </cell>
          <cell r="G82">
            <v>27</v>
          </cell>
        </row>
        <row r="83">
          <cell r="D83" t="str">
            <v>81-0058-OC24</v>
          </cell>
          <cell r="E83">
            <v>11</v>
          </cell>
          <cell r="F83" t="str">
            <v>Tapa rectangular - Tipo Jeluz platinum</v>
          </cell>
          <cell r="G83">
            <v>11</v>
          </cell>
        </row>
        <row r="84">
          <cell r="D84" t="str">
            <v>81-0058-OC24</v>
          </cell>
          <cell r="E84">
            <v>10</v>
          </cell>
          <cell r="F84" t="str">
            <v>Bastidor rectangular – Tipo Jeluz</v>
          </cell>
          <cell r="G84">
            <v>13</v>
          </cell>
        </row>
        <row r="85">
          <cell r="D85" t="str">
            <v>81-0057-OC24</v>
          </cell>
          <cell r="E85">
            <v>3</v>
          </cell>
          <cell r="F85" t="str">
            <v>Lampara Dicroica Led 7w Gu10 220v Gu 10 - luz fría</v>
          </cell>
          <cell r="G85">
            <v>10</v>
          </cell>
        </row>
        <row r="86">
          <cell r="D86" t="str">
            <v>81-0059-OC24</v>
          </cell>
          <cell r="E86">
            <v>25</v>
          </cell>
          <cell r="F86" t="str">
            <v xml:space="preserve">Conductor tipo taller - 3 x 2,5 mm2 - aislación PVC, normalizado Tipo Pirelli o superior x 100 mts. (PRECIO POR METRO) </v>
          </cell>
          <cell r="G86">
            <v>100</v>
          </cell>
        </row>
        <row r="87">
          <cell r="D87" t="str">
            <v>EXISTENCIA PREV. 1</v>
          </cell>
          <cell r="E87" t="str">
            <v>S/N</v>
          </cell>
          <cell r="F87" t="str">
            <v>SOPORTE LISTON PARA 2 TUBOS</v>
          </cell>
          <cell r="G87">
            <v>16</v>
          </cell>
        </row>
        <row r="88">
          <cell r="D88" t="str">
            <v>EXISTENCIA PREV. 2</v>
          </cell>
          <cell r="E88" t="str">
            <v>S/N</v>
          </cell>
          <cell r="F88" t="str">
            <v>SOPORTE LISTON PARA 2 TUBOS</v>
          </cell>
          <cell r="G88">
            <v>6</v>
          </cell>
        </row>
        <row r="89">
          <cell r="D89" t="str">
            <v>81-0057-OC24</v>
          </cell>
          <cell r="E89">
            <v>1</v>
          </cell>
          <cell r="F89" t="str">
            <v>Tubo led 18w T8 220v (reemplazo flurescente 36w) 120 cm - luz fría</v>
          </cell>
          <cell r="G89">
            <v>100</v>
          </cell>
        </row>
        <row r="90">
          <cell r="D90" t="str">
            <v>81-0051-OC24</v>
          </cell>
          <cell r="E90">
            <v>32</v>
          </cell>
          <cell r="F90" t="str">
            <v xml:space="preserve">Válvula Automática + Tecla De Descarga – Clean- Combo Deca </v>
          </cell>
          <cell r="G90">
            <v>4</v>
          </cell>
        </row>
        <row r="91">
          <cell r="D91" t="str">
            <v>81-0058-OC24</v>
          </cell>
          <cell r="E91">
            <v>14</v>
          </cell>
          <cell r="F91" t="str">
            <v>Zapatilla 4 tomas con cable 2,5 / 3 mts. - con llave de corte (Tipo Kalop, Richi, Cambre o calidad superior)</v>
          </cell>
          <cell r="G91">
            <v>11</v>
          </cell>
        </row>
        <row r="92">
          <cell r="D92" t="str">
            <v>EXISTENCIA PREV. 1</v>
          </cell>
          <cell r="E92" t="str">
            <v>S/N</v>
          </cell>
          <cell r="F92" t="str">
            <v>GOMA FUELLE P/ INODORO CORTAS</v>
          </cell>
          <cell r="G92">
            <v>2</v>
          </cell>
        </row>
        <row r="93">
          <cell r="D93" t="str">
            <v>EXISTENCIA PREV. 1</v>
          </cell>
          <cell r="E93" t="str">
            <v>S/N</v>
          </cell>
          <cell r="F93" t="str">
            <v>GOMA FUELLE PARA INODORO (LARGO)</v>
          </cell>
          <cell r="G93">
            <v>3</v>
          </cell>
        </row>
        <row r="94">
          <cell r="D94" t="str">
            <v>81-0054-OC24</v>
          </cell>
          <cell r="E94">
            <v>26</v>
          </cell>
          <cell r="F94" t="str">
            <v>TORNILLOS FIX CABEZA FRESADA RANURA PHILLIPS
ACABADO ZINCADO AMARILLO 6 X 60 MM</v>
          </cell>
          <cell r="G94">
            <v>20</v>
          </cell>
        </row>
        <row r="95">
          <cell r="D95" t="str">
            <v>81-0054-OC24</v>
          </cell>
          <cell r="E95">
            <v>24</v>
          </cell>
          <cell r="F95" t="str">
            <v>TORNILLOS FIX CABEZA FRESADA RANURA PHILLIPS
ACABADO ZINCADO AMARILLO 4 X 35 MM</v>
          </cell>
          <cell r="G95">
            <v>40</v>
          </cell>
        </row>
        <row r="96">
          <cell r="D96" t="str">
            <v>81-0050-OC24</v>
          </cell>
          <cell r="E96">
            <v>12</v>
          </cell>
          <cell r="F96" t="str">
            <v>SELLADOR DE ROSCAS SANITARIAS CAUCHO X 125 CC TIPO HYDRO 3</v>
          </cell>
          <cell r="G96">
            <v>5</v>
          </cell>
        </row>
        <row r="97">
          <cell r="D97" t="str">
            <v>81-0049-OC24</v>
          </cell>
          <cell r="E97">
            <v>1</v>
          </cell>
          <cell r="F97" t="str">
            <v>CONEXIONES P/ SANITARIOS; TIPO FLEXIBLE MALLADO -
MATERAIL ACERO INOXIDABLE - GOMA - LONG. DE CUERPO 40 CM - TIPO DE CONEXIÓN 1/2 PULGADAS</v>
          </cell>
          <cell r="G97">
            <v>6</v>
          </cell>
        </row>
        <row r="98">
          <cell r="D98" t="str">
            <v>81-0054-OC24</v>
          </cell>
          <cell r="E98">
            <v>19</v>
          </cell>
          <cell r="F98" t="str">
            <v>ADHESIVO - CEMENTO DE CONTACTO; TIPO: DE CONTACTO, PRESENTACION: ENVASE X 1 L</v>
          </cell>
          <cell r="G98">
            <v>2</v>
          </cell>
        </row>
        <row r="99">
          <cell r="D99" t="str">
            <v>81-0054-OC24</v>
          </cell>
          <cell r="E99">
            <v>15</v>
          </cell>
          <cell r="F99" t="str">
            <v>CANILLA LAVATORIO AUTOMATICA TEMPORIZADA A
PRESION TIPO FV; PAZZA; GENEBRE O CALIDAD
SUPERIOR. LARGO CANILLA 10 CM (+/- 10%), ALTURA CANILLA 10 CM (+/- 20%)</v>
          </cell>
          <cell r="G99">
            <v>8</v>
          </cell>
        </row>
        <row r="100">
          <cell r="D100" t="str">
            <v>81-0052-OC24</v>
          </cell>
          <cell r="E100">
            <v>31</v>
          </cell>
          <cell r="F100" t="str">
            <v>Descarga Mochila Capea Roca Superior Cromado Repuesto Eco
Flush</v>
          </cell>
          <cell r="G100">
            <v>3</v>
          </cell>
        </row>
        <row r="101">
          <cell r="D101" t="str">
            <v>81-0049-OC24</v>
          </cell>
          <cell r="E101">
            <v>5</v>
          </cell>
          <cell r="F101" t="str">
            <v>BOYA OBTURADOR UNIVERSAL REGULABLE PARA DEPOSITO EMBUTIR TIPO IDEAL 1450</v>
          </cell>
          <cell r="G101">
            <v>2</v>
          </cell>
        </row>
        <row r="102">
          <cell r="D102" t="str">
            <v>81-0047-OC24</v>
          </cell>
          <cell r="E102">
            <v>10</v>
          </cell>
          <cell r="F102" t="str">
            <v>Diluyente - Envase x 4L</v>
          </cell>
          <cell r="G102">
            <v>4</v>
          </cell>
        </row>
        <row r="103">
          <cell r="D103" t="str">
            <v>81-0047-OC24</v>
          </cell>
          <cell r="E103">
            <v>15</v>
          </cell>
          <cell r="F103" t="str">
            <v>Pincel cerda larga N° 20</v>
          </cell>
          <cell r="G103">
            <v>12</v>
          </cell>
        </row>
        <row r="104">
          <cell r="D104" t="str">
            <v>EXISTENCIA PREV. 1</v>
          </cell>
          <cell r="E104" t="str">
            <v>S/N</v>
          </cell>
          <cell r="F104" t="str">
            <v>CINTA ENMASCARAR X 12 MM</v>
          </cell>
          <cell r="G104">
            <v>4</v>
          </cell>
        </row>
        <row r="105">
          <cell r="D105" t="str">
            <v>81-0047-OC24</v>
          </cell>
          <cell r="E105">
            <v>16</v>
          </cell>
          <cell r="F105" t="str">
            <v>Pincel cerda larga N° 25</v>
          </cell>
          <cell r="G105">
            <v>8</v>
          </cell>
        </row>
        <row r="106">
          <cell r="D106" t="str">
            <v>81-0047-OC24</v>
          </cell>
          <cell r="E106">
            <v>1</v>
          </cell>
          <cell r="F106" t="str">
            <v>Enduido - Lata x 10L</v>
          </cell>
          <cell r="G106">
            <v>4</v>
          </cell>
        </row>
        <row r="107">
          <cell r="D107" t="str">
            <v>81-0047-OC24</v>
          </cell>
          <cell r="E107">
            <v>4</v>
          </cell>
          <cell r="F107" t="str">
            <v>Látex interior tipo SW7005 - Lata x 20L</v>
          </cell>
          <cell r="G107">
            <v>1</v>
          </cell>
        </row>
        <row r="108">
          <cell r="D108" t="str">
            <v>81-0047-OC24</v>
          </cell>
          <cell r="E108">
            <v>6</v>
          </cell>
          <cell r="F108" t="str">
            <v>Esmalte sintético blanco - Lata x 4L</v>
          </cell>
          <cell r="G108">
            <v>6</v>
          </cell>
        </row>
        <row r="109">
          <cell r="D109" t="str">
            <v>81-0047-OC24</v>
          </cell>
          <cell r="E109">
            <v>18</v>
          </cell>
          <cell r="F109" t="str">
            <v>Rodillo de lana de 22 cm</v>
          </cell>
          <cell r="G109">
            <v>11</v>
          </cell>
        </row>
        <row r="110">
          <cell r="D110" t="str">
            <v>81-0047-OC24</v>
          </cell>
          <cell r="E110">
            <v>17</v>
          </cell>
          <cell r="F110" t="str">
            <v>Pincel cerda larga N° 40</v>
          </cell>
          <cell r="G110">
            <v>3</v>
          </cell>
        </row>
        <row r="111">
          <cell r="D111" t="str">
            <v>EXISTENCIA PREV. 1</v>
          </cell>
          <cell r="E111" t="str">
            <v>S/N</v>
          </cell>
          <cell r="F111" t="str">
            <v>FIBRADO P/TECHO IMPERMEABILIZANTE LATA 20 KG</v>
          </cell>
          <cell r="G111">
            <v>1</v>
          </cell>
        </row>
        <row r="112">
          <cell r="D112" t="str">
            <v>81-0082-OC24</v>
          </cell>
          <cell r="E112">
            <v>23</v>
          </cell>
          <cell r="F112" t="str">
            <v>CAJA DE 200 ARANDELAS PLANAS PARA TARUGOS DE 8MM</v>
          </cell>
          <cell r="G112">
            <v>72</v>
          </cell>
        </row>
        <row r="113">
          <cell r="D113" t="str">
            <v>81-0082-OC24</v>
          </cell>
          <cell r="E113">
            <v>22</v>
          </cell>
          <cell r="F113" t="str">
            <v>CAJA DE 200 ARANDELAS PLANAS PARA TARUGOS DE 10MM</v>
          </cell>
          <cell r="G113">
            <v>12</v>
          </cell>
        </row>
        <row r="114">
          <cell r="D114" t="str">
            <v>81-0082-OC24</v>
          </cell>
          <cell r="E114">
            <v>11</v>
          </cell>
          <cell r="F114" t="str">
            <v>CINTA DE PVC PARA REFRIGERACIÓN, SIN ADHESIVO – ROLLO DE 20 METROS</v>
          </cell>
          <cell r="G114">
            <v>6</v>
          </cell>
        </row>
        <row r="115">
          <cell r="D115" t="str">
            <v>81-0082-OC24</v>
          </cell>
          <cell r="E115">
            <v>20</v>
          </cell>
          <cell r="F115" t="str">
            <v>CAJA DE 200 TORNILLOS TIRAFONDO PARA TARUGO DE 10MM - PRECIO POR UNIDAD</v>
          </cell>
          <cell r="G115">
            <v>20</v>
          </cell>
        </row>
        <row r="116">
          <cell r="D116" t="str">
            <v>81-0082-OC24</v>
          </cell>
          <cell r="E116">
            <v>21</v>
          </cell>
          <cell r="F116" t="str">
            <v>CAJA DE 200 TORNILLOS TIRAFONDO PARA TARUGO DE 8MM</v>
          </cell>
          <cell r="G116">
            <v>64</v>
          </cell>
        </row>
        <row r="117">
          <cell r="D117" t="str">
            <v>81-0082-OC24</v>
          </cell>
          <cell r="E117">
            <v>18</v>
          </cell>
          <cell r="F117" t="str">
            <v>CAJA DE 200 TARUGOS MULTIPROPÓSITOS DE 8MM</v>
          </cell>
          <cell r="G117">
            <v>64</v>
          </cell>
        </row>
        <row r="118">
          <cell r="D118" t="str">
            <v>81-0082-OC24</v>
          </cell>
          <cell r="E118">
            <v>19</v>
          </cell>
          <cell r="F118" t="str">
            <v>CAJA DE 200 TARUGOS MULTIPROPÓSITOS DE 10MM</v>
          </cell>
          <cell r="G118">
            <v>20</v>
          </cell>
        </row>
        <row r="119">
          <cell r="D119" t="str">
            <v>81-0082-OC24</v>
          </cell>
          <cell r="E119">
            <v>8</v>
          </cell>
          <cell r="F119" t="str">
            <v>ROLLO DE 2 METROS DE TIRA DE AISLACIÓN TÉRMICA PARA CAÑOS DE 3/8</v>
          </cell>
          <cell r="G119">
            <v>2</v>
          </cell>
        </row>
        <row r="120">
          <cell r="D120" t="str">
            <v>81-0082-OC24</v>
          </cell>
          <cell r="E120">
            <v>10</v>
          </cell>
          <cell r="F120" t="str">
            <v>ROLLO DE 2 METROS DE TIRA DE AISLACIÓN TÉRMICA PARA CAÑOS DE 1/4</v>
          </cell>
          <cell r="G120">
            <v>8</v>
          </cell>
        </row>
        <row r="121">
          <cell r="D121" t="str">
            <v>81-0082-OC24</v>
          </cell>
          <cell r="E121">
            <v>9</v>
          </cell>
          <cell r="F121" t="str">
            <v>ROLLO DE 2 METROS DE TIRA DE AISLACIÓN TÉRMICA PARA CAÑOS DE 1/2</v>
          </cell>
          <cell r="G121">
            <v>6</v>
          </cell>
        </row>
        <row r="122">
          <cell r="D122" t="str">
            <v>81-0082-OC24</v>
          </cell>
          <cell r="E122">
            <v>7</v>
          </cell>
          <cell r="F122" t="str">
            <v>ROLLO DE 2 METROS DE TIRA DE AISLACIÓN TÉRMICA PARA CAÑOS DE 5/8</v>
          </cell>
          <cell r="G122">
            <v>3</v>
          </cell>
        </row>
        <row r="123">
          <cell r="D123" t="str">
            <v>81-0082-OC24</v>
          </cell>
          <cell r="E123">
            <v>6</v>
          </cell>
          <cell r="F123" t="str">
            <v>ROLLO DE 15 METROS CAÑO DE COBRE DE 1/4</v>
          </cell>
          <cell r="G123">
            <v>3</v>
          </cell>
        </row>
        <row r="124">
          <cell r="D124" t="str">
            <v>81-0082-OC24</v>
          </cell>
          <cell r="E124">
            <v>17</v>
          </cell>
          <cell r="F124" t="str">
            <v>TACO DE GOMA, AMORTIGUADOR ANTIVIBRACIÓN – BOLSA X 4 UNIDADES</v>
          </cell>
          <cell r="G124">
            <v>2</v>
          </cell>
        </row>
        <row r="125">
          <cell r="D125" t="str">
            <v>81-0082-OC24</v>
          </cell>
          <cell r="E125">
            <v>5</v>
          </cell>
          <cell r="F125" t="str">
            <v>ROLLO DE 15 METROS CAÑO DE COBRE DE 1/2</v>
          </cell>
          <cell r="G125">
            <v>1</v>
          </cell>
        </row>
        <row r="126">
          <cell r="D126" t="str">
            <v>EXISTENCIA PREV. 1</v>
          </cell>
          <cell r="E126" t="str">
            <v>S/N</v>
          </cell>
          <cell r="F126" t="str">
            <v>SWEATER CON LOGO</v>
          </cell>
          <cell r="G126">
            <v>8</v>
          </cell>
        </row>
        <row r="127">
          <cell r="D127" t="str">
            <v>EXISTENCIA PREV. 1</v>
          </cell>
          <cell r="E127" t="str">
            <v>S/N</v>
          </cell>
          <cell r="F127" t="str">
            <v>CAMPERA IMPERMEABLE C/CAPUCHA</v>
          </cell>
          <cell r="G127">
            <v>7</v>
          </cell>
        </row>
        <row r="128">
          <cell r="D128" t="str">
            <v>EXISTENCIA PREV. 1</v>
          </cell>
          <cell r="E128" t="str">
            <v>S/N</v>
          </cell>
          <cell r="F128" t="str">
            <v>CAMISA BLANCA M/LARGA CON LOGO VIVIENDA</v>
          </cell>
          <cell r="G128">
            <v>3</v>
          </cell>
        </row>
        <row r="129">
          <cell r="D129" t="str">
            <v>EXISTENCIA PREV. 1</v>
          </cell>
          <cell r="E129" t="str">
            <v>S/N</v>
          </cell>
          <cell r="F129" t="str">
            <v>CAMPERA CON LOGO MINISTERIO Y VIVIENDA</v>
          </cell>
          <cell r="G129">
            <v>1</v>
          </cell>
        </row>
        <row r="130">
          <cell r="D130" t="str">
            <v>EXISTENCIA PREV. 1</v>
          </cell>
          <cell r="E130" t="str">
            <v>S/N</v>
          </cell>
          <cell r="F130" t="str">
            <v>BUZO AZUL C/LOGO MINISTERIO DEL INTERIOR</v>
          </cell>
          <cell r="G130">
            <v>1</v>
          </cell>
        </row>
        <row r="131">
          <cell r="D131" t="str">
            <v>81-0018-OC25</v>
          </cell>
          <cell r="E131">
            <v>1</v>
          </cell>
          <cell r="F131" t="str">
            <v>Papel obra A4</v>
          </cell>
          <cell r="G131">
            <v>53</v>
          </cell>
        </row>
        <row r="132">
          <cell r="D132" t="str">
            <v>EXISTENCIA PREV. 1</v>
          </cell>
          <cell r="E132" t="str">
            <v>S/N</v>
          </cell>
          <cell r="F132" t="str">
            <v>BOLIGRAFO NEGRO</v>
          </cell>
          <cell r="G132">
            <v>275</v>
          </cell>
        </row>
        <row r="133">
          <cell r="D133" t="str">
            <v>81-0037-OC24</v>
          </cell>
          <cell r="E133">
            <v>5</v>
          </cell>
          <cell r="F133" t="str">
            <v>Bolígrafo azul</v>
          </cell>
          <cell r="G133">
            <v>291</v>
          </cell>
        </row>
        <row r="134">
          <cell r="D134" t="str">
            <v>EXISTENCIA PREV. 1</v>
          </cell>
          <cell r="E134" t="str">
            <v>S/N</v>
          </cell>
          <cell r="F134" t="str">
            <v>LAPIZ  2HB</v>
          </cell>
          <cell r="G134">
            <v>127</v>
          </cell>
        </row>
        <row r="135">
          <cell r="D135" t="str">
            <v>81-0038-OC24</v>
          </cell>
          <cell r="E135">
            <v>28</v>
          </cell>
          <cell r="F135" t="str">
            <v>Resaltadores color verde</v>
          </cell>
          <cell r="G135">
            <v>32</v>
          </cell>
        </row>
        <row r="136">
          <cell r="D136" t="str">
            <v>81-0038-OC24</v>
          </cell>
          <cell r="E136">
            <v>27</v>
          </cell>
          <cell r="F136" t="str">
            <v>Resaltadores color amarillo</v>
          </cell>
          <cell r="G136">
            <v>35</v>
          </cell>
        </row>
        <row r="137">
          <cell r="D137" t="str">
            <v>81-0038-OC24</v>
          </cell>
          <cell r="E137">
            <v>29</v>
          </cell>
          <cell r="F137" t="str">
            <v>Resaltadores color naranja</v>
          </cell>
          <cell r="G137">
            <v>65</v>
          </cell>
        </row>
        <row r="138">
          <cell r="D138" t="str">
            <v>EXISTENCIA PREV. 1</v>
          </cell>
          <cell r="E138" t="str">
            <v>S/N</v>
          </cell>
          <cell r="F138" t="str">
            <v>GOMA BORRA TINTA Y LAPIZ</v>
          </cell>
          <cell r="G138">
            <v>60</v>
          </cell>
        </row>
        <row r="139">
          <cell r="D139" t="str">
            <v>81-0037-OC24</v>
          </cell>
          <cell r="E139">
            <v>32</v>
          </cell>
          <cell r="F139" t="str">
            <v>Sacapuntas</v>
          </cell>
          <cell r="G139">
            <v>24</v>
          </cell>
        </row>
        <row r="140">
          <cell r="D140" t="str">
            <v>EXISTENCIA PREV. 1</v>
          </cell>
          <cell r="E140" t="str">
            <v>S/N</v>
          </cell>
          <cell r="F140" t="str">
            <v>CORRECTOR EN LAPIZ</v>
          </cell>
          <cell r="G140">
            <v>445</v>
          </cell>
        </row>
        <row r="141">
          <cell r="D141" t="str">
            <v>81-0037-OC24</v>
          </cell>
          <cell r="E141">
            <v>33</v>
          </cell>
          <cell r="F141" t="str">
            <v>Tacos de colores 9 x 9</v>
          </cell>
          <cell r="G141">
            <v>27</v>
          </cell>
        </row>
        <row r="142">
          <cell r="D142" t="str">
            <v>81-0041-OC24</v>
          </cell>
          <cell r="E142">
            <v>18</v>
          </cell>
          <cell r="F142" t="str">
            <v>Folio A4 paquete x 100 unidades</v>
          </cell>
          <cell r="G142">
            <v>1710</v>
          </cell>
        </row>
        <row r="143">
          <cell r="D143" t="str">
            <v>81-0038-OC24</v>
          </cell>
          <cell r="E143">
            <v>31</v>
          </cell>
          <cell r="F143" t="str">
            <v>Resaltadores color celeste</v>
          </cell>
          <cell r="G143">
            <v>70</v>
          </cell>
        </row>
        <row r="144">
          <cell r="D144" t="str">
            <v>EXISTENCIA PREV. 1</v>
          </cell>
          <cell r="E144" t="str">
            <v>S/N</v>
          </cell>
          <cell r="F144" t="str">
            <v>TIJERAS CHICA</v>
          </cell>
          <cell r="G144">
            <v>36</v>
          </cell>
        </row>
        <row r="145">
          <cell r="D145" t="str">
            <v>EXISTENCIA PREV. 1</v>
          </cell>
          <cell r="E145" t="str">
            <v>S/N</v>
          </cell>
          <cell r="F145" t="str">
            <v>Broches P/abrochadora 10</v>
          </cell>
          <cell r="G145">
            <v>43</v>
          </cell>
        </row>
        <row r="146">
          <cell r="D146" t="str">
            <v>81-0038-OC24</v>
          </cell>
          <cell r="E146">
            <v>30</v>
          </cell>
          <cell r="F146" t="str">
            <v>Resaltadores color rosa</v>
          </cell>
          <cell r="G146">
            <v>77</v>
          </cell>
        </row>
        <row r="147">
          <cell r="D147" t="str">
            <v>EXISTENCIA PREV. 1</v>
          </cell>
          <cell r="E147" t="str">
            <v>S/N</v>
          </cell>
          <cell r="F147" t="str">
            <v>MARCADOR TRAZO FINO AZUL</v>
          </cell>
          <cell r="G147">
            <v>30</v>
          </cell>
        </row>
        <row r="148">
          <cell r="D148" t="str">
            <v>EXISTENCIA PREV. 1</v>
          </cell>
          <cell r="E148" t="str">
            <v>S/N</v>
          </cell>
          <cell r="F148" t="str">
            <v>Marcador al agua verde</v>
          </cell>
          <cell r="G148">
            <v>7</v>
          </cell>
        </row>
        <row r="149">
          <cell r="D149" t="str">
            <v>EXISTENCIA PREV. 1</v>
          </cell>
          <cell r="E149" t="str">
            <v>S/N</v>
          </cell>
          <cell r="F149" t="str">
            <v>Bolígrafo rojo</v>
          </cell>
          <cell r="G149">
            <v>84</v>
          </cell>
        </row>
        <row r="150">
          <cell r="D150" t="str">
            <v>EXISTENCIA PREV. 1</v>
          </cell>
          <cell r="E150" t="str">
            <v>S/N</v>
          </cell>
          <cell r="F150" t="str">
            <v>Cinta para embalar Transparente 5 cm x 50 mts</v>
          </cell>
          <cell r="G150">
            <v>52</v>
          </cell>
        </row>
        <row r="151">
          <cell r="D151" t="str">
            <v>EXISTENCIA PREV. 1</v>
          </cell>
          <cell r="E151" t="str">
            <v>S/N</v>
          </cell>
          <cell r="F151" t="str">
            <v>BOLIGRAFO VERDE</v>
          </cell>
          <cell r="G151">
            <v>70</v>
          </cell>
        </row>
        <row r="152">
          <cell r="D152" t="str">
            <v>EXISTENCIA PREV. 1</v>
          </cell>
          <cell r="E152" t="str">
            <v>S/N</v>
          </cell>
          <cell r="F152" t="str">
            <v>ADHESIVO TRANSPARENTE X50 ML</v>
          </cell>
          <cell r="G152">
            <v>17</v>
          </cell>
        </row>
        <row r="153">
          <cell r="D153" t="str">
            <v>EXISTENCIA PREV. 1</v>
          </cell>
          <cell r="E153" t="str">
            <v>S/N</v>
          </cell>
          <cell r="F153" t="str">
            <v>ADHESIVO BARRA</v>
          </cell>
          <cell r="G153">
            <v>11</v>
          </cell>
        </row>
        <row r="154">
          <cell r="D154" t="str">
            <v>EXISTENCIA PREV. 1</v>
          </cell>
          <cell r="E154" t="str">
            <v>S/N</v>
          </cell>
          <cell r="F154" t="str">
            <v>PAPEL OBRA OFICIO</v>
          </cell>
          <cell r="G154">
            <v>39</v>
          </cell>
        </row>
        <row r="155">
          <cell r="D155" t="str">
            <v>EXISTENCIA PREV. 1</v>
          </cell>
          <cell r="E155" t="str">
            <v>S/N</v>
          </cell>
          <cell r="F155" t="str">
            <v>MARCADOR PIZARRA ROJO</v>
          </cell>
          <cell r="G155">
            <v>14</v>
          </cell>
        </row>
        <row r="156">
          <cell r="D156" t="str">
            <v>EXISTENCIA PREV. 1</v>
          </cell>
          <cell r="E156" t="str">
            <v>S/N</v>
          </cell>
          <cell r="F156" t="str">
            <v>ADHESIVO VINILICO X 250 CC</v>
          </cell>
          <cell r="G156">
            <v>12</v>
          </cell>
        </row>
        <row r="157">
          <cell r="D157" t="str">
            <v>EXISTENCIA PREV. 1</v>
          </cell>
          <cell r="E157" t="str">
            <v>S/N</v>
          </cell>
          <cell r="F157" t="str">
            <v>ADHESIVO VINILICO X 30 ML</v>
          </cell>
          <cell r="G157">
            <v>27</v>
          </cell>
        </row>
        <row r="158">
          <cell r="D158" t="str">
            <v>EXISTENCIA PREV. 1</v>
          </cell>
          <cell r="E158" t="str">
            <v>S/N</v>
          </cell>
          <cell r="F158" t="str">
            <v>FOLIOS OFICIO</v>
          </cell>
          <cell r="G158">
            <v>425</v>
          </cell>
        </row>
        <row r="159">
          <cell r="D159" t="str">
            <v>EXISTENCIA PREV. 1</v>
          </cell>
          <cell r="E159" t="str">
            <v>S/N</v>
          </cell>
          <cell r="F159" t="str">
            <v>SOBRE BLANCO 15X23 SIN MEMBRETE</v>
          </cell>
          <cell r="G159">
            <v>80</v>
          </cell>
        </row>
        <row r="160">
          <cell r="D160" t="str">
            <v>EXISTENCIA PREV. 1</v>
          </cell>
          <cell r="E160" t="str">
            <v>S/N</v>
          </cell>
          <cell r="F160" t="str">
            <v>MARCADOR CELESTE AL SOLVENTE</v>
          </cell>
          <cell r="G160">
            <v>21</v>
          </cell>
        </row>
        <row r="161">
          <cell r="D161" t="str">
            <v>EXISTENCIA PREV. 1</v>
          </cell>
          <cell r="E161" t="str">
            <v>S/N</v>
          </cell>
          <cell r="F161" t="str">
            <v>MARCADOR NEGRO AL SOLVENTE</v>
          </cell>
          <cell r="G161">
            <v>17</v>
          </cell>
        </row>
        <row r="162">
          <cell r="D162" t="str">
            <v>EXISTENCIA PREV. 1</v>
          </cell>
          <cell r="E162" t="str">
            <v>S/N</v>
          </cell>
          <cell r="F162" t="str">
            <v>MARCADOR AZUL AL SOLVENTE</v>
          </cell>
          <cell r="G162">
            <v>8</v>
          </cell>
        </row>
        <row r="163">
          <cell r="D163" t="str">
            <v>EXISTENCIA PREV. 1</v>
          </cell>
          <cell r="E163" t="str">
            <v>S/N</v>
          </cell>
          <cell r="F163" t="str">
            <v>MARCADOR ROJO AL SOLVENTE</v>
          </cell>
          <cell r="G163">
            <v>11</v>
          </cell>
        </row>
        <row r="164">
          <cell r="D164" t="str">
            <v>EXISTENCIA PREV. 1</v>
          </cell>
          <cell r="E164" t="str">
            <v>S/N</v>
          </cell>
          <cell r="F164" t="str">
            <v>MARCADOR VERDE AL SOLVENTE</v>
          </cell>
          <cell r="G164">
            <v>8</v>
          </cell>
        </row>
        <row r="165">
          <cell r="D165" t="str">
            <v>81-0038-OC24</v>
          </cell>
          <cell r="E165">
            <v>14</v>
          </cell>
          <cell r="F165" t="str">
            <v>Cuaderno tapa dura rayado x 50 hojas</v>
          </cell>
          <cell r="G165">
            <v>37</v>
          </cell>
        </row>
        <row r="166">
          <cell r="D166" t="str">
            <v>EXISTENCIA PREV. 1</v>
          </cell>
          <cell r="E166" t="str">
            <v>S/N</v>
          </cell>
          <cell r="F166" t="str">
            <v>ABROCHADORA 10/50 pinza</v>
          </cell>
          <cell r="G166">
            <v>4</v>
          </cell>
        </row>
        <row r="167">
          <cell r="D167" t="str">
            <v>EXISTENCIA PREV. 1</v>
          </cell>
          <cell r="E167" t="str">
            <v>S/N</v>
          </cell>
          <cell r="F167" t="str">
            <v>PORTA CINTA CHICO</v>
          </cell>
          <cell r="G167">
            <v>4</v>
          </cell>
        </row>
        <row r="168">
          <cell r="D168" t="str">
            <v>81-0038-OC24</v>
          </cell>
          <cell r="E168">
            <v>13</v>
          </cell>
          <cell r="F168" t="str">
            <v>Clips N° 3</v>
          </cell>
          <cell r="G168">
            <v>5</v>
          </cell>
        </row>
        <row r="169">
          <cell r="D169" t="str">
            <v>EXISTENCIA PREV. 1</v>
          </cell>
          <cell r="E169" t="str">
            <v>S/N</v>
          </cell>
          <cell r="F169" t="str">
            <v>Cúter</v>
          </cell>
          <cell r="G169">
            <v>21</v>
          </cell>
        </row>
        <row r="170">
          <cell r="D170" t="str">
            <v>EXISTENCIA PREV. 1</v>
          </cell>
          <cell r="E170" t="str">
            <v>S/N</v>
          </cell>
          <cell r="F170" t="str">
            <v>SOBRE KRAFT OFICIO MARRON 23x 36 S/MEMBRETE</v>
          </cell>
          <cell r="G170">
            <v>415</v>
          </cell>
        </row>
        <row r="171">
          <cell r="D171" t="str">
            <v>81-0038-OC24</v>
          </cell>
          <cell r="E171">
            <v>2</v>
          </cell>
          <cell r="F171" t="str">
            <v>Bandas elásticas grandes</v>
          </cell>
          <cell r="G171">
            <v>12</v>
          </cell>
        </row>
        <row r="172">
          <cell r="D172" t="str">
            <v>EXISTENCIA PREV. 1</v>
          </cell>
          <cell r="E172" t="str">
            <v>S/N</v>
          </cell>
          <cell r="F172" t="str">
            <v>BROCHE P/ABROCHADORA 21/6</v>
          </cell>
          <cell r="G172">
            <v>30</v>
          </cell>
        </row>
        <row r="173">
          <cell r="D173" t="str">
            <v>EXISTENCIA PREV. 1</v>
          </cell>
          <cell r="E173" t="str">
            <v>S/N</v>
          </cell>
          <cell r="F173" t="str">
            <v>BROCHE P/ABROCHADORA 64</v>
          </cell>
          <cell r="G173">
            <v>48</v>
          </cell>
        </row>
        <row r="174">
          <cell r="D174" t="str">
            <v>EXISTENCIA PREV. 1</v>
          </cell>
          <cell r="E174" t="str">
            <v>S/N</v>
          </cell>
          <cell r="F174" t="str">
            <v>MARCADOR PIZARRA NEGRO</v>
          </cell>
          <cell r="G174">
            <v>17</v>
          </cell>
        </row>
        <row r="175">
          <cell r="D175" t="str">
            <v>EXISTENCIA PREV. 1</v>
          </cell>
          <cell r="E175" t="str">
            <v>S/N</v>
          </cell>
          <cell r="F175" t="str">
            <v>MARCADOR INDELEBLE AZUL</v>
          </cell>
          <cell r="G175">
            <v>6</v>
          </cell>
        </row>
        <row r="176">
          <cell r="D176" t="str">
            <v>EXISTENCIA PREV. 1</v>
          </cell>
          <cell r="E176" t="str">
            <v>S/N</v>
          </cell>
          <cell r="F176" t="str">
            <v>MARCADOR INDELEBLE NEGRO</v>
          </cell>
          <cell r="G176">
            <v>10</v>
          </cell>
        </row>
        <row r="177">
          <cell r="D177" t="str">
            <v>EXISTENCIA PREV. 1</v>
          </cell>
          <cell r="E177" t="str">
            <v>S/N</v>
          </cell>
          <cell r="F177" t="str">
            <v xml:space="preserve">SACABROCHES PLASTICO </v>
          </cell>
          <cell r="G177">
            <v>7</v>
          </cell>
        </row>
        <row r="178">
          <cell r="D178" t="str">
            <v>EXISTENCIA PREV. 1</v>
          </cell>
          <cell r="E178" t="str">
            <v>S/N</v>
          </cell>
          <cell r="F178" t="str">
            <v>ARCHIVOS PLASTICOS</v>
          </cell>
          <cell r="G178">
            <v>73</v>
          </cell>
        </row>
        <row r="179">
          <cell r="D179" t="str">
            <v>81-0037-OC24</v>
          </cell>
          <cell r="E179">
            <v>9</v>
          </cell>
          <cell r="F179" t="str">
            <v>Carpeta presupuesto tapa transparente A4</v>
          </cell>
          <cell r="G179">
            <v>163</v>
          </cell>
        </row>
        <row r="180">
          <cell r="D180" t="str">
            <v>81-0037-OC24</v>
          </cell>
          <cell r="E180">
            <v>16</v>
          </cell>
          <cell r="F180" t="str">
            <v>Cuaderno tipo universitario cuadriculado</v>
          </cell>
          <cell r="G180">
            <v>50</v>
          </cell>
        </row>
        <row r="181">
          <cell r="D181" t="str">
            <v>81-0042-OC24</v>
          </cell>
          <cell r="E181">
            <v>20</v>
          </cell>
          <cell r="F181" t="str">
            <v>Libro de actas 400 folios</v>
          </cell>
          <cell r="G181">
            <v>7</v>
          </cell>
        </row>
        <row r="182">
          <cell r="D182" t="str">
            <v>EXISTENCIA PREV. 1</v>
          </cell>
          <cell r="E182" t="str">
            <v>S/N</v>
          </cell>
          <cell r="F182" t="str">
            <v>CALZADO PARA DAMA</v>
          </cell>
          <cell r="G182">
            <v>1</v>
          </cell>
        </row>
        <row r="183">
          <cell r="D183" t="str">
            <v>EXISTENCIA PREV. 1</v>
          </cell>
          <cell r="E183" t="str">
            <v>S/N</v>
          </cell>
          <cell r="F183" t="str">
            <v>ABROCHADORA 21/6 pinza</v>
          </cell>
          <cell r="G183">
            <v>2</v>
          </cell>
        </row>
        <row r="184">
          <cell r="D184" t="str">
            <v>EXISTENCIA PREV. 1</v>
          </cell>
          <cell r="E184" t="str">
            <v>S/N</v>
          </cell>
          <cell r="F184" t="str">
            <v>REGLA PLASTICA  X 30 CMTS</v>
          </cell>
          <cell r="G184">
            <v>15</v>
          </cell>
        </row>
        <row r="185">
          <cell r="D185" t="str">
            <v>EXISTENCIA PREV. 1</v>
          </cell>
          <cell r="E185" t="str">
            <v>S/N</v>
          </cell>
          <cell r="F185" t="str">
            <v>SOBRE BLANCO 12 X 23 SIN MEMBRETE</v>
          </cell>
          <cell r="G185">
            <v>150</v>
          </cell>
        </row>
        <row r="186">
          <cell r="D186" t="str">
            <v>81-0037-OC24</v>
          </cell>
          <cell r="E186">
            <v>3</v>
          </cell>
          <cell r="F186" t="str">
            <v>Bibliorato tamaño carta</v>
          </cell>
          <cell r="G186">
            <v>6</v>
          </cell>
        </row>
        <row r="187">
          <cell r="D187" t="str">
            <v>EXISTENCIA PREV. 1</v>
          </cell>
          <cell r="E187" t="str">
            <v>S/N</v>
          </cell>
          <cell r="F187" t="str">
            <v>CARPET TRANSP. A 4 TIPO SOBRE</v>
          </cell>
          <cell r="G187">
            <v>10</v>
          </cell>
        </row>
        <row r="188">
          <cell r="D188" t="str">
            <v>EXISTENCIA PREV. 1</v>
          </cell>
          <cell r="E188" t="str">
            <v>S/N</v>
          </cell>
          <cell r="F188" t="str">
            <v>TINTA NEGRA PARA SELLOS</v>
          </cell>
          <cell r="G188">
            <v>2</v>
          </cell>
        </row>
        <row r="189">
          <cell r="D189" t="str">
            <v>EXISTENCIA PREV. 1</v>
          </cell>
          <cell r="E189" t="str">
            <v>S/N</v>
          </cell>
          <cell r="F189" t="str">
            <v>CARPETA TAPA PLASTICA TRANSP. OFICIO</v>
          </cell>
          <cell r="G189">
            <v>10</v>
          </cell>
        </row>
        <row r="190">
          <cell r="D190" t="str">
            <v>81-0040-OC24</v>
          </cell>
          <cell r="E190">
            <v>10</v>
          </cell>
          <cell r="F190" t="str">
            <v>Carpeta tres solapas</v>
          </cell>
          <cell r="G190">
            <v>115</v>
          </cell>
        </row>
        <row r="191">
          <cell r="D191" t="str">
            <v>EXISTENCIA PREV. 1</v>
          </cell>
          <cell r="E191" t="str">
            <v>S/N</v>
          </cell>
          <cell r="F191" t="str">
            <v>ABROCHADORA ESCRITORIO 64</v>
          </cell>
          <cell r="G191">
            <v>13</v>
          </cell>
        </row>
        <row r="192">
          <cell r="D192" t="str">
            <v>EXISTENCIA PREV. 1</v>
          </cell>
          <cell r="E192" t="str">
            <v>S/N</v>
          </cell>
          <cell r="F192" t="str">
            <v>CARPETA CARTULINA OFICIO  26X36</v>
          </cell>
          <cell r="G192">
            <v>125</v>
          </cell>
        </row>
        <row r="193">
          <cell r="D193" t="str">
            <v>EXISTENCIA PREV. 1</v>
          </cell>
          <cell r="E193" t="str">
            <v>S/N</v>
          </cell>
          <cell r="F193" t="str">
            <v>CEPILLO ALAMBRE ACERO CON MANGO</v>
          </cell>
          <cell r="G193">
            <v>97</v>
          </cell>
        </row>
        <row r="194">
          <cell r="D194" t="str">
            <v>81-0057-OC24</v>
          </cell>
          <cell r="E194">
            <v>20</v>
          </cell>
          <cell r="F194" t="str">
            <v>Cable canal - PVC - formato lineal - 100 mm x 50 mm sin adhesivo - color blanco x 2 metros</v>
          </cell>
          <cell r="G194">
            <v>4</v>
          </cell>
        </row>
        <row r="195">
          <cell r="D195" t="str">
            <v>81-0057-OC24</v>
          </cell>
          <cell r="E195">
            <v>2</v>
          </cell>
          <cell r="F195" t="str">
            <v>Lampara Led 9w / 10w Tipo Foco 220v (E27) - luz fría</v>
          </cell>
          <cell r="G195">
            <v>15</v>
          </cell>
        </row>
        <row r="196">
          <cell r="D196" t="str">
            <v>81-0057-OC24</v>
          </cell>
          <cell r="E196">
            <v>3</v>
          </cell>
          <cell r="F196" t="str">
            <v>Lampara Dicroica Led 7w Gu10 220v Gu 10 - luz fría</v>
          </cell>
          <cell r="G196">
            <v>6</v>
          </cell>
        </row>
        <row r="197">
          <cell r="D197" t="str">
            <v>EXISTENCIA PREV. 1</v>
          </cell>
          <cell r="E197" t="str">
            <v>S/N</v>
          </cell>
          <cell r="F197" t="str">
            <v>TORNILLO PARKER P/TARUGO DEL 8"</v>
          </cell>
          <cell r="G197">
            <v>15</v>
          </cell>
        </row>
        <row r="198">
          <cell r="D198" t="str">
            <v>81-0057-OC24</v>
          </cell>
          <cell r="E198">
            <v>22</v>
          </cell>
          <cell r="F198" t="str">
            <v>Cinta Aisladora 3m Tipo Temflex 1550 X 20 Mts Color negra</v>
          </cell>
          <cell r="G198">
            <v>2</v>
          </cell>
        </row>
        <row r="199">
          <cell r="D199" t="str">
            <v>81-0057-OC24</v>
          </cell>
          <cell r="E199">
            <v>21</v>
          </cell>
          <cell r="F199" t="str">
            <v>Cable canal - PVC - formato lineal - 18 mm x 21 mm con adhesivo - color blanco</v>
          </cell>
          <cell r="G199">
            <v>2</v>
          </cell>
        </row>
        <row r="200">
          <cell r="D200" t="str">
            <v>81-0058-OC24</v>
          </cell>
          <cell r="E200">
            <v>12</v>
          </cell>
          <cell r="F200" t="str">
            <v>Módulo punto simple – Tipo Jeluz platinum</v>
          </cell>
          <cell r="G200">
            <v>2</v>
          </cell>
        </row>
        <row r="201">
          <cell r="D201" t="str">
            <v>81-0058-OC24</v>
          </cell>
          <cell r="E201">
            <v>9</v>
          </cell>
          <cell r="F201" t="str">
            <v>Módulo 1 toma para embutir - 10 A - Tipo línea Siglo XXI</v>
          </cell>
          <cell r="G201">
            <v>1</v>
          </cell>
        </row>
        <row r="202">
          <cell r="D202" t="str">
            <v>81-0058-OC24</v>
          </cell>
          <cell r="E202">
            <v>11</v>
          </cell>
          <cell r="F202" t="str">
            <v>Tapa rectangular - Tipo Jeluz platinum</v>
          </cell>
          <cell r="G202">
            <v>1</v>
          </cell>
        </row>
        <row r="203">
          <cell r="D203" t="str">
            <v>EXISTENCIA PREV. 1</v>
          </cell>
          <cell r="E203" t="str">
            <v>S/N</v>
          </cell>
          <cell r="F203" t="str">
            <v>LLAVE TERMICA 3 X 63 A</v>
          </cell>
          <cell r="G203">
            <v>1</v>
          </cell>
        </row>
        <row r="204">
          <cell r="D204" t="str">
            <v>EXISTENCIA PREV. 1</v>
          </cell>
          <cell r="E204" t="str">
            <v>S/N</v>
          </cell>
          <cell r="F204" t="str">
            <v>MODULO TOMA CORRIENTE DE 10 Amp</v>
          </cell>
          <cell r="G204">
            <v>5</v>
          </cell>
        </row>
        <row r="205">
          <cell r="D205" t="str">
            <v>81-0058-OC24</v>
          </cell>
          <cell r="E205">
            <v>10</v>
          </cell>
          <cell r="F205" t="str">
            <v>Bastidor rectangular – Tipo Jeluz</v>
          </cell>
          <cell r="G205">
            <v>6</v>
          </cell>
        </row>
        <row r="206">
          <cell r="D206" t="str">
            <v>81-0059-OC24</v>
          </cell>
          <cell r="E206">
            <v>25</v>
          </cell>
          <cell r="F206" t="str">
            <v xml:space="preserve">Conductor tipo taller - 3 x 2,5 mm2 - aislación PVC, normalizado Tipo Pirelli o superior x 100 mts. (PRECIO POR METRO) </v>
          </cell>
          <cell r="G206">
            <v>200</v>
          </cell>
        </row>
        <row r="207">
          <cell r="D207" t="str">
            <v>EXISTENCIA PREV. 1</v>
          </cell>
          <cell r="E207" t="str">
            <v>S/N</v>
          </cell>
          <cell r="F207" t="str">
            <v>CAPACITOR DOBLE 50 + 4uf 450 Vca</v>
          </cell>
          <cell r="G207">
            <v>1</v>
          </cell>
        </row>
        <row r="208">
          <cell r="D208" t="str">
            <v>81-0057-OC24</v>
          </cell>
          <cell r="E208">
            <v>22</v>
          </cell>
          <cell r="F208" t="str">
            <v>Cinta Aisladora 3m Tipo Temflex 1550 X 20 Mts Color negra</v>
          </cell>
          <cell r="G208">
            <v>10</v>
          </cell>
        </row>
        <row r="209">
          <cell r="D209" t="str">
            <v>EXISTENCIA PREV. 1</v>
          </cell>
          <cell r="E209" t="str">
            <v>S/N</v>
          </cell>
          <cell r="F209" t="str">
            <v>GRAMPAS KALOP N° 8</v>
          </cell>
          <cell r="G209">
            <v>1</v>
          </cell>
        </row>
        <row r="210">
          <cell r="D210" t="str">
            <v>81-0057-OC24</v>
          </cell>
          <cell r="E210">
            <v>3</v>
          </cell>
          <cell r="F210" t="str">
            <v>Lampara Dicroica Led 7w Gu10 220v Gu 10 - luz fría</v>
          </cell>
          <cell r="G210">
            <v>12</v>
          </cell>
        </row>
        <row r="211">
          <cell r="D211" t="str">
            <v>EXISTENCIA PREV. 1</v>
          </cell>
          <cell r="E211" t="str">
            <v>S/N</v>
          </cell>
          <cell r="F211" t="str">
            <v>MODULO TOMA CORRIENTE DE 10 Amp</v>
          </cell>
          <cell r="G211">
            <v>11</v>
          </cell>
        </row>
        <row r="212">
          <cell r="D212" t="str">
            <v>EXISTENCIA PREV. 2</v>
          </cell>
          <cell r="E212" t="str">
            <v>S/N</v>
          </cell>
          <cell r="F212" t="str">
            <v>SOPORTE LISTON PARA 2 TUBOS</v>
          </cell>
          <cell r="G212">
            <v>10</v>
          </cell>
        </row>
        <row r="213">
          <cell r="D213" t="str">
            <v>81-0057-OC24</v>
          </cell>
          <cell r="E213">
            <v>4</v>
          </cell>
          <cell r="F213" t="str">
            <v>Spot Dicroica Led Completa Acero Blanco 7w / 6w Embutir Móvil - Luz Fría</v>
          </cell>
          <cell r="G213">
            <v>18</v>
          </cell>
        </row>
        <row r="214">
          <cell r="D214" t="str">
            <v>81-0058-OC24</v>
          </cell>
          <cell r="E214">
            <v>11</v>
          </cell>
          <cell r="F214" t="str">
            <v>Tapa rectangular - Tipo Jeluz platinum</v>
          </cell>
          <cell r="G214">
            <v>5</v>
          </cell>
        </row>
        <row r="215">
          <cell r="D215" t="str">
            <v>81-0057-OC24</v>
          </cell>
          <cell r="E215">
            <v>1</v>
          </cell>
          <cell r="F215" t="str">
            <v>Tubo led 18w T8 220v (reemplazo flurescente 36w) 120 cm - luz fría</v>
          </cell>
          <cell r="G215">
            <v>25</v>
          </cell>
        </row>
        <row r="216">
          <cell r="D216" t="str">
            <v>81-0058-OC24</v>
          </cell>
          <cell r="E216">
            <v>14</v>
          </cell>
          <cell r="F216" t="str">
            <v>Zapatilla 4 tomas con cable 2,5 / 3 mts. - con llave de corte (Tipo Kalop, Richi, Cambre o calidad superior)</v>
          </cell>
          <cell r="G216">
            <v>4</v>
          </cell>
        </row>
        <row r="217">
          <cell r="D217" t="str">
            <v>81-0057-OC24</v>
          </cell>
          <cell r="E217">
            <v>21</v>
          </cell>
          <cell r="F217" t="str">
            <v>Cable canal - PVC - formato lineal - 18 mm x 21 mm con adhesivo - color blanco</v>
          </cell>
          <cell r="G217">
            <v>4</v>
          </cell>
        </row>
        <row r="218">
          <cell r="D218" t="str">
            <v>81-0058-OC24</v>
          </cell>
          <cell r="E218">
            <v>10</v>
          </cell>
          <cell r="F218" t="str">
            <v>Bastidor rectangular – Tipo Jeluz</v>
          </cell>
          <cell r="G218">
            <v>1</v>
          </cell>
        </row>
        <row r="219">
          <cell r="D219" t="str">
            <v>81-0059-OC24</v>
          </cell>
          <cell r="E219">
            <v>26</v>
          </cell>
          <cell r="F219" t="str">
            <v>Pack x 50 mts de cable taller Tpr 3 x 4 mm Tipo Kalop</v>
          </cell>
          <cell r="G219">
            <v>100</v>
          </cell>
        </row>
        <row r="220">
          <cell r="D220" t="str">
            <v>EXISTENCIA PREV. 1</v>
          </cell>
          <cell r="E220" t="str">
            <v>S/N</v>
          </cell>
          <cell r="F220" t="str">
            <v>CAPACITOR DOBLE 50 + 4uf 450 Vca</v>
          </cell>
          <cell r="G220">
            <v>1</v>
          </cell>
        </row>
        <row r="221">
          <cell r="D221" t="str">
            <v>81-0057-OC24</v>
          </cell>
          <cell r="E221">
            <v>22</v>
          </cell>
          <cell r="F221" t="str">
            <v>Cinta Aisladora 3m Tipo Temflex 1550 X 20 Mts Color negra</v>
          </cell>
          <cell r="G221">
            <v>1</v>
          </cell>
        </row>
        <row r="222">
          <cell r="D222" t="str">
            <v>81-0057-OC24</v>
          </cell>
          <cell r="E222">
            <v>3</v>
          </cell>
          <cell r="F222" t="str">
            <v>Lampara Dicroica Led 7w Gu10 220v Gu 10 - luz fría</v>
          </cell>
          <cell r="G222">
            <v>3</v>
          </cell>
        </row>
        <row r="223">
          <cell r="D223" t="str">
            <v>81-0057-OC24</v>
          </cell>
          <cell r="E223">
            <v>2</v>
          </cell>
          <cell r="F223" t="str">
            <v>Lampara Led 9w / 10w Tipo Foco 220v (E27) - luz fría</v>
          </cell>
          <cell r="G223">
            <v>15</v>
          </cell>
        </row>
        <row r="224">
          <cell r="D224" t="str">
            <v>81-0058-OC24</v>
          </cell>
          <cell r="E224">
            <v>12</v>
          </cell>
          <cell r="F224" t="str">
            <v>Módulo punto simple – Tipo Jeluz platinum</v>
          </cell>
          <cell r="G224">
            <v>3</v>
          </cell>
        </row>
        <row r="225">
          <cell r="D225" t="str">
            <v>EXISTENCIA PREV. 1</v>
          </cell>
          <cell r="E225" t="str">
            <v>S/N</v>
          </cell>
          <cell r="F225" t="str">
            <v>LLAVE TREMICA 2 X 40 A</v>
          </cell>
          <cell r="G225">
            <v>1</v>
          </cell>
        </row>
        <row r="226">
          <cell r="D226" t="str">
            <v>81-0057-OC24</v>
          </cell>
          <cell r="E226">
            <v>4</v>
          </cell>
          <cell r="F226" t="str">
            <v>Spot Dicroica Led Completa Acero Blanco 7w / 6w Embutir Móvil - Luz Fría</v>
          </cell>
          <cell r="G226">
            <v>3</v>
          </cell>
        </row>
        <row r="227">
          <cell r="D227" t="str">
            <v>81-0058-OC24</v>
          </cell>
          <cell r="E227">
            <v>11</v>
          </cell>
          <cell r="F227" t="str">
            <v>Tapa rectangular - Tipo Jeluz platinum</v>
          </cell>
          <cell r="G227">
            <v>1</v>
          </cell>
        </row>
        <row r="228">
          <cell r="D228" t="str">
            <v>EXISTENCIA PREV. 1</v>
          </cell>
          <cell r="E228" t="str">
            <v>S/N</v>
          </cell>
          <cell r="F228" t="str">
            <v>TORNILLO PARKER P/TARUGO DEL 6"</v>
          </cell>
          <cell r="G228">
            <v>15</v>
          </cell>
        </row>
        <row r="229">
          <cell r="D229" t="str">
            <v>EXISTENCIA PREV. 1</v>
          </cell>
          <cell r="E229" t="str">
            <v>S/N</v>
          </cell>
          <cell r="F229" t="str">
            <v>TORNILLO PARKER P/TARUGO DEL 8"</v>
          </cell>
          <cell r="G229">
            <v>15</v>
          </cell>
        </row>
        <row r="230">
          <cell r="D230" t="str">
            <v>81-0058-OC24</v>
          </cell>
          <cell r="E230">
            <v>15</v>
          </cell>
          <cell r="F230" t="str">
            <v>Fuente driver para panel led 24w (28x28cm)</v>
          </cell>
          <cell r="G230">
            <v>1</v>
          </cell>
        </row>
        <row r="231">
          <cell r="D231" t="str">
            <v>81-0057-OC24</v>
          </cell>
          <cell r="E231">
            <v>21</v>
          </cell>
          <cell r="F231" t="str">
            <v>Cable canal - PVC - formato lineal - 18 mm x 21 mm con adhesivo - color blanco</v>
          </cell>
          <cell r="G231">
            <v>4</v>
          </cell>
        </row>
        <row r="232">
          <cell r="D232" t="str">
            <v>81-0051-OC24</v>
          </cell>
          <cell r="E232">
            <v>32</v>
          </cell>
          <cell r="F232" t="str">
            <v xml:space="preserve">Válvula Automática + Tecla De Descarga – Clean- Combo Deca </v>
          </cell>
          <cell r="G232">
            <v>1</v>
          </cell>
        </row>
        <row r="233">
          <cell r="D233" t="str">
            <v>EXISTENCIA PREV. 1</v>
          </cell>
          <cell r="E233" t="str">
            <v>S/N</v>
          </cell>
          <cell r="F233" t="str">
            <v>GOMA FUELLE P/ INODORO CORTAS</v>
          </cell>
          <cell r="G233">
            <v>1</v>
          </cell>
        </row>
        <row r="234">
          <cell r="D234" t="str">
            <v>EXISTENCIA PREV. 1</v>
          </cell>
          <cell r="E234" t="str">
            <v>S/N</v>
          </cell>
          <cell r="F234" t="str">
            <v>GOMA FUELLE PARA INODORO (LARGO)</v>
          </cell>
          <cell r="G234">
            <v>1</v>
          </cell>
        </row>
        <row r="235">
          <cell r="D235" t="str">
            <v>81-0054-OC24</v>
          </cell>
          <cell r="E235">
            <v>24</v>
          </cell>
          <cell r="F235" t="str">
            <v>TORNILLOS FIX CABEZA FRESADA RANURA PHILLIPS
ACABADO ZINCADO AMARILLO 4 X 35 MM</v>
          </cell>
          <cell r="G235">
            <v>930</v>
          </cell>
        </row>
        <row r="236">
          <cell r="D236" t="str">
            <v>EXISTENCIA PREV. 1</v>
          </cell>
          <cell r="E236" t="str">
            <v>S/N</v>
          </cell>
          <cell r="F236" t="str">
            <v>REJILLA CIEGA ACERO 10 X 10 CM</v>
          </cell>
          <cell r="G236">
            <v>1</v>
          </cell>
        </row>
        <row r="237">
          <cell r="D237" t="str">
            <v>81-0054-OC24</v>
          </cell>
          <cell r="E237">
            <v>26</v>
          </cell>
          <cell r="F237" t="str">
            <v>TORNILLOS FIX CABEZA FRESADA RANURA PHILLIPS
ACABADO ZINCADO AMARILLO 6 X 60 MM</v>
          </cell>
          <cell r="G237">
            <v>20</v>
          </cell>
        </row>
        <row r="238">
          <cell r="D238" t="str">
            <v>81-0054-OC24</v>
          </cell>
          <cell r="E238">
            <v>25</v>
          </cell>
          <cell r="F238" t="str">
            <v>TORNILLOS FIX CABEZA FRESADA RANURA PHILLIPS
ACABADO ZINCADO AMARILLO 5 X 45 MM</v>
          </cell>
          <cell r="G238">
            <v>20</v>
          </cell>
        </row>
        <row r="239">
          <cell r="D239" t="str">
            <v>81-0050-OC24</v>
          </cell>
          <cell r="E239">
            <v>12</v>
          </cell>
          <cell r="F239" t="str">
            <v>SELLADOR DE ROSCAS SANITARIAS CAUCHO X 125 CC TIPO HYDRO 3</v>
          </cell>
          <cell r="G239">
            <v>1</v>
          </cell>
        </row>
        <row r="240">
          <cell r="D240" t="str">
            <v>EXISTENCIA PREV. 1</v>
          </cell>
          <cell r="E240" t="str">
            <v>S/N</v>
          </cell>
          <cell r="F240" t="str">
            <v xml:space="preserve">ELECTRODO 2 MM </v>
          </cell>
          <cell r="G240">
            <v>25</v>
          </cell>
        </row>
        <row r="241">
          <cell r="D241" t="str">
            <v>EXISTENCIA PREV. 1</v>
          </cell>
          <cell r="E241" t="str">
            <v>S/N</v>
          </cell>
          <cell r="F241" t="str">
            <v>ELECTRODO 2,5 MM</v>
          </cell>
          <cell r="G241">
            <v>25</v>
          </cell>
        </row>
        <row r="242">
          <cell r="D242" t="str">
            <v>81-0049-OC24</v>
          </cell>
          <cell r="E242">
            <v>1</v>
          </cell>
          <cell r="F242" t="str">
            <v>CONEXIONES P/ SANITARIOS; TIPO FLEXIBLE MALLADO -
MATERAIL ACERO INOXIDABLE - GOMA - LONG. DE CUERPO 40 CM - TIPO DE CONEXIÓN 1/2 PULGADAS</v>
          </cell>
          <cell r="G242">
            <v>4</v>
          </cell>
        </row>
        <row r="243">
          <cell r="D243" t="str">
            <v>81-0054-OC24</v>
          </cell>
          <cell r="E243">
            <v>19</v>
          </cell>
          <cell r="F243" t="str">
            <v>ADHESIVO - CEMENTO DE CONTACTO; TIPO: DE CONTACTO, PRESENTACION: ENVASE X 1 L</v>
          </cell>
          <cell r="G243">
            <v>1</v>
          </cell>
        </row>
        <row r="244">
          <cell r="D244" t="str">
            <v>EXISTENCIA PREV. 1</v>
          </cell>
          <cell r="E244" t="str">
            <v>S/N</v>
          </cell>
          <cell r="F244" t="str">
            <v>CANO PVC 38/40 X 4 MTS</v>
          </cell>
          <cell r="G244">
            <v>1</v>
          </cell>
        </row>
        <row r="245">
          <cell r="D245" t="str">
            <v>81-0052-OC24</v>
          </cell>
          <cell r="E245">
            <v>31</v>
          </cell>
          <cell r="F245" t="str">
            <v>Descarga Mochila Capea Roca Superior Cromado Repuesto Eco
Flush</v>
          </cell>
          <cell r="G245">
            <v>1</v>
          </cell>
        </row>
        <row r="246">
          <cell r="D246" t="str">
            <v>EXISTENCIA PREV. 1</v>
          </cell>
          <cell r="E246" t="str">
            <v>S/N</v>
          </cell>
          <cell r="F246" t="str">
            <v xml:space="preserve">ELECTRODO 2 MM </v>
          </cell>
          <cell r="G246">
            <v>60</v>
          </cell>
        </row>
        <row r="247">
          <cell r="D247" t="str">
            <v>EXISTENCIA PREV. 1</v>
          </cell>
          <cell r="E247" t="str">
            <v>S/N</v>
          </cell>
          <cell r="F247" t="str">
            <v>ELECTRODO 2,5 MM</v>
          </cell>
          <cell r="G247">
            <v>60</v>
          </cell>
        </row>
        <row r="248">
          <cell r="D248" t="str">
            <v>EXISTENCIA PREV. 1</v>
          </cell>
          <cell r="E248" t="str">
            <v>S/N</v>
          </cell>
          <cell r="F248" t="str">
            <v>GOMA FUELLE P/ INODORO CORTAS</v>
          </cell>
          <cell r="G248">
            <v>1</v>
          </cell>
        </row>
        <row r="249">
          <cell r="D249" t="str">
            <v>EXISTENCIA PREV. 1</v>
          </cell>
          <cell r="E249" t="str">
            <v>S/N</v>
          </cell>
          <cell r="F249" t="str">
            <v>RESPUESTO FV CARTUCHO PARA PRESSMA</v>
          </cell>
          <cell r="G249">
            <v>1</v>
          </cell>
        </row>
        <row r="250">
          <cell r="D250" t="str">
            <v>81-0054-OC24</v>
          </cell>
          <cell r="E250">
            <v>15</v>
          </cell>
          <cell r="F250" t="str">
            <v>CANILLA LAVATORIO AUTOMATICA TEMPORIZADA A
PRESION TIPO FV; PAZZA; GENEBRE O CALIDAD
SUPERIOR. LARGO CANILLA 10 CM (+/- 10%), ALTURA CANILLA 10 CM (+/- 20%)</v>
          </cell>
          <cell r="G250">
            <v>2</v>
          </cell>
        </row>
        <row r="251">
          <cell r="D251" t="str">
            <v>81-0052-OC24</v>
          </cell>
          <cell r="E251">
            <v>23</v>
          </cell>
          <cell r="F251" t="str">
            <v>TARUGO ESPIRAL PARA PLACA DE YESO</v>
          </cell>
          <cell r="G251">
            <v>30</v>
          </cell>
        </row>
        <row r="252">
          <cell r="D252" t="str">
            <v>81-0054-OC24</v>
          </cell>
          <cell r="E252">
            <v>26</v>
          </cell>
          <cell r="F252" t="str">
            <v>TORNILLOS FIX CABEZA FRESADA RANURA PHILLIPS
ACABADO ZINCADO AMARILLO 6 X 60 MM</v>
          </cell>
          <cell r="G252">
            <v>6</v>
          </cell>
        </row>
        <row r="253">
          <cell r="D253" t="str">
            <v>81-0049-OC24</v>
          </cell>
          <cell r="E253">
            <v>5</v>
          </cell>
          <cell r="F253" t="str">
            <v>BOYA OBTURADOR UNIVERSAL REGULABLE PARA DEPOSITO EMBUTIR TIPO IDEAL 1450</v>
          </cell>
          <cell r="G253">
            <v>1</v>
          </cell>
        </row>
        <row r="254">
          <cell r="D254" t="str">
            <v>81-0047-OC24</v>
          </cell>
          <cell r="E254">
            <v>10</v>
          </cell>
          <cell r="F254" t="str">
            <v>Diluyente - Envase x 4L</v>
          </cell>
          <cell r="G254">
            <v>1</v>
          </cell>
        </row>
        <row r="255">
          <cell r="D255" t="str">
            <v>EXISTENCIA PREV. 1</v>
          </cell>
          <cell r="E255" t="str">
            <v>S/N</v>
          </cell>
          <cell r="F255" t="str">
            <v>CINTA ENMASCARAR X 12 MM</v>
          </cell>
          <cell r="G255">
            <v>1</v>
          </cell>
        </row>
        <row r="256">
          <cell r="D256" t="str">
            <v>81-0047-OC24</v>
          </cell>
          <cell r="E256">
            <v>1</v>
          </cell>
          <cell r="F256" t="str">
            <v>Enduido - Lata x 10L</v>
          </cell>
          <cell r="G256">
            <v>1</v>
          </cell>
        </row>
        <row r="257">
          <cell r="D257" t="str">
            <v>81-0047-OC24</v>
          </cell>
          <cell r="E257">
            <v>15</v>
          </cell>
          <cell r="F257" t="str">
            <v>Pincel cerda larga N° 20</v>
          </cell>
          <cell r="G257">
            <v>2</v>
          </cell>
        </row>
        <row r="258">
          <cell r="D258" t="str">
            <v>81-0047-OC24</v>
          </cell>
          <cell r="E258">
            <v>16</v>
          </cell>
          <cell r="F258" t="str">
            <v>Pincel cerda larga N° 25</v>
          </cell>
          <cell r="G258">
            <v>1</v>
          </cell>
        </row>
        <row r="259">
          <cell r="D259" t="str">
            <v>81-0047-OC24</v>
          </cell>
          <cell r="E259">
            <v>4</v>
          </cell>
          <cell r="F259" t="str">
            <v>Látex interior tipo SW7005 - Lata x 20L</v>
          </cell>
          <cell r="G259">
            <v>1</v>
          </cell>
        </row>
        <row r="260">
          <cell r="D260" t="str">
            <v>81-0047-OC24</v>
          </cell>
          <cell r="E260">
            <v>6</v>
          </cell>
          <cell r="F260" t="str">
            <v>Esmalte sintético blanco - Lata x 4L</v>
          </cell>
          <cell r="G260">
            <v>3</v>
          </cell>
        </row>
        <row r="261">
          <cell r="D261" t="str">
            <v>81-0047-OC24</v>
          </cell>
          <cell r="E261">
            <v>18</v>
          </cell>
          <cell r="F261" t="str">
            <v>Rodillo de lana de 22 cm</v>
          </cell>
          <cell r="G261">
            <v>3</v>
          </cell>
        </row>
        <row r="262">
          <cell r="D262" t="str">
            <v>81-0048-OC24</v>
          </cell>
          <cell r="E262">
            <v>14</v>
          </cell>
          <cell r="F262" t="str">
            <v>Rollo de cartón corrugado 1 m x 30 metros</v>
          </cell>
          <cell r="G262">
            <v>4</v>
          </cell>
        </row>
        <row r="263">
          <cell r="D263" t="str">
            <v>81-0047-OC24</v>
          </cell>
          <cell r="E263">
            <v>1</v>
          </cell>
          <cell r="F263" t="str">
            <v>Enduido - Lata x 10L</v>
          </cell>
          <cell r="G263">
            <v>1</v>
          </cell>
        </row>
        <row r="264">
          <cell r="D264" t="str">
            <v>81-0047-OC24</v>
          </cell>
          <cell r="E264">
            <v>15</v>
          </cell>
          <cell r="F264" t="str">
            <v>Pincel cerda larga N° 20</v>
          </cell>
          <cell r="G264">
            <v>3</v>
          </cell>
        </row>
        <row r="265">
          <cell r="D265" t="str">
            <v>81-0047-OC24</v>
          </cell>
          <cell r="E265">
            <v>16</v>
          </cell>
          <cell r="F265" t="str">
            <v>Pincel cerda larga N° 25</v>
          </cell>
          <cell r="G265">
            <v>3</v>
          </cell>
        </row>
        <row r="266">
          <cell r="D266" t="str">
            <v>81-0047-OC24</v>
          </cell>
          <cell r="E266">
            <v>17</v>
          </cell>
          <cell r="F266" t="str">
            <v>Pincel cerda larga N° 40</v>
          </cell>
          <cell r="G266">
            <v>2</v>
          </cell>
        </row>
        <row r="267">
          <cell r="D267" t="str">
            <v>EXISTENCIA PREV. 1</v>
          </cell>
          <cell r="E267" t="str">
            <v>S/N</v>
          </cell>
          <cell r="F267" t="str">
            <v>FIBRADO P/TECHO IMPERMEABILIZANTE LATA 20 KG</v>
          </cell>
          <cell r="G267">
            <v>1</v>
          </cell>
        </row>
        <row r="268">
          <cell r="D268" t="str">
            <v>81-0047-OC24</v>
          </cell>
          <cell r="E268">
            <v>6</v>
          </cell>
          <cell r="F268" t="str">
            <v>Esmalte sintético blanco - Lata x 4L</v>
          </cell>
          <cell r="G268">
            <v>2</v>
          </cell>
        </row>
        <row r="269">
          <cell r="D269" t="str">
            <v>81-0047-OC24</v>
          </cell>
          <cell r="E269">
            <v>18</v>
          </cell>
          <cell r="F269" t="str">
            <v>Rodillo de lana de 22 cm</v>
          </cell>
          <cell r="G269">
            <v>2</v>
          </cell>
        </row>
        <row r="270">
          <cell r="D270" t="str">
            <v>81-0082-OC24</v>
          </cell>
          <cell r="E270">
            <v>23</v>
          </cell>
          <cell r="F270" t="str">
            <v>CAJA DE 200 ARANDELAS PLANAS PARA TARUGOS DE 8MM</v>
          </cell>
          <cell r="G270">
            <v>14</v>
          </cell>
        </row>
        <row r="271">
          <cell r="D271" t="str">
            <v>81-0082-OC24</v>
          </cell>
          <cell r="E271">
            <v>22</v>
          </cell>
          <cell r="F271" t="str">
            <v>CAJA DE 200 ARANDELAS PLANAS PARA TARUGOS DE 10MM</v>
          </cell>
          <cell r="G271">
            <v>10</v>
          </cell>
        </row>
        <row r="272">
          <cell r="D272" t="str">
            <v>81-0082-OC24</v>
          </cell>
          <cell r="E272">
            <v>11</v>
          </cell>
          <cell r="F272" t="str">
            <v>CINTA DE PVC PARA REFRIGERACIÓN, SIN ADHESIVO – ROLLO DE 20 METROS</v>
          </cell>
          <cell r="G272">
            <v>3</v>
          </cell>
        </row>
        <row r="273">
          <cell r="D273" t="str">
            <v>81-0082-OC24</v>
          </cell>
          <cell r="E273">
            <v>21</v>
          </cell>
          <cell r="F273" t="str">
            <v>CAJA DE 200 TORNILLOS TIRAFONDO PARA TARUGO DE 8MM</v>
          </cell>
          <cell r="G273">
            <v>14</v>
          </cell>
        </row>
        <row r="274">
          <cell r="D274" t="str">
            <v>81-0082-OC24</v>
          </cell>
          <cell r="E274">
            <v>20</v>
          </cell>
          <cell r="F274" t="str">
            <v>CAJA DE 200 TORNILLOS TIRAFONDO PARA TARUGO DE 10MM - PRECIO POR UNIDAD</v>
          </cell>
          <cell r="G274">
            <v>10</v>
          </cell>
        </row>
        <row r="275">
          <cell r="D275" t="str">
            <v>81-0082-OC24</v>
          </cell>
          <cell r="E275">
            <v>18</v>
          </cell>
          <cell r="F275" t="str">
            <v>CAJA DE 200 TARUGOS MULTIPROPÓSITOS DE 8MM</v>
          </cell>
          <cell r="G275">
            <v>14</v>
          </cell>
        </row>
        <row r="276">
          <cell r="D276" t="str">
            <v>81-0082-OC24</v>
          </cell>
          <cell r="E276">
            <v>19</v>
          </cell>
          <cell r="F276" t="str">
            <v>CAJA DE 200 TARUGOS MULTIPROPÓSITOS DE 10MM</v>
          </cell>
          <cell r="G276">
            <v>10</v>
          </cell>
        </row>
        <row r="277">
          <cell r="D277" t="str">
            <v>81-0082-OC24</v>
          </cell>
          <cell r="E277">
            <v>8</v>
          </cell>
          <cell r="F277" t="str">
            <v>ROLLO DE 2 METROS DE TIRA DE AISLACIÓN TÉRMICA PARA CAÑOS DE 3/8</v>
          </cell>
          <cell r="G277">
            <v>5</v>
          </cell>
        </row>
        <row r="278">
          <cell r="D278" t="str">
            <v>81-0082-OC24</v>
          </cell>
          <cell r="E278">
            <v>10</v>
          </cell>
          <cell r="F278" t="str">
            <v>ROLLO DE 2 METROS DE TIRA DE AISLACIÓN TÉRMICA PARA CAÑOS DE 1/4</v>
          </cell>
          <cell r="G278">
            <v>2</v>
          </cell>
        </row>
        <row r="279">
          <cell r="D279" t="str">
            <v>81-0082-OC24</v>
          </cell>
          <cell r="E279">
            <v>9</v>
          </cell>
          <cell r="F279" t="str">
            <v>ROLLO DE 2 METROS DE TIRA DE AISLACIÓN TÉRMICA PARA CAÑOS DE 1/2</v>
          </cell>
          <cell r="G279">
            <v>3</v>
          </cell>
        </row>
        <row r="280">
          <cell r="D280" t="str">
            <v>81-0082-OC24</v>
          </cell>
          <cell r="E280">
            <v>7</v>
          </cell>
          <cell r="F280" t="str">
            <v>ROLLO DE 2 METROS DE TIRA DE AISLACIÓN TÉRMICA PARA CAÑOS DE 5/8</v>
          </cell>
          <cell r="G280">
            <v>3</v>
          </cell>
        </row>
        <row r="281">
          <cell r="D281" t="str">
            <v>81-0082-OC24</v>
          </cell>
          <cell r="E281">
            <v>3</v>
          </cell>
          <cell r="F281" t="str">
            <v>ROLLO DE 15 METROS CAÑO DE COBRE DE 5/8</v>
          </cell>
          <cell r="G281">
            <v>1</v>
          </cell>
        </row>
        <row r="282">
          <cell r="D282" t="str">
            <v>81-0082-OC24</v>
          </cell>
          <cell r="E282">
            <v>6</v>
          </cell>
          <cell r="F282" t="str">
            <v>ROLLO DE 15 METROS CAÑO DE COBRE DE 1/4</v>
          </cell>
          <cell r="G282">
            <v>1</v>
          </cell>
        </row>
        <row r="283">
          <cell r="D283" t="str">
            <v>81-0082-OC24</v>
          </cell>
          <cell r="E283">
            <v>23</v>
          </cell>
          <cell r="F283" t="str">
            <v>CAJA DE 200 ARANDELAS PLANAS PARA TARUGOS DE 8MM</v>
          </cell>
          <cell r="G283">
            <v>6</v>
          </cell>
        </row>
        <row r="284">
          <cell r="D284" t="str">
            <v>81-0082-OC24</v>
          </cell>
          <cell r="E284">
            <v>22</v>
          </cell>
          <cell r="F284" t="str">
            <v>CAJA DE 200 ARANDELAS PLANAS PARA TARUGOS DE 10MM</v>
          </cell>
          <cell r="G284">
            <v>12</v>
          </cell>
        </row>
        <row r="285">
          <cell r="D285" t="str">
            <v>81-0082-OC24</v>
          </cell>
          <cell r="E285">
            <v>21</v>
          </cell>
          <cell r="F285" t="str">
            <v>CAJA DE 200 TORNILLOS TIRAFONDO PARA TARUGO DE 8MM</v>
          </cell>
          <cell r="G285">
            <v>6</v>
          </cell>
        </row>
        <row r="286">
          <cell r="D286" t="str">
            <v>81-0082-OC24</v>
          </cell>
          <cell r="E286">
            <v>20</v>
          </cell>
          <cell r="F286" t="str">
            <v>CAJA DE 200 TORNILLOS TIRAFONDO PARA TARUGO DE 10MM - PRECIO POR UNIDAD</v>
          </cell>
          <cell r="G286">
            <v>12</v>
          </cell>
        </row>
        <row r="287">
          <cell r="D287" t="str">
            <v>81-0082-OC24</v>
          </cell>
          <cell r="E287">
            <v>18</v>
          </cell>
          <cell r="F287" t="str">
            <v>CAJA DE 200 TARUGOS MULTIPROPÓSITOS DE 8MM</v>
          </cell>
          <cell r="G287">
            <v>6</v>
          </cell>
        </row>
        <row r="288">
          <cell r="D288" t="str">
            <v>81-0082-OC24</v>
          </cell>
          <cell r="E288">
            <v>19</v>
          </cell>
          <cell r="F288" t="str">
            <v>CAJA DE 200 TARUGOS MULTIPROPÓSITOS DE 10MM</v>
          </cell>
          <cell r="G288">
            <v>12</v>
          </cell>
        </row>
        <row r="289">
          <cell r="D289" t="str">
            <v>81-0082-OC24</v>
          </cell>
          <cell r="E289">
            <v>10</v>
          </cell>
          <cell r="F289" t="str">
            <v>ROLLO DE 2 METROS DE TIRA DE AISLACIÓN TÉRMICA PARA CAÑOS DE 1/4</v>
          </cell>
          <cell r="G289">
            <v>1</v>
          </cell>
        </row>
        <row r="290">
          <cell r="D290" t="str">
            <v>81-0082-OC24</v>
          </cell>
          <cell r="E290">
            <v>7</v>
          </cell>
          <cell r="F290" t="str">
            <v>ROLLO DE 2 METROS DE TIRA DE AISLACIÓN TÉRMICA PARA CAÑOS DE 5/8</v>
          </cell>
          <cell r="G290">
            <v>3</v>
          </cell>
        </row>
        <row r="291">
          <cell r="D291" t="str">
            <v>81-0080-OC24</v>
          </cell>
          <cell r="E291">
            <v>1</v>
          </cell>
          <cell r="F291" t="str">
            <v>EQUIPO SPLIT DE 4500 FRIGORÍAS - TIPO DE CLIMATIZACIÓNFRIO/CALOR - EFICIENCIA ENERGÉTICA DE CLASE C O MAYOR</v>
          </cell>
          <cell r="G291">
            <v>1</v>
          </cell>
        </row>
        <row r="292">
          <cell r="D292" t="str">
            <v>81-0081-OC24</v>
          </cell>
          <cell r="E292">
            <v>2</v>
          </cell>
          <cell r="F292" t="str">
            <v>EQUIPO SPLIT DE 6000 FRIGORÍAS - TIPO DE CLIMATIZACIÓN
FRIO/CALOR - EFICIENCIA ENERGÉTICA DE CLASE C O MAYOR EN CALEFACCIÓN Y A EN REFRIGERACIÓN - NO CONVERTER</v>
          </cell>
          <cell r="G292">
            <v>1</v>
          </cell>
        </row>
        <row r="293">
          <cell r="D293" t="str">
            <v>81-0082-OC24</v>
          </cell>
          <cell r="E293">
            <v>23</v>
          </cell>
          <cell r="F293" t="str">
            <v>CAJA DE 200 ARANDELAS PLANAS PARA TARUGOS DE 8MM</v>
          </cell>
          <cell r="G293">
            <v>130</v>
          </cell>
        </row>
        <row r="294">
          <cell r="D294" t="str">
            <v>81-0082-OC24</v>
          </cell>
          <cell r="E294">
            <v>22</v>
          </cell>
          <cell r="F294" t="str">
            <v>CAJA DE 200 ARANDELAS PLANAS PARA TARUGOS DE 10MM</v>
          </cell>
          <cell r="G294">
            <v>120</v>
          </cell>
        </row>
        <row r="295">
          <cell r="D295" t="str">
            <v>81-0082-OC24</v>
          </cell>
          <cell r="E295">
            <v>11</v>
          </cell>
          <cell r="F295" t="str">
            <v>CINTA DE PVC PARA REFRIGERACIÓN, SIN ADHESIVO – ROLLO DE 20 METROS</v>
          </cell>
          <cell r="G295">
            <v>8</v>
          </cell>
        </row>
        <row r="296">
          <cell r="D296" t="str">
            <v>81-0082-OC24</v>
          </cell>
          <cell r="E296">
            <v>13</v>
          </cell>
          <cell r="F296" t="str">
            <v>MENSULAS PARA AIRE ACONDICIONADO DE 4500 A 6000 FRIGORIAS, 50X50 APROXIMADAMENTE</v>
          </cell>
          <cell r="G296">
            <v>2</v>
          </cell>
        </row>
        <row r="297">
          <cell r="D297" t="str">
            <v>81-0082-OC24</v>
          </cell>
          <cell r="E297">
            <v>17</v>
          </cell>
          <cell r="F297" t="str">
            <v>TACO DE GOMA, AMORTIGUADOR ANTIVIBRACIÓN – BOLSA X 4 UNIDADES</v>
          </cell>
          <cell r="G297">
            <v>8</v>
          </cell>
        </row>
        <row r="298">
          <cell r="D298" t="str">
            <v>81-0082-OC24</v>
          </cell>
          <cell r="E298">
            <v>21</v>
          </cell>
          <cell r="F298" t="str">
            <v>CAJA DE 200 TORNILLOS TIRAFONDO PARA TARUGO DE 8MM</v>
          </cell>
          <cell r="G298">
            <v>130</v>
          </cell>
        </row>
        <row r="299">
          <cell r="D299" t="str">
            <v>81-0082-OC24</v>
          </cell>
          <cell r="E299">
            <v>20</v>
          </cell>
          <cell r="F299" t="str">
            <v>CAJA DE 200 TORNILLOS TIRAFONDO PARA TARUGO DE 10MM - PRECIO POR UNIDAD</v>
          </cell>
          <cell r="G299">
            <v>120</v>
          </cell>
        </row>
        <row r="300">
          <cell r="D300" t="str">
            <v>81-0082-OC24</v>
          </cell>
          <cell r="E300">
            <v>18</v>
          </cell>
          <cell r="F300" t="str">
            <v>CAJA DE 200 TARUGOS MULTIPROPÓSITOS DE 8MM</v>
          </cell>
          <cell r="G300">
            <v>130</v>
          </cell>
        </row>
        <row r="301">
          <cell r="D301" t="str">
            <v>81-0082-OC24</v>
          </cell>
          <cell r="E301">
            <v>19</v>
          </cell>
          <cell r="F301" t="str">
            <v>CAJA DE 200 TARUGOS MULTIPROPÓSITOS DE 10MM</v>
          </cell>
          <cell r="G301">
            <v>120</v>
          </cell>
        </row>
        <row r="302">
          <cell r="D302" t="str">
            <v>81-0082-OC24</v>
          </cell>
          <cell r="E302">
            <v>10</v>
          </cell>
          <cell r="F302" t="str">
            <v>ROLLO DE 2 METROS DE TIRA DE AISLACIÓN TÉRMICA PARA CAÑOS DE 1/4</v>
          </cell>
          <cell r="G302">
            <v>7</v>
          </cell>
        </row>
        <row r="303">
          <cell r="D303" t="str">
            <v>81-0082-OC24</v>
          </cell>
          <cell r="E303">
            <v>9</v>
          </cell>
          <cell r="F303" t="str">
            <v>ROLLO DE 2 METROS DE TIRA DE AISLACIÓN TÉRMICA PARA CAÑOS DE 1/2</v>
          </cell>
          <cell r="G303">
            <v>2</v>
          </cell>
        </row>
        <row r="304">
          <cell r="D304" t="str">
            <v>81-0082-OC24</v>
          </cell>
          <cell r="E304">
            <v>7</v>
          </cell>
          <cell r="F304" t="str">
            <v>ROLLO DE 2 METROS DE TIRA DE AISLACIÓN TÉRMICA PARA CAÑOS DE 5/8</v>
          </cell>
          <cell r="G304">
            <v>7</v>
          </cell>
        </row>
        <row r="305">
          <cell r="D305" t="str">
            <v>81-0082-OC24</v>
          </cell>
          <cell r="E305">
            <v>3</v>
          </cell>
          <cell r="F305" t="str">
            <v>ROLLO DE 15 METROS CAÑO DE COBRE DE 5/8</v>
          </cell>
          <cell r="G305">
            <v>1</v>
          </cell>
        </row>
        <row r="306">
          <cell r="D306" t="str">
            <v>81-0082-OC24</v>
          </cell>
          <cell r="E306">
            <v>5</v>
          </cell>
          <cell r="F306" t="str">
            <v>ROLLO DE 15 METROS CAÑO DE COBRE DE 1/2</v>
          </cell>
          <cell r="G306">
            <v>1</v>
          </cell>
        </row>
        <row r="307">
          <cell r="D307" t="str">
            <v>81-0082-OC24</v>
          </cell>
          <cell r="E307">
            <v>6</v>
          </cell>
          <cell r="F307" t="str">
            <v>ROLLO DE 15 METROS CAÑO DE COBRE DE 1/4</v>
          </cell>
          <cell r="G307">
            <v>1</v>
          </cell>
        </row>
        <row r="308">
          <cell r="D308" t="str">
            <v>81-0081-OC24</v>
          </cell>
          <cell r="E308">
            <v>2</v>
          </cell>
          <cell r="F308" t="str">
            <v>EQUIPO SPLIT DE 6000 FRIGORÍAS - TIPO DE CLIMATIZACIÓN
FRIO/CALOR - EFICIENCIA ENERGÉTICA DE CLASE C O MAYOR EN CALEFACCIÓN Y A EN REFRIGERACIÓN - NO CONVERTER</v>
          </cell>
          <cell r="G308">
            <v>2</v>
          </cell>
        </row>
        <row r="309">
          <cell r="D309" t="str">
            <v>81-0080-OC24</v>
          </cell>
          <cell r="E309">
            <v>1</v>
          </cell>
          <cell r="F309" t="str">
            <v>EQUIPO SPLIT DE 4500 FRIGORÍAS - TIPO DE CLIMATIZACIÓNFRIO/CALOR - EFICIENCIA ENERGÉTICA DE CLASE C O MAYOR</v>
          </cell>
          <cell r="G309">
            <v>1</v>
          </cell>
        </row>
        <row r="310">
          <cell r="D310" t="str">
            <v>81-0080-OC24</v>
          </cell>
          <cell r="E310">
            <v>1</v>
          </cell>
          <cell r="F310" t="str">
            <v>EQUIPO SPLIT DE 4500 FRIGORÍAS - TIPO DE CLIMATIZACIÓNFRIO/CALOR - EFICIENCIA ENERGÉTICA DE CLASE C O MAYOR</v>
          </cell>
          <cell r="G310">
            <v>1</v>
          </cell>
        </row>
        <row r="311">
          <cell r="D311" t="str">
            <v>81-0081-OC24</v>
          </cell>
          <cell r="E311">
            <v>2</v>
          </cell>
          <cell r="F311" t="str">
            <v>EQUIPO SPLIT DE 6000 FRIGORÍAS - TIPO DE CLIMATIZACIÓN
FRIO/CALOR - EFICIENCIA ENERGÉTICA DE CLASE C O MAYOR EN CALEFACCIÓN Y A EN REFRIGERACIÓN - NO CONVERTER</v>
          </cell>
          <cell r="G311">
            <v>1</v>
          </cell>
        </row>
        <row r="312">
          <cell r="D312" t="str">
            <v>81-0082-OC24</v>
          </cell>
          <cell r="E312">
            <v>23</v>
          </cell>
          <cell r="F312" t="str">
            <v>CAJA DE 200 ARANDELAS PLANAS PARA TARUGOS DE 8MM</v>
          </cell>
          <cell r="G312">
            <v>10</v>
          </cell>
        </row>
        <row r="313">
          <cell r="D313" t="str">
            <v>81-0082-OC24</v>
          </cell>
          <cell r="E313">
            <v>22</v>
          </cell>
          <cell r="F313" t="str">
            <v>CAJA DE 200 ARANDELAS PLANAS PARA TARUGOS DE 10MM</v>
          </cell>
          <cell r="G313">
            <v>6</v>
          </cell>
        </row>
        <row r="314">
          <cell r="D314" t="str">
            <v>81-0082-OC24</v>
          </cell>
          <cell r="E314">
            <v>21</v>
          </cell>
          <cell r="F314" t="str">
            <v>CAJA DE 200 TORNILLOS TIRAFONDO PARA TARUGO DE 8MM</v>
          </cell>
          <cell r="G314">
            <v>10</v>
          </cell>
        </row>
        <row r="315">
          <cell r="D315" t="str">
            <v>81-0082-OC24</v>
          </cell>
          <cell r="E315">
            <v>20</v>
          </cell>
          <cell r="F315" t="str">
            <v>CAJA DE 200 TORNILLOS TIRAFONDO PARA TARUGO DE 10MM - PRECIO POR UNIDAD</v>
          </cell>
          <cell r="G315">
            <v>6</v>
          </cell>
        </row>
        <row r="316">
          <cell r="D316" t="str">
            <v>81-0082-OC24</v>
          </cell>
          <cell r="E316">
            <v>18</v>
          </cell>
          <cell r="F316" t="str">
            <v>CAJA DE 200 TARUGOS MULTIPROPÓSITOS DE 8MM</v>
          </cell>
          <cell r="G316">
            <v>10</v>
          </cell>
        </row>
        <row r="317">
          <cell r="D317" t="str">
            <v>81-0082-OC24</v>
          </cell>
          <cell r="E317">
            <v>19</v>
          </cell>
          <cell r="F317" t="str">
            <v>CAJA DE 200 TARUGOS MULTIPROPÓSITOS DE 10MM</v>
          </cell>
          <cell r="G317">
            <v>6</v>
          </cell>
        </row>
        <row r="318">
          <cell r="D318" t="str">
            <v>81-0082-OC24</v>
          </cell>
          <cell r="E318">
            <v>10</v>
          </cell>
          <cell r="F318" t="str">
            <v>ROLLO DE 2 METROS DE TIRA DE AISLACIÓN TÉRMICA PARA CAÑOS DE 1/4</v>
          </cell>
          <cell r="G318">
            <v>7</v>
          </cell>
        </row>
        <row r="319">
          <cell r="D319" t="str">
            <v>81-0082-OC24</v>
          </cell>
          <cell r="E319">
            <v>9</v>
          </cell>
          <cell r="F319" t="str">
            <v>ROLLO DE 2 METROS DE TIRA DE AISLACIÓN TÉRMICA PARA CAÑOS DE 1/2</v>
          </cell>
          <cell r="G319">
            <v>7</v>
          </cell>
        </row>
        <row r="320">
          <cell r="D320" t="str">
            <v>81-0082-OC24</v>
          </cell>
          <cell r="E320">
            <v>5</v>
          </cell>
          <cell r="F320" t="str">
            <v>ROLLO DE 15 METROS CAÑO DE COBRE DE 1/2</v>
          </cell>
          <cell r="G320">
            <v>1</v>
          </cell>
        </row>
        <row r="321">
          <cell r="D321" t="str">
            <v>EXISTENCIA PREV. 1</v>
          </cell>
          <cell r="E321" t="str">
            <v>S/N</v>
          </cell>
          <cell r="F321" t="str">
            <v xml:space="preserve">DESTORNILLADORES CHICOS (3 PHILIPS + 3 PLANOS) </v>
          </cell>
          <cell r="G321">
            <v>1</v>
          </cell>
        </row>
        <row r="322">
          <cell r="D322" t="str">
            <v>EXISTENCIA PREV. 1</v>
          </cell>
          <cell r="E322" t="str">
            <v>S/N</v>
          </cell>
          <cell r="F322" t="str">
            <v>CAMPERA IMPERMEABLE C/CAPUCHA</v>
          </cell>
          <cell r="G322">
            <v>1</v>
          </cell>
        </row>
        <row r="323">
          <cell r="D323" t="str">
            <v>EXISTENCIA PREV. 1</v>
          </cell>
          <cell r="E323" t="str">
            <v>S/N</v>
          </cell>
          <cell r="F323" t="str">
            <v>SWEATER CON LOGO</v>
          </cell>
          <cell r="G323">
            <v>1</v>
          </cell>
        </row>
        <row r="324">
          <cell r="D324" t="str">
            <v>EXISTENCIA PREV. 1</v>
          </cell>
          <cell r="E324" t="str">
            <v>S/N</v>
          </cell>
          <cell r="F324" t="str">
            <v>SWEATER CON LOGO</v>
          </cell>
          <cell r="G324">
            <v>1</v>
          </cell>
        </row>
        <row r="325">
          <cell r="D325" t="str">
            <v>EXISTENCIA PREV. 1</v>
          </cell>
          <cell r="E325" t="str">
            <v>S/N</v>
          </cell>
          <cell r="F325" t="str">
            <v>CAMPERA IMPERMEABLE C/CAPUCHA</v>
          </cell>
          <cell r="G325">
            <v>1</v>
          </cell>
        </row>
        <row r="326">
          <cell r="D326" t="str">
            <v>EXISTENCIA PREV. 1</v>
          </cell>
          <cell r="E326" t="str">
            <v>S/N</v>
          </cell>
          <cell r="F326" t="str">
            <v>CAMISA BLANCA M/LARGA CON LOGO VIVIENDA</v>
          </cell>
          <cell r="G326">
            <v>1</v>
          </cell>
        </row>
        <row r="327">
          <cell r="D327" t="str">
            <v>EXISTENCIA PREV. 1</v>
          </cell>
          <cell r="E327" t="str">
            <v>S/N</v>
          </cell>
          <cell r="F327" t="str">
            <v>CAMPERA CON LOGO MINISTERIO Y VIVIENDA</v>
          </cell>
          <cell r="G327">
            <v>1</v>
          </cell>
        </row>
        <row r="328">
          <cell r="D328" t="str">
            <v>EXISTENCIA PREV. 1</v>
          </cell>
          <cell r="E328" t="str">
            <v>S/N</v>
          </cell>
          <cell r="F328" t="str">
            <v>CAMPERA CON LOGO MINISTERIO Y VIVIENDA</v>
          </cell>
          <cell r="G328">
            <v>1</v>
          </cell>
        </row>
        <row r="329">
          <cell r="D329" t="str">
            <v>EXISTENCIA PREV. 1</v>
          </cell>
          <cell r="E329" t="str">
            <v>S/N</v>
          </cell>
          <cell r="F329" t="str">
            <v>CAMPERA CON LOGO MINISTERIO Y VIVIENDA</v>
          </cell>
          <cell r="G329">
            <v>1</v>
          </cell>
        </row>
        <row r="330">
          <cell r="D330" t="str">
            <v>EXISTENCIA PREV. 1</v>
          </cell>
          <cell r="E330" t="str">
            <v>S/N</v>
          </cell>
          <cell r="F330" t="str">
            <v>BUZO AZUL C/LOGO MINISTERIO DEL INTERIOR</v>
          </cell>
          <cell r="G330">
            <v>1</v>
          </cell>
        </row>
        <row r="331">
          <cell r="D331" t="str">
            <v>EXISTENCIA PREV. 1</v>
          </cell>
          <cell r="E331" t="str">
            <v>S/N</v>
          </cell>
          <cell r="F331" t="str">
            <v>BUZO AZUL C/LOGO MINISTERIO DEL INTERIOR</v>
          </cell>
          <cell r="G331">
            <v>1</v>
          </cell>
        </row>
        <row r="332">
          <cell r="D332" t="str">
            <v>EXISTENCIA PREV. 1</v>
          </cell>
          <cell r="E332" t="str">
            <v>S/N</v>
          </cell>
          <cell r="F332" t="str">
            <v>CAMPERA CON LOGO MINISTERIO Y VIVIENDA</v>
          </cell>
          <cell r="G332">
            <v>1</v>
          </cell>
        </row>
        <row r="333">
          <cell r="D333" t="str">
            <v>EXISTENCIA PREV. 1</v>
          </cell>
          <cell r="E333" t="str">
            <v>S/N</v>
          </cell>
          <cell r="F333" t="str">
            <v>BUZO AZUL C/LOGO MINISTERIO DEL INTERIOR</v>
          </cell>
          <cell r="G333">
            <v>1</v>
          </cell>
        </row>
        <row r="334">
          <cell r="D334" t="str">
            <v>EXISTENCIA PREV. 1</v>
          </cell>
          <cell r="E334" t="str">
            <v>S/N</v>
          </cell>
          <cell r="F334" t="str">
            <v>CAMPERA IMPERMEABLE C/CAPUCHA</v>
          </cell>
          <cell r="G334">
            <v>1</v>
          </cell>
        </row>
        <row r="335">
          <cell r="D335" t="str">
            <v>EXISTENCIA PREV. 1</v>
          </cell>
          <cell r="E335" t="str">
            <v>S/N</v>
          </cell>
          <cell r="F335" t="str">
            <v>BUZO AZUL C/LOGO MINISTERIO DEL INTERIOR</v>
          </cell>
          <cell r="G335">
            <v>1</v>
          </cell>
        </row>
        <row r="336">
          <cell r="D336" t="str">
            <v>EXISTENCIA PREV. 1</v>
          </cell>
          <cell r="E336" t="str">
            <v>S/N</v>
          </cell>
          <cell r="F336" t="str">
            <v>CAMPERA IMPERMEABLE C/CAPUCHA</v>
          </cell>
          <cell r="G336">
            <v>1</v>
          </cell>
        </row>
        <row r="337">
          <cell r="D337" t="str">
            <v>EXISTENCIA PREV. 1</v>
          </cell>
          <cell r="E337" t="str">
            <v>S/N</v>
          </cell>
          <cell r="F337" t="str">
            <v>CAMPERA IMPERMEABLE C/CAPUCHA</v>
          </cell>
          <cell r="G337">
            <v>1</v>
          </cell>
        </row>
        <row r="338">
          <cell r="D338" t="str">
            <v>EXISTENCIA PREV. 1</v>
          </cell>
          <cell r="E338" t="str">
            <v>S/N</v>
          </cell>
          <cell r="F338" t="str">
            <v>BUZO AZUL C/LOGO MINISTERIO DEL INTERIOR</v>
          </cell>
          <cell r="G338">
            <v>1</v>
          </cell>
        </row>
        <row r="339">
          <cell r="D339" t="str">
            <v>EXISTENCIA PREV. 1</v>
          </cell>
          <cell r="E339" t="str">
            <v>S/N</v>
          </cell>
          <cell r="F339" t="str">
            <v>CAMPERA IMPERMEABLE C/CAPUCHA</v>
          </cell>
          <cell r="G339">
            <v>2</v>
          </cell>
        </row>
        <row r="340">
          <cell r="D340" t="str">
            <v>EXISTENCIA PREV. 1</v>
          </cell>
          <cell r="E340" t="str">
            <v>S/N</v>
          </cell>
          <cell r="F340" t="str">
            <v>BUZO AZUL C/LOGO MINISTERIO DEL INTERIOR</v>
          </cell>
          <cell r="G340">
            <v>1</v>
          </cell>
        </row>
        <row r="341">
          <cell r="D341" t="str">
            <v>EXISTENCIA PREV. 1</v>
          </cell>
          <cell r="E341" t="str">
            <v>S/N</v>
          </cell>
          <cell r="F341" t="str">
            <v>BUZO AZUL C/LOGO MINISTERIO DEL INTERIOR</v>
          </cell>
          <cell r="G341">
            <v>1</v>
          </cell>
        </row>
        <row r="342">
          <cell r="D342" t="str">
            <v>EXISTENCIA PREV. 1</v>
          </cell>
          <cell r="E342" t="str">
            <v>S/N</v>
          </cell>
          <cell r="F342" t="str">
            <v>CAMPERA CON LOGO MINISTERIO Y VIVIENDA</v>
          </cell>
          <cell r="G342">
            <v>1</v>
          </cell>
        </row>
        <row r="343">
          <cell r="D343" t="str">
            <v>EXISTENCIA PREV. 1</v>
          </cell>
          <cell r="E343" t="str">
            <v>S/N</v>
          </cell>
          <cell r="F343" t="str">
            <v>CALZADO PARA DAMA</v>
          </cell>
          <cell r="G343">
            <v>1</v>
          </cell>
        </row>
        <row r="344">
          <cell r="D344" t="str">
            <v>EXISTENCIA PREV. 1</v>
          </cell>
          <cell r="E344" t="str">
            <v>S/N</v>
          </cell>
          <cell r="F344" t="str">
            <v>CAMISA BLANCA M/LARGA CON LOGO VIVIENDA</v>
          </cell>
          <cell r="G344">
            <v>3</v>
          </cell>
        </row>
        <row r="345">
          <cell r="D345" t="str">
            <v>EXISTENCIA PREV. 1</v>
          </cell>
          <cell r="E345" t="str">
            <v>S/N</v>
          </cell>
          <cell r="F345" t="str">
            <v>SWEATER CON LOGO</v>
          </cell>
          <cell r="G345">
            <v>1</v>
          </cell>
        </row>
        <row r="346">
          <cell r="D346" t="str">
            <v>EXISTENCIA PREV. 1</v>
          </cell>
          <cell r="E346" t="str">
            <v>S/N</v>
          </cell>
          <cell r="F346" t="str">
            <v>CAMPERA IMPERMEABLE C/CAPUCHA</v>
          </cell>
          <cell r="G346">
            <v>1</v>
          </cell>
        </row>
        <row r="347">
          <cell r="D347" t="str">
            <v>EXISTENCIA PREV. 1</v>
          </cell>
          <cell r="E347" t="str">
            <v>S/N</v>
          </cell>
          <cell r="F347" t="str">
            <v>PANTALON NEGRO PARA MOZA</v>
          </cell>
          <cell r="G347">
            <v>1</v>
          </cell>
        </row>
        <row r="348">
          <cell r="D348" t="str">
            <v>81-0018-OC25</v>
          </cell>
          <cell r="E348">
            <v>1</v>
          </cell>
          <cell r="F348" t="str">
            <v>Papel obra A4</v>
          </cell>
          <cell r="G348">
            <v>5</v>
          </cell>
        </row>
        <row r="349">
          <cell r="D349" t="str">
            <v>EXISTENCIA PREV. 1</v>
          </cell>
          <cell r="E349" t="str">
            <v>S/N</v>
          </cell>
          <cell r="F349" t="str">
            <v>BOLIGRAFO NEGRO</v>
          </cell>
          <cell r="G349">
            <v>10</v>
          </cell>
        </row>
        <row r="350">
          <cell r="D350" t="str">
            <v>81-0037-OC24</v>
          </cell>
          <cell r="E350">
            <v>5</v>
          </cell>
          <cell r="F350" t="str">
            <v>Bolígrafo azul</v>
          </cell>
          <cell r="G350">
            <v>5</v>
          </cell>
        </row>
        <row r="351">
          <cell r="D351" t="str">
            <v>EXISTENCIA PREV. 1</v>
          </cell>
          <cell r="E351" t="str">
            <v>S/N</v>
          </cell>
          <cell r="F351" t="str">
            <v>LAPIZ  2HB</v>
          </cell>
          <cell r="G351">
            <v>3</v>
          </cell>
        </row>
        <row r="352">
          <cell r="D352" t="str">
            <v>81-0038-OC24</v>
          </cell>
          <cell r="E352">
            <v>28</v>
          </cell>
          <cell r="F352" t="str">
            <v>Resaltadores color verde</v>
          </cell>
          <cell r="G352">
            <v>2</v>
          </cell>
        </row>
        <row r="353">
          <cell r="D353" t="str">
            <v>81-0038-OC24</v>
          </cell>
          <cell r="E353">
            <v>27</v>
          </cell>
          <cell r="F353" t="str">
            <v>Resaltadores color amarillo</v>
          </cell>
          <cell r="G353">
            <v>2</v>
          </cell>
        </row>
        <row r="354">
          <cell r="D354" t="str">
            <v>81-0038-OC24</v>
          </cell>
          <cell r="E354">
            <v>29</v>
          </cell>
          <cell r="F354" t="str">
            <v>Resaltadores color naranja</v>
          </cell>
          <cell r="G354">
            <v>2</v>
          </cell>
        </row>
        <row r="355">
          <cell r="D355" t="str">
            <v>EXISTENCIA PREV. 1</v>
          </cell>
          <cell r="E355" t="str">
            <v>S/N</v>
          </cell>
          <cell r="F355" t="str">
            <v>GOMA BORRA TINTA Y LAPIZ</v>
          </cell>
          <cell r="G355">
            <v>2</v>
          </cell>
        </row>
        <row r="356">
          <cell r="D356" t="str">
            <v>81-0037-OC24</v>
          </cell>
          <cell r="E356">
            <v>32</v>
          </cell>
          <cell r="F356" t="str">
            <v>Sacapuntas</v>
          </cell>
          <cell r="G356">
            <v>1</v>
          </cell>
        </row>
        <row r="357">
          <cell r="D357" t="str">
            <v>81-0018-OC25</v>
          </cell>
          <cell r="E357">
            <v>1</v>
          </cell>
          <cell r="F357" t="str">
            <v>Papel obra A4</v>
          </cell>
          <cell r="G357">
            <v>5</v>
          </cell>
        </row>
        <row r="358">
          <cell r="D358" t="str">
            <v>81-0018-OC25</v>
          </cell>
          <cell r="E358">
            <v>1</v>
          </cell>
          <cell r="F358" t="str">
            <v>Papel obra A4</v>
          </cell>
          <cell r="G358">
            <v>5</v>
          </cell>
        </row>
        <row r="359">
          <cell r="D359" t="str">
            <v>EXISTENCIA PREV. 1</v>
          </cell>
          <cell r="E359" t="str">
            <v>S/N</v>
          </cell>
          <cell r="F359" t="str">
            <v>CORRECTOR EN LAPIZ</v>
          </cell>
          <cell r="G359">
            <v>2</v>
          </cell>
        </row>
        <row r="360">
          <cell r="D360" t="str">
            <v>81-0037-OC24</v>
          </cell>
          <cell r="E360">
            <v>33</v>
          </cell>
          <cell r="F360" t="str">
            <v>Tacos de colores 9 x 9</v>
          </cell>
          <cell r="G360">
            <v>3</v>
          </cell>
        </row>
        <row r="361">
          <cell r="D361" t="str">
            <v>81-0041-OC24</v>
          </cell>
          <cell r="E361">
            <v>18</v>
          </cell>
          <cell r="F361" t="str">
            <v>Folio A4 paquete x 100 unidades</v>
          </cell>
          <cell r="G361">
            <v>75</v>
          </cell>
        </row>
        <row r="362">
          <cell r="D362" t="str">
            <v>81-0038-OC24</v>
          </cell>
          <cell r="E362">
            <v>31</v>
          </cell>
          <cell r="F362" t="str">
            <v>Resaltadores color celeste</v>
          </cell>
          <cell r="G362">
            <v>2</v>
          </cell>
        </row>
        <row r="363">
          <cell r="D363" t="str">
            <v>81-0038-OC24</v>
          </cell>
          <cell r="E363">
            <v>28</v>
          </cell>
          <cell r="F363" t="str">
            <v>Resaltadores color verde</v>
          </cell>
          <cell r="G363">
            <v>2</v>
          </cell>
        </row>
        <row r="364">
          <cell r="D364" t="str">
            <v>81-0038-OC24</v>
          </cell>
          <cell r="E364">
            <v>27</v>
          </cell>
          <cell r="F364" t="str">
            <v>Resaltadores color amarillo</v>
          </cell>
          <cell r="G364">
            <v>2</v>
          </cell>
        </row>
        <row r="365">
          <cell r="D365" t="str">
            <v>EXISTENCIA PREV. 1</v>
          </cell>
          <cell r="E365" t="str">
            <v>S/N</v>
          </cell>
          <cell r="F365" t="str">
            <v>TIJERAS CHICA</v>
          </cell>
          <cell r="G365">
            <v>2</v>
          </cell>
        </row>
        <row r="366">
          <cell r="D366" t="str">
            <v>EXISTENCIA PREV. 1</v>
          </cell>
          <cell r="E366" t="str">
            <v>S/N</v>
          </cell>
          <cell r="F366" t="str">
            <v>Broches P/abrochadora 10</v>
          </cell>
          <cell r="G366">
            <v>5</v>
          </cell>
        </row>
        <row r="367">
          <cell r="D367" t="str">
            <v>81-0037-OC24</v>
          </cell>
          <cell r="E367">
            <v>5</v>
          </cell>
          <cell r="F367" t="str">
            <v>Bolígrafo azul</v>
          </cell>
          <cell r="G367">
            <v>6</v>
          </cell>
        </row>
        <row r="368">
          <cell r="D368" t="str">
            <v>EXISTENCIA PREV. 1</v>
          </cell>
          <cell r="E368" t="str">
            <v>S/N</v>
          </cell>
          <cell r="F368" t="str">
            <v>BOLIGRAFO NEGRO</v>
          </cell>
          <cell r="G368">
            <v>6</v>
          </cell>
        </row>
        <row r="369">
          <cell r="D369" t="str">
            <v>81-0018-OC25</v>
          </cell>
          <cell r="E369">
            <v>1</v>
          </cell>
          <cell r="F369" t="str">
            <v>Papel obra A4</v>
          </cell>
          <cell r="G369">
            <v>5</v>
          </cell>
        </row>
        <row r="370">
          <cell r="D370" t="str">
            <v>81-0038-OC24</v>
          </cell>
          <cell r="E370">
            <v>28</v>
          </cell>
          <cell r="F370" t="str">
            <v>Resaltadores color verde</v>
          </cell>
          <cell r="G370">
            <v>5</v>
          </cell>
        </row>
        <row r="371">
          <cell r="D371" t="str">
            <v>81-0038-OC24</v>
          </cell>
          <cell r="E371">
            <v>27</v>
          </cell>
          <cell r="F371" t="str">
            <v>Resaltadores color amarillo</v>
          </cell>
          <cell r="G371">
            <v>5</v>
          </cell>
        </row>
        <row r="372">
          <cell r="D372" t="str">
            <v>81-0038-OC24</v>
          </cell>
          <cell r="E372">
            <v>29</v>
          </cell>
          <cell r="F372" t="str">
            <v>Resaltadores color naranja</v>
          </cell>
          <cell r="G372">
            <v>5</v>
          </cell>
        </row>
        <row r="373">
          <cell r="D373" t="str">
            <v>81-0038-OC24</v>
          </cell>
          <cell r="E373">
            <v>30</v>
          </cell>
          <cell r="F373" t="str">
            <v>Resaltadores color rosa</v>
          </cell>
          <cell r="G373">
            <v>5</v>
          </cell>
        </row>
        <row r="374">
          <cell r="D374" t="str">
            <v>81-0041-OC24</v>
          </cell>
          <cell r="E374">
            <v>18</v>
          </cell>
          <cell r="F374" t="str">
            <v>Folio A4 paquete x 100 unidades</v>
          </cell>
          <cell r="G374">
            <v>100</v>
          </cell>
        </row>
        <row r="375">
          <cell r="D375" t="str">
            <v>81-0018-OC25</v>
          </cell>
          <cell r="E375">
            <v>1</v>
          </cell>
          <cell r="F375" t="str">
            <v>Papel obra A4</v>
          </cell>
          <cell r="G375">
            <v>5</v>
          </cell>
        </row>
        <row r="376">
          <cell r="D376" t="str">
            <v>81-0041-OC24</v>
          </cell>
          <cell r="E376">
            <v>18</v>
          </cell>
          <cell r="F376" t="str">
            <v>Folio A4 paquete x 100 unidades</v>
          </cell>
          <cell r="G376">
            <v>100</v>
          </cell>
        </row>
        <row r="377">
          <cell r="D377" t="str">
            <v>EXISTENCIA PREV. 1</v>
          </cell>
          <cell r="E377" t="str">
            <v>S/N</v>
          </cell>
          <cell r="F377" t="str">
            <v>MARCADOR TRAZO FINO AZUL</v>
          </cell>
          <cell r="G377">
            <v>2</v>
          </cell>
        </row>
        <row r="378">
          <cell r="D378" t="str">
            <v>81-0038-OC24</v>
          </cell>
          <cell r="E378">
            <v>31</v>
          </cell>
          <cell r="F378" t="str">
            <v>Resaltadores color celeste</v>
          </cell>
          <cell r="G378">
            <v>2</v>
          </cell>
        </row>
        <row r="379">
          <cell r="D379" t="str">
            <v>81-0038-OC24</v>
          </cell>
          <cell r="E379">
            <v>29</v>
          </cell>
          <cell r="F379" t="str">
            <v>Resaltadores color naranja</v>
          </cell>
          <cell r="G379">
            <v>2</v>
          </cell>
        </row>
        <row r="380">
          <cell r="D380" t="str">
            <v>EXISTENCIA PREV. 1</v>
          </cell>
          <cell r="E380" t="str">
            <v>S/N</v>
          </cell>
          <cell r="F380" t="str">
            <v>Marcador al agua verde</v>
          </cell>
          <cell r="G380">
            <v>2</v>
          </cell>
        </row>
        <row r="381">
          <cell r="D381" t="str">
            <v>EXISTENCIA PREV. 1</v>
          </cell>
          <cell r="E381" t="str">
            <v>S/N</v>
          </cell>
          <cell r="F381" t="str">
            <v>LAPIZ  2HB</v>
          </cell>
          <cell r="G381">
            <v>5</v>
          </cell>
        </row>
        <row r="382">
          <cell r="D382" t="str">
            <v>81-0037-OC24</v>
          </cell>
          <cell r="E382">
            <v>5</v>
          </cell>
          <cell r="F382" t="str">
            <v>Bolígrafo azul</v>
          </cell>
          <cell r="G382">
            <v>10</v>
          </cell>
        </row>
        <row r="383">
          <cell r="D383" t="str">
            <v>EXISTENCIA PREV. 1</v>
          </cell>
          <cell r="E383" t="str">
            <v>S/N</v>
          </cell>
          <cell r="F383" t="str">
            <v>Bolígrafo rojo</v>
          </cell>
          <cell r="G383">
            <v>10</v>
          </cell>
        </row>
        <row r="384">
          <cell r="D384" t="str">
            <v>EXISTENCIA PREV. 1</v>
          </cell>
          <cell r="E384" t="str">
            <v>S/N</v>
          </cell>
          <cell r="F384" t="str">
            <v>BOLIGRAFO VERDE</v>
          </cell>
          <cell r="G384">
            <v>10</v>
          </cell>
        </row>
        <row r="385">
          <cell r="D385" t="str">
            <v>EXISTENCIA PREV. 1</v>
          </cell>
          <cell r="E385" t="str">
            <v>S/N</v>
          </cell>
          <cell r="F385" t="str">
            <v>CORRECTOR EN LAPIZ</v>
          </cell>
          <cell r="G385">
            <v>2</v>
          </cell>
        </row>
        <row r="386">
          <cell r="D386" t="str">
            <v>EXISTENCIA PREV. 1</v>
          </cell>
          <cell r="E386" t="str">
            <v>S/N</v>
          </cell>
          <cell r="F386" t="str">
            <v>GOMA BORRA TINTA Y LAPIZ</v>
          </cell>
          <cell r="G386">
            <v>2</v>
          </cell>
        </row>
        <row r="387">
          <cell r="D387" t="str">
            <v>EXISTENCIA PREV. 1</v>
          </cell>
          <cell r="E387" t="str">
            <v>S/N</v>
          </cell>
          <cell r="F387" t="str">
            <v>Cinta para embalar Transparente 5 cm x 50 mts</v>
          </cell>
          <cell r="G387">
            <v>2</v>
          </cell>
        </row>
        <row r="388">
          <cell r="D388" t="str">
            <v>EXISTENCIA PREV. 1</v>
          </cell>
          <cell r="E388" t="str">
            <v>S/N</v>
          </cell>
          <cell r="F388" t="str">
            <v>ADHESIVO TRANSPARENTE X50 ML</v>
          </cell>
          <cell r="G388">
            <v>2</v>
          </cell>
        </row>
        <row r="389">
          <cell r="D389" t="str">
            <v>EXISTENCIA PREV. 1</v>
          </cell>
          <cell r="E389" t="str">
            <v>S/N</v>
          </cell>
          <cell r="F389" t="str">
            <v>ADHESIVO BARRA</v>
          </cell>
          <cell r="G389">
            <v>2</v>
          </cell>
        </row>
        <row r="390">
          <cell r="D390" t="str">
            <v>81-0018-OC25</v>
          </cell>
          <cell r="E390">
            <v>1</v>
          </cell>
          <cell r="F390" t="str">
            <v>Papel obra A4</v>
          </cell>
          <cell r="G390">
            <v>5</v>
          </cell>
        </row>
        <row r="391">
          <cell r="D391" t="str">
            <v>EXISTENCIA PREV. 1</v>
          </cell>
          <cell r="E391" t="str">
            <v>S/N</v>
          </cell>
          <cell r="F391" t="str">
            <v>PAPEL OBRA OFICIO</v>
          </cell>
          <cell r="G391">
            <v>2</v>
          </cell>
        </row>
        <row r="392">
          <cell r="D392" t="str">
            <v>EXISTENCIA PREV. 1</v>
          </cell>
          <cell r="E392" t="str">
            <v>S/N</v>
          </cell>
          <cell r="F392" t="str">
            <v>MARCADOR PIZARRA ROJO</v>
          </cell>
          <cell r="G392">
            <v>1</v>
          </cell>
        </row>
        <row r="393">
          <cell r="D393" t="str">
            <v>EXISTENCIA PREV. 1</v>
          </cell>
          <cell r="E393" t="str">
            <v>S/N</v>
          </cell>
          <cell r="F393" t="str">
            <v>ADHESIVO VINILICO X 250 CC</v>
          </cell>
          <cell r="G393">
            <v>2</v>
          </cell>
        </row>
        <row r="394">
          <cell r="D394" t="str">
            <v>EXISTENCIA PREV. 1</v>
          </cell>
          <cell r="E394" t="str">
            <v>S/N</v>
          </cell>
          <cell r="F394" t="str">
            <v>ADHESIVO VINILICO X 30 ML</v>
          </cell>
          <cell r="G394">
            <v>2</v>
          </cell>
        </row>
        <row r="395">
          <cell r="D395" t="str">
            <v>EXISTENCIA PREV. 1</v>
          </cell>
          <cell r="E395" t="str">
            <v>S/N</v>
          </cell>
          <cell r="F395" t="str">
            <v>LAPIZ  2HB</v>
          </cell>
          <cell r="G395">
            <v>2</v>
          </cell>
        </row>
        <row r="396">
          <cell r="D396" t="str">
            <v>81-0037-OC24</v>
          </cell>
          <cell r="E396">
            <v>5</v>
          </cell>
          <cell r="F396" t="str">
            <v>Bolígrafo azul</v>
          </cell>
          <cell r="G396">
            <v>4</v>
          </cell>
        </row>
        <row r="397">
          <cell r="D397" t="str">
            <v>EXISTENCIA PREV. 1</v>
          </cell>
          <cell r="E397" t="str">
            <v>S/N</v>
          </cell>
          <cell r="F397" t="str">
            <v>FOLIOS OFICIO</v>
          </cell>
          <cell r="G397">
            <v>100</v>
          </cell>
        </row>
        <row r="398">
          <cell r="D398" t="str">
            <v>81-0038-OC24</v>
          </cell>
          <cell r="E398">
            <v>27</v>
          </cell>
          <cell r="F398" t="str">
            <v>Resaltadores color amarillo</v>
          </cell>
          <cell r="G398">
            <v>2</v>
          </cell>
        </row>
        <row r="399">
          <cell r="D399" t="str">
            <v>EXISTENCIA PREV. 1</v>
          </cell>
          <cell r="E399" t="str">
            <v>S/N</v>
          </cell>
          <cell r="F399" t="str">
            <v>SOBRE BLANCO 15X23 SIN MEMBRETE</v>
          </cell>
          <cell r="G399">
            <v>10</v>
          </cell>
        </row>
        <row r="400">
          <cell r="D400" t="str">
            <v>EXISTENCIA PREV. 1</v>
          </cell>
          <cell r="E400" t="str">
            <v>S/N</v>
          </cell>
          <cell r="F400" t="str">
            <v>ADHESIVO VINILICO X 30 ML</v>
          </cell>
          <cell r="G400">
            <v>5</v>
          </cell>
        </row>
        <row r="401">
          <cell r="D401" t="str">
            <v>EXISTENCIA PREV. 1</v>
          </cell>
          <cell r="E401" t="str">
            <v>S/N</v>
          </cell>
          <cell r="F401" t="str">
            <v>MARCADOR NEGRO AL SOLVENTE</v>
          </cell>
          <cell r="G401">
            <v>2</v>
          </cell>
        </row>
        <row r="402">
          <cell r="D402" t="str">
            <v>EXISTENCIA PREV. 1</v>
          </cell>
          <cell r="E402" t="str">
            <v>S/N</v>
          </cell>
          <cell r="F402" t="str">
            <v>MARCADOR AZUL AL SOLVENTE</v>
          </cell>
          <cell r="G402">
            <v>2</v>
          </cell>
        </row>
        <row r="403">
          <cell r="D403" t="str">
            <v>EXISTENCIA PREV. 1</v>
          </cell>
          <cell r="E403" t="str">
            <v>S/N</v>
          </cell>
          <cell r="F403" t="str">
            <v>MARCADOR ROJO AL SOLVENTE</v>
          </cell>
          <cell r="G403">
            <v>2</v>
          </cell>
        </row>
        <row r="404">
          <cell r="D404" t="str">
            <v>EXISTENCIA PREV. 1</v>
          </cell>
          <cell r="E404" t="str">
            <v>S/N</v>
          </cell>
          <cell r="F404" t="str">
            <v>MARCADOR VERDE AL SOLVENTE</v>
          </cell>
          <cell r="G404">
            <v>2</v>
          </cell>
        </row>
        <row r="405">
          <cell r="D405" t="str">
            <v>EXISTENCIA PREV. 1</v>
          </cell>
          <cell r="E405" t="str">
            <v>S/N</v>
          </cell>
          <cell r="F405" t="str">
            <v>MARCADOR CELESTE AL SOLVENTE</v>
          </cell>
          <cell r="G405">
            <v>2</v>
          </cell>
        </row>
        <row r="406">
          <cell r="D406" t="str">
            <v>81-0038-OC24</v>
          </cell>
          <cell r="E406">
            <v>31</v>
          </cell>
          <cell r="F406" t="str">
            <v>Resaltadores color celeste</v>
          </cell>
          <cell r="G406">
            <v>2</v>
          </cell>
        </row>
        <row r="407">
          <cell r="D407" t="str">
            <v>81-0038-OC24</v>
          </cell>
          <cell r="E407">
            <v>30</v>
          </cell>
          <cell r="F407" t="str">
            <v>Resaltadores color rosa</v>
          </cell>
          <cell r="G407">
            <v>2</v>
          </cell>
        </row>
        <row r="408">
          <cell r="D408" t="str">
            <v>81-0038-OC24</v>
          </cell>
          <cell r="E408">
            <v>29</v>
          </cell>
          <cell r="F408" t="str">
            <v>Resaltadores color naranja</v>
          </cell>
          <cell r="G408">
            <v>2</v>
          </cell>
        </row>
        <row r="409">
          <cell r="D409" t="str">
            <v>EXISTENCIA PREV. 1</v>
          </cell>
          <cell r="E409" t="str">
            <v>S/N</v>
          </cell>
          <cell r="F409" t="str">
            <v>LAPIZ  2HB</v>
          </cell>
          <cell r="G409">
            <v>3</v>
          </cell>
        </row>
        <row r="410">
          <cell r="D410" t="str">
            <v>81-0038-OC24</v>
          </cell>
          <cell r="E410">
            <v>14</v>
          </cell>
          <cell r="F410" t="str">
            <v>Cuaderno tapa dura rayado x 50 hojas</v>
          </cell>
          <cell r="G410">
            <v>3</v>
          </cell>
        </row>
        <row r="411">
          <cell r="D411" t="str">
            <v>EXISTENCIA PREV. 1</v>
          </cell>
          <cell r="E411" t="str">
            <v>S/N</v>
          </cell>
          <cell r="F411" t="str">
            <v>GOMA BORRA TINTA Y LAPIZ</v>
          </cell>
          <cell r="G411">
            <v>2</v>
          </cell>
        </row>
        <row r="412">
          <cell r="D412" t="str">
            <v>81-0037-OC24</v>
          </cell>
          <cell r="E412">
            <v>32</v>
          </cell>
          <cell r="F412" t="str">
            <v>Sacapuntas</v>
          </cell>
          <cell r="G412">
            <v>1</v>
          </cell>
        </row>
        <row r="413">
          <cell r="D413" t="str">
            <v>81-0018-OC25</v>
          </cell>
          <cell r="E413">
            <v>1</v>
          </cell>
          <cell r="F413" t="str">
            <v>Papel obra A4</v>
          </cell>
          <cell r="G413">
            <v>4</v>
          </cell>
        </row>
        <row r="414">
          <cell r="D414" t="str">
            <v>EXISTENCIA PREV. 1</v>
          </cell>
          <cell r="E414" t="str">
            <v>S/N</v>
          </cell>
          <cell r="F414" t="str">
            <v>PAPEL OBRA OFICIO</v>
          </cell>
          <cell r="G414">
            <v>1</v>
          </cell>
        </row>
        <row r="415">
          <cell r="D415" t="str">
            <v>81-0037-OC24</v>
          </cell>
          <cell r="E415">
            <v>5</v>
          </cell>
          <cell r="F415" t="str">
            <v>Bolígrafo azul</v>
          </cell>
          <cell r="G415">
            <v>5</v>
          </cell>
        </row>
        <row r="416">
          <cell r="D416" t="str">
            <v>EXISTENCIA PREV. 1</v>
          </cell>
          <cell r="E416" t="str">
            <v>S/N</v>
          </cell>
          <cell r="F416" t="str">
            <v>BOLIGRAFO NEGRO</v>
          </cell>
          <cell r="G416">
            <v>10</v>
          </cell>
        </row>
        <row r="417">
          <cell r="D417" t="str">
            <v>81-0038-OC24</v>
          </cell>
          <cell r="E417">
            <v>31</v>
          </cell>
          <cell r="F417" t="str">
            <v>Resaltadores color celeste</v>
          </cell>
          <cell r="G417">
            <v>2</v>
          </cell>
        </row>
        <row r="418">
          <cell r="D418" t="str">
            <v>81-0038-OC24</v>
          </cell>
          <cell r="E418">
            <v>29</v>
          </cell>
          <cell r="F418" t="str">
            <v>Resaltadores color naranja</v>
          </cell>
          <cell r="G418">
            <v>2</v>
          </cell>
        </row>
        <row r="419">
          <cell r="D419" t="str">
            <v>EXISTENCIA PREV. 1</v>
          </cell>
          <cell r="E419" t="str">
            <v>S/N</v>
          </cell>
          <cell r="F419" t="str">
            <v>TIJERAS CHICA</v>
          </cell>
          <cell r="G419">
            <v>2</v>
          </cell>
        </row>
        <row r="420">
          <cell r="D420" t="str">
            <v>EXISTENCIA PREV. 1</v>
          </cell>
          <cell r="E420" t="str">
            <v>S/N</v>
          </cell>
          <cell r="F420" t="str">
            <v>ABROCHADORA 10/50 pinza</v>
          </cell>
          <cell r="G420">
            <v>1</v>
          </cell>
        </row>
        <row r="421">
          <cell r="D421" t="str">
            <v>EXISTENCIA PREV. 1</v>
          </cell>
          <cell r="E421" t="str">
            <v>S/N</v>
          </cell>
          <cell r="F421" t="str">
            <v>Broches P/abrochadora 10</v>
          </cell>
          <cell r="G421">
            <v>2</v>
          </cell>
        </row>
        <row r="422">
          <cell r="D422" t="str">
            <v>EXISTENCIA PREV. 1</v>
          </cell>
          <cell r="E422" t="str">
            <v>S/N</v>
          </cell>
          <cell r="F422" t="str">
            <v>PORTA CINTA CHICO</v>
          </cell>
          <cell r="G422">
            <v>1</v>
          </cell>
        </row>
        <row r="423">
          <cell r="D423" t="str">
            <v>EXISTENCIA PREV. 1</v>
          </cell>
          <cell r="E423" t="str">
            <v>S/N</v>
          </cell>
          <cell r="F423" t="str">
            <v>MARCADOR AZUL AL SOLVENTE</v>
          </cell>
          <cell r="G423">
            <v>3</v>
          </cell>
        </row>
        <row r="424">
          <cell r="D424" t="str">
            <v>81-0038-OC24</v>
          </cell>
          <cell r="E424">
            <v>13</v>
          </cell>
          <cell r="F424" t="str">
            <v>Clips N° 3</v>
          </cell>
          <cell r="G424">
            <v>2</v>
          </cell>
        </row>
        <row r="425">
          <cell r="D425" t="str">
            <v>EXISTENCIA PREV. 1</v>
          </cell>
          <cell r="E425" t="str">
            <v>S/N</v>
          </cell>
          <cell r="F425" t="str">
            <v>FOLIOS OFICIO</v>
          </cell>
          <cell r="G425">
            <v>50</v>
          </cell>
        </row>
        <row r="426">
          <cell r="D426" t="str">
            <v>EXISTENCIA PREV. 1</v>
          </cell>
          <cell r="E426" t="str">
            <v>S/N</v>
          </cell>
          <cell r="F426" t="str">
            <v>ADHESIVO VINILICO X 250 CC</v>
          </cell>
          <cell r="G426">
            <v>2</v>
          </cell>
        </row>
        <row r="427">
          <cell r="D427" t="str">
            <v>81-0037-OC24</v>
          </cell>
          <cell r="E427">
            <v>33</v>
          </cell>
          <cell r="F427" t="str">
            <v>Tacos de colores 9 x 9</v>
          </cell>
          <cell r="G427">
            <v>2</v>
          </cell>
        </row>
        <row r="428">
          <cell r="D428" t="str">
            <v>EXISTENCIA PREV. 1</v>
          </cell>
          <cell r="E428" t="str">
            <v>S/N</v>
          </cell>
          <cell r="F428" t="str">
            <v>Cúter</v>
          </cell>
          <cell r="G428">
            <v>2</v>
          </cell>
        </row>
        <row r="429">
          <cell r="D429" t="str">
            <v>EXISTENCIA PREV. 1</v>
          </cell>
          <cell r="E429" t="str">
            <v>S/N</v>
          </cell>
          <cell r="F429" t="str">
            <v>Cinta para embalar Transparente 5 cm x 50 mts</v>
          </cell>
          <cell r="G429">
            <v>2</v>
          </cell>
        </row>
        <row r="430">
          <cell r="D430" t="str">
            <v>EXISTENCIA PREV. 1</v>
          </cell>
          <cell r="E430" t="str">
            <v>S/N</v>
          </cell>
          <cell r="F430" t="str">
            <v>SOBRE KRAFT OFICIO MARRON 23x 36 S/MEMBRETE</v>
          </cell>
          <cell r="G430">
            <v>100</v>
          </cell>
        </row>
        <row r="431">
          <cell r="D431" t="str">
            <v>81-0038-OC24</v>
          </cell>
          <cell r="E431">
            <v>2</v>
          </cell>
          <cell r="F431" t="str">
            <v>Bandas elásticas grandes</v>
          </cell>
          <cell r="G431">
            <v>1</v>
          </cell>
        </row>
        <row r="432">
          <cell r="D432" t="str">
            <v>81-0037-OC24</v>
          </cell>
          <cell r="E432">
            <v>5</v>
          </cell>
          <cell r="F432" t="str">
            <v>Bolígrafo azul</v>
          </cell>
          <cell r="G432">
            <v>5</v>
          </cell>
        </row>
        <row r="433">
          <cell r="D433" t="str">
            <v>EXISTENCIA PREV. 1</v>
          </cell>
          <cell r="E433" t="str">
            <v>S/N</v>
          </cell>
          <cell r="F433" t="str">
            <v>BOLIGRAFO NEGRO</v>
          </cell>
          <cell r="G433">
            <v>5</v>
          </cell>
        </row>
        <row r="434">
          <cell r="D434" t="str">
            <v>81-0038-OC24</v>
          </cell>
          <cell r="E434">
            <v>29</v>
          </cell>
          <cell r="F434" t="str">
            <v>Resaltadores color naranja</v>
          </cell>
          <cell r="G434">
            <v>2</v>
          </cell>
        </row>
        <row r="435">
          <cell r="D435" t="str">
            <v>EXISTENCIA PREV. 1</v>
          </cell>
          <cell r="E435" t="str">
            <v>S/N</v>
          </cell>
          <cell r="F435" t="str">
            <v>TIJERAS CHICA</v>
          </cell>
          <cell r="G435">
            <v>1</v>
          </cell>
        </row>
        <row r="436">
          <cell r="D436" t="str">
            <v>81-0018-OC25</v>
          </cell>
          <cell r="E436">
            <v>1</v>
          </cell>
          <cell r="F436" t="str">
            <v>Papel obra A4</v>
          </cell>
          <cell r="G436">
            <v>5</v>
          </cell>
        </row>
        <row r="437">
          <cell r="D437" t="str">
            <v>EXISTENCIA PREV. 1</v>
          </cell>
          <cell r="E437" t="str">
            <v>S/N</v>
          </cell>
          <cell r="F437" t="str">
            <v>Cinta para embalar Transparente 5 cm x 50 mts</v>
          </cell>
          <cell r="G437">
            <v>1</v>
          </cell>
        </row>
        <row r="438">
          <cell r="D438" t="str">
            <v>81-0038-OC24</v>
          </cell>
          <cell r="E438">
            <v>13</v>
          </cell>
          <cell r="F438" t="str">
            <v>Clips N° 3</v>
          </cell>
          <cell r="G438">
            <v>2</v>
          </cell>
        </row>
        <row r="439">
          <cell r="D439" t="str">
            <v>81-0018-OC25</v>
          </cell>
          <cell r="E439">
            <v>1</v>
          </cell>
          <cell r="F439" t="str">
            <v>Papel obra A4</v>
          </cell>
          <cell r="G439">
            <v>5</v>
          </cell>
        </row>
        <row r="440">
          <cell r="D440" t="str">
            <v>EXISTENCIA PREV. 1</v>
          </cell>
          <cell r="E440" t="str">
            <v>S/N</v>
          </cell>
          <cell r="F440" t="str">
            <v>PAPEL OBRA OFICIO</v>
          </cell>
          <cell r="G440">
            <v>5</v>
          </cell>
        </row>
        <row r="441">
          <cell r="D441" t="str">
            <v>EXISTENCIA PREV. 1</v>
          </cell>
          <cell r="E441" t="str">
            <v>S/N</v>
          </cell>
          <cell r="F441" t="str">
            <v>LAPIZ  2HB</v>
          </cell>
          <cell r="G441">
            <v>3</v>
          </cell>
        </row>
        <row r="442">
          <cell r="D442" t="str">
            <v>EXISTENCIA PREV. 1</v>
          </cell>
          <cell r="E442" t="str">
            <v>S/N</v>
          </cell>
          <cell r="F442" t="str">
            <v>GOMA BORRA TINTA Y LAPIZ</v>
          </cell>
          <cell r="G442">
            <v>2</v>
          </cell>
        </row>
        <row r="443">
          <cell r="D443" t="str">
            <v>81-0037-OC24</v>
          </cell>
          <cell r="E443">
            <v>32</v>
          </cell>
          <cell r="F443" t="str">
            <v>Sacapuntas</v>
          </cell>
          <cell r="G443">
            <v>1</v>
          </cell>
        </row>
        <row r="444">
          <cell r="D444" t="str">
            <v>EXISTENCIA PREV. 1</v>
          </cell>
          <cell r="E444" t="str">
            <v>S/N</v>
          </cell>
          <cell r="F444" t="str">
            <v>TIJERAS CHICA</v>
          </cell>
          <cell r="G444">
            <v>2</v>
          </cell>
        </row>
        <row r="445">
          <cell r="D445" t="str">
            <v>EXISTENCIA PREV. 1</v>
          </cell>
          <cell r="E445" t="str">
            <v>S/N</v>
          </cell>
          <cell r="F445" t="str">
            <v>Broches P/abrochadora 10</v>
          </cell>
          <cell r="G445">
            <v>4</v>
          </cell>
        </row>
        <row r="446">
          <cell r="D446" t="str">
            <v>EXISTENCIA PREV. 1</v>
          </cell>
          <cell r="E446" t="str">
            <v>S/N</v>
          </cell>
          <cell r="F446" t="str">
            <v>BROCHE P/ABROCHADORA 21/6</v>
          </cell>
          <cell r="G446">
            <v>4</v>
          </cell>
        </row>
        <row r="447">
          <cell r="D447" t="str">
            <v>EXISTENCIA PREV. 1</v>
          </cell>
          <cell r="E447" t="str">
            <v>S/N</v>
          </cell>
          <cell r="F447" t="str">
            <v>BROCHE P/ABROCHADORA 64</v>
          </cell>
          <cell r="G447">
            <v>4</v>
          </cell>
        </row>
        <row r="448">
          <cell r="D448" t="str">
            <v>81-0038-OC24</v>
          </cell>
          <cell r="E448">
            <v>31</v>
          </cell>
          <cell r="F448" t="str">
            <v>Resaltadores color celeste</v>
          </cell>
          <cell r="G448">
            <v>2</v>
          </cell>
        </row>
        <row r="449">
          <cell r="D449" t="str">
            <v>81-0038-OC24</v>
          </cell>
          <cell r="E449">
            <v>30</v>
          </cell>
          <cell r="F449" t="str">
            <v>Resaltadores color rosa</v>
          </cell>
          <cell r="G449">
            <v>2</v>
          </cell>
        </row>
        <row r="450">
          <cell r="D450" t="str">
            <v>81-0038-OC24</v>
          </cell>
          <cell r="E450">
            <v>29</v>
          </cell>
          <cell r="F450" t="str">
            <v>Resaltadores color naranja</v>
          </cell>
          <cell r="G450">
            <v>2</v>
          </cell>
        </row>
        <row r="451">
          <cell r="D451" t="str">
            <v>81-0038-OC24</v>
          </cell>
          <cell r="E451">
            <v>28</v>
          </cell>
          <cell r="F451" t="str">
            <v>Resaltadores color verde</v>
          </cell>
          <cell r="G451">
            <v>2</v>
          </cell>
        </row>
        <row r="452">
          <cell r="D452" t="str">
            <v>81-0038-OC24</v>
          </cell>
          <cell r="E452">
            <v>27</v>
          </cell>
          <cell r="F452" t="str">
            <v>Resaltadores color amarillo</v>
          </cell>
          <cell r="G452">
            <v>2</v>
          </cell>
        </row>
        <row r="453">
          <cell r="D453" t="str">
            <v>EXISTENCIA PREV. 1</v>
          </cell>
          <cell r="E453" t="str">
            <v>S/N</v>
          </cell>
          <cell r="F453" t="str">
            <v>MARCADOR PIZARRA NEGRO</v>
          </cell>
          <cell r="G453">
            <v>3</v>
          </cell>
        </row>
        <row r="454">
          <cell r="D454" t="str">
            <v>EXISTENCIA PREV. 1</v>
          </cell>
          <cell r="E454" t="str">
            <v>S/N</v>
          </cell>
          <cell r="F454" t="str">
            <v>MARCADOR PIZARRA ROJO</v>
          </cell>
          <cell r="G454">
            <v>3</v>
          </cell>
        </row>
        <row r="455">
          <cell r="D455" t="str">
            <v>EXISTENCIA PREV. 1</v>
          </cell>
          <cell r="E455" t="str">
            <v>S/N</v>
          </cell>
          <cell r="F455" t="str">
            <v>MARCADOR INDELEBLE AZUL</v>
          </cell>
          <cell r="G455">
            <v>1</v>
          </cell>
        </row>
        <row r="456">
          <cell r="D456" t="str">
            <v>EXISTENCIA PREV. 1</v>
          </cell>
          <cell r="E456" t="str">
            <v>S/N</v>
          </cell>
          <cell r="F456" t="str">
            <v>MARCADOR INDELEBLE NEGRO</v>
          </cell>
          <cell r="G456">
            <v>1</v>
          </cell>
        </row>
        <row r="457">
          <cell r="D457" t="str">
            <v>81-0037-OC24</v>
          </cell>
          <cell r="E457">
            <v>5</v>
          </cell>
          <cell r="F457" t="str">
            <v>Bolígrafo azul</v>
          </cell>
          <cell r="G457">
            <v>5</v>
          </cell>
        </row>
        <row r="458">
          <cell r="D458" t="str">
            <v>EXISTENCIA PREV. 1</v>
          </cell>
          <cell r="E458" t="str">
            <v>S/N</v>
          </cell>
          <cell r="F458" t="str">
            <v>BOLIGRAFO NEGRO</v>
          </cell>
          <cell r="G458">
            <v>10</v>
          </cell>
        </row>
        <row r="459">
          <cell r="D459" t="str">
            <v>EXISTENCIA PREV. 1</v>
          </cell>
          <cell r="E459" t="str">
            <v>S/N</v>
          </cell>
          <cell r="F459" t="str">
            <v>CORRECTOR EN LAPIZ</v>
          </cell>
          <cell r="G459">
            <v>2</v>
          </cell>
        </row>
        <row r="460">
          <cell r="D460" t="str">
            <v>81-0041-OC24</v>
          </cell>
          <cell r="E460">
            <v>18</v>
          </cell>
          <cell r="F460" t="str">
            <v>Folio A4 paquete x 100 unidades</v>
          </cell>
          <cell r="G460">
            <v>100</v>
          </cell>
        </row>
        <row r="461">
          <cell r="D461" t="str">
            <v>81-0038-OC24</v>
          </cell>
          <cell r="E461">
            <v>2</v>
          </cell>
          <cell r="F461" t="str">
            <v>Bandas elásticas grandes</v>
          </cell>
          <cell r="G461">
            <v>1</v>
          </cell>
        </row>
        <row r="462">
          <cell r="D462" t="str">
            <v>EXISTENCIA PREV. 1</v>
          </cell>
          <cell r="E462" t="str">
            <v>S/N</v>
          </cell>
          <cell r="F462" t="str">
            <v xml:space="preserve">SACABROCHES PLASTICO </v>
          </cell>
          <cell r="G462">
            <v>2</v>
          </cell>
        </row>
        <row r="463">
          <cell r="D463" t="str">
            <v>EXISTENCIA PREV. 1</v>
          </cell>
          <cell r="E463" t="str">
            <v>S/N</v>
          </cell>
          <cell r="F463" t="str">
            <v>Cinta para embalar Transparente 5 cm x 50 mts</v>
          </cell>
          <cell r="G463">
            <v>2</v>
          </cell>
        </row>
        <row r="464">
          <cell r="D464" t="str">
            <v>EXISTENCIA PREV. 1</v>
          </cell>
          <cell r="E464" t="str">
            <v>S/N</v>
          </cell>
          <cell r="F464" t="str">
            <v>ADHESIVO VINILICO X 30 ML</v>
          </cell>
          <cell r="G464">
            <v>3</v>
          </cell>
        </row>
        <row r="465">
          <cell r="D465" t="str">
            <v>EXISTENCIA PREV. 1</v>
          </cell>
          <cell r="E465" t="str">
            <v>S/N</v>
          </cell>
          <cell r="F465" t="str">
            <v>ADHESIVO TRANSPARENTE X50 ML</v>
          </cell>
          <cell r="G465">
            <v>3</v>
          </cell>
        </row>
        <row r="466">
          <cell r="D466" t="str">
            <v>81-0018-OC25</v>
          </cell>
          <cell r="E466">
            <v>1</v>
          </cell>
          <cell r="F466" t="str">
            <v>Papel obra A4</v>
          </cell>
          <cell r="G466">
            <v>5</v>
          </cell>
        </row>
        <row r="467">
          <cell r="D467" t="str">
            <v>EXISTENCIA PREV. 1</v>
          </cell>
          <cell r="E467" t="str">
            <v>S/N</v>
          </cell>
          <cell r="F467" t="str">
            <v>BOLIGRAFO NEGRO</v>
          </cell>
          <cell r="G467">
            <v>10</v>
          </cell>
        </row>
        <row r="468">
          <cell r="D468" t="str">
            <v>EXISTENCIA PREV. 1</v>
          </cell>
          <cell r="E468" t="str">
            <v>S/N</v>
          </cell>
          <cell r="F468" t="str">
            <v>ARCHIVOS PLASTICOS</v>
          </cell>
          <cell r="G468">
            <v>20</v>
          </cell>
        </row>
        <row r="469">
          <cell r="D469" t="str">
            <v>EXISTENCIA PREV. 1</v>
          </cell>
          <cell r="E469" t="str">
            <v>S/N</v>
          </cell>
          <cell r="F469" t="str">
            <v>TIJERAS CHICA</v>
          </cell>
          <cell r="G469">
            <v>2</v>
          </cell>
        </row>
        <row r="470">
          <cell r="D470" t="str">
            <v>EXISTENCIA PREV. 1</v>
          </cell>
          <cell r="E470" t="str">
            <v>S/N</v>
          </cell>
          <cell r="F470" t="str">
            <v>ADHESIVO VINILICO X 250 CC</v>
          </cell>
          <cell r="G470">
            <v>2</v>
          </cell>
        </row>
        <row r="471">
          <cell r="D471" t="str">
            <v>81-0038-OC24</v>
          </cell>
          <cell r="E471">
            <v>28</v>
          </cell>
          <cell r="F471" t="str">
            <v>Resaltadores color verde</v>
          </cell>
          <cell r="G471">
            <v>2</v>
          </cell>
        </row>
        <row r="472">
          <cell r="D472" t="str">
            <v>EXISTENCIA PREV. 1</v>
          </cell>
          <cell r="E472" t="str">
            <v>S/N</v>
          </cell>
          <cell r="F472" t="str">
            <v>Broches P/abrochadora 10</v>
          </cell>
          <cell r="G472">
            <v>3</v>
          </cell>
        </row>
        <row r="473">
          <cell r="D473" t="str">
            <v>81-0037-OC24</v>
          </cell>
          <cell r="E473">
            <v>9</v>
          </cell>
          <cell r="F473" t="str">
            <v>Carpeta presupuesto tapa transparente A4</v>
          </cell>
          <cell r="G473">
            <v>60</v>
          </cell>
        </row>
        <row r="474">
          <cell r="D474" t="str">
            <v>81-0018-OC25</v>
          </cell>
          <cell r="E474">
            <v>1</v>
          </cell>
          <cell r="F474" t="str">
            <v>Papel obra A4</v>
          </cell>
          <cell r="G474">
            <v>5</v>
          </cell>
        </row>
        <row r="475">
          <cell r="D475" t="str">
            <v>EXISTENCIA PREV. 1</v>
          </cell>
          <cell r="E475" t="str">
            <v>S/N</v>
          </cell>
          <cell r="F475" t="str">
            <v>PAPEL OBRA OFICIO</v>
          </cell>
          <cell r="G475">
            <v>5</v>
          </cell>
        </row>
        <row r="476">
          <cell r="D476" t="str">
            <v>81-0037-OC24</v>
          </cell>
          <cell r="E476">
            <v>16</v>
          </cell>
          <cell r="F476" t="str">
            <v>Cuaderno tipo universitario cuadriculado</v>
          </cell>
          <cell r="G476">
            <v>2</v>
          </cell>
        </row>
        <row r="477">
          <cell r="D477" t="str">
            <v>81-0042-OC24</v>
          </cell>
          <cell r="E477">
            <v>20</v>
          </cell>
          <cell r="F477" t="str">
            <v>Libro de actas 400 folios</v>
          </cell>
          <cell r="G477">
            <v>1</v>
          </cell>
        </row>
        <row r="478">
          <cell r="D478" t="str">
            <v>81-0018-OC25</v>
          </cell>
          <cell r="E478">
            <v>1</v>
          </cell>
          <cell r="F478" t="str">
            <v>Papel obra A4</v>
          </cell>
          <cell r="G478">
            <v>5</v>
          </cell>
        </row>
        <row r="479">
          <cell r="D479" t="str">
            <v>EXISTENCIA PREV. 1</v>
          </cell>
          <cell r="E479" t="str">
            <v>S/N</v>
          </cell>
          <cell r="F479" t="str">
            <v>GOMA BORRA TINTA Y LAPIZ</v>
          </cell>
          <cell r="G479">
            <v>2</v>
          </cell>
        </row>
        <row r="480">
          <cell r="D480" t="str">
            <v>EXISTENCIA PREV. 1</v>
          </cell>
          <cell r="E480" t="str">
            <v>S/N</v>
          </cell>
          <cell r="F480" t="str">
            <v>Cinta para embalar Transparente 5 cm x 50 mts</v>
          </cell>
          <cell r="G480">
            <v>2</v>
          </cell>
        </row>
        <row r="481">
          <cell r="D481" t="str">
            <v>EXISTENCIA PREV. 1</v>
          </cell>
          <cell r="E481" t="str">
            <v>S/N</v>
          </cell>
          <cell r="F481" t="str">
            <v>MARCADOR PIZARRA NEGRO</v>
          </cell>
          <cell r="G481">
            <v>1</v>
          </cell>
        </row>
        <row r="482">
          <cell r="D482" t="str">
            <v>EXISTENCIA PREV. 1</v>
          </cell>
          <cell r="E482" t="str">
            <v>S/N</v>
          </cell>
          <cell r="F482" t="str">
            <v>MARCADOR PIZARRA ROJO</v>
          </cell>
          <cell r="G482">
            <v>1</v>
          </cell>
        </row>
        <row r="483">
          <cell r="D483" t="str">
            <v>EXISTENCIA PREV. 1</v>
          </cell>
          <cell r="E483" t="str">
            <v>S/N</v>
          </cell>
          <cell r="F483" t="str">
            <v>LAPIZ  2HB</v>
          </cell>
          <cell r="G483">
            <v>5</v>
          </cell>
        </row>
        <row r="484">
          <cell r="D484" t="str">
            <v>81-0037-OC24</v>
          </cell>
          <cell r="E484">
            <v>33</v>
          </cell>
          <cell r="F484" t="str">
            <v>Tacos de colores 9 x 9</v>
          </cell>
          <cell r="G484">
            <v>4</v>
          </cell>
        </row>
        <row r="485">
          <cell r="D485" t="str">
            <v>EXISTENCIA PREV. 1</v>
          </cell>
          <cell r="E485" t="str">
            <v>S/N</v>
          </cell>
          <cell r="F485" t="str">
            <v>ADHESIVO BARRA</v>
          </cell>
          <cell r="G485">
            <v>4</v>
          </cell>
        </row>
        <row r="486">
          <cell r="D486" t="str">
            <v>EXISTENCIA PREV. 1</v>
          </cell>
          <cell r="E486" t="str">
            <v>S/N</v>
          </cell>
          <cell r="F486" t="str">
            <v>CORRECTOR EN LAPIZ</v>
          </cell>
          <cell r="G486">
            <v>3</v>
          </cell>
        </row>
        <row r="487">
          <cell r="D487" t="str">
            <v>81-0037-OC24</v>
          </cell>
          <cell r="E487">
            <v>32</v>
          </cell>
          <cell r="F487" t="str">
            <v>Sacapuntas</v>
          </cell>
          <cell r="G487">
            <v>2</v>
          </cell>
        </row>
        <row r="488">
          <cell r="D488" t="str">
            <v>81-0038-OC24</v>
          </cell>
          <cell r="E488">
            <v>28</v>
          </cell>
          <cell r="F488" t="str">
            <v>Resaltadores color verde</v>
          </cell>
          <cell r="G488">
            <v>2</v>
          </cell>
        </row>
        <row r="489">
          <cell r="D489" t="str">
            <v>81-0038-OC24</v>
          </cell>
          <cell r="E489">
            <v>14</v>
          </cell>
          <cell r="F489" t="str">
            <v>Cuaderno tapa dura rayado x 50 hojas</v>
          </cell>
          <cell r="G489">
            <v>5</v>
          </cell>
        </row>
        <row r="490">
          <cell r="D490" t="str">
            <v>81-0018-OC25</v>
          </cell>
          <cell r="E490">
            <v>1</v>
          </cell>
          <cell r="F490" t="str">
            <v>Papel obra A4</v>
          </cell>
          <cell r="G490">
            <v>5</v>
          </cell>
        </row>
        <row r="491">
          <cell r="D491" t="str">
            <v>81-0041-OC24</v>
          </cell>
          <cell r="E491">
            <v>18</v>
          </cell>
          <cell r="F491" t="str">
            <v>Folio A4 paquete x 100 unidades</v>
          </cell>
          <cell r="G491">
            <v>50</v>
          </cell>
        </row>
        <row r="492">
          <cell r="D492" t="str">
            <v>EXISTENCIA PREV. 1</v>
          </cell>
          <cell r="E492" t="str">
            <v>S/N</v>
          </cell>
          <cell r="F492" t="str">
            <v>CORRECTOR EN LAPIZ</v>
          </cell>
          <cell r="G492">
            <v>2</v>
          </cell>
        </row>
        <row r="493">
          <cell r="D493" t="str">
            <v>81-0038-OC24</v>
          </cell>
          <cell r="E493">
            <v>31</v>
          </cell>
          <cell r="F493" t="str">
            <v>Resaltadores color celeste</v>
          </cell>
          <cell r="G493">
            <v>2</v>
          </cell>
        </row>
        <row r="494">
          <cell r="D494" t="str">
            <v>81-0038-OC24</v>
          </cell>
          <cell r="E494">
            <v>30</v>
          </cell>
          <cell r="F494" t="str">
            <v>Resaltadores color rosa</v>
          </cell>
          <cell r="G494">
            <v>2</v>
          </cell>
        </row>
        <row r="495">
          <cell r="D495" t="str">
            <v>81-0038-OC24</v>
          </cell>
          <cell r="E495">
            <v>29</v>
          </cell>
          <cell r="F495" t="str">
            <v>Resaltadores color naranja</v>
          </cell>
          <cell r="G495">
            <v>2</v>
          </cell>
        </row>
        <row r="496">
          <cell r="D496" t="str">
            <v>81-0038-OC24</v>
          </cell>
          <cell r="E496">
            <v>28</v>
          </cell>
          <cell r="F496" t="str">
            <v>Resaltadores color verde</v>
          </cell>
          <cell r="G496">
            <v>2</v>
          </cell>
        </row>
        <row r="497">
          <cell r="D497" t="str">
            <v>81-0038-OC24</v>
          </cell>
          <cell r="E497">
            <v>27</v>
          </cell>
          <cell r="F497" t="str">
            <v>Resaltadores color amarillo</v>
          </cell>
          <cell r="G497">
            <v>2</v>
          </cell>
        </row>
        <row r="498">
          <cell r="D498" t="str">
            <v>81-0037-OC24</v>
          </cell>
          <cell r="E498">
            <v>33</v>
          </cell>
          <cell r="F498" t="str">
            <v>Tacos de colores 9 x 9</v>
          </cell>
          <cell r="G498">
            <v>2</v>
          </cell>
        </row>
        <row r="499">
          <cell r="D499" t="str">
            <v>EXISTENCIA PREV. 1</v>
          </cell>
          <cell r="E499" t="str">
            <v>S/N</v>
          </cell>
          <cell r="F499" t="str">
            <v>ADHESIVO BARRA</v>
          </cell>
          <cell r="G499">
            <v>2</v>
          </cell>
        </row>
        <row r="500">
          <cell r="D500" t="str">
            <v>EXISTENCIA PREV. 1</v>
          </cell>
          <cell r="E500" t="str">
            <v>S/N</v>
          </cell>
          <cell r="F500" t="str">
            <v>ABROCHADORA 21/6 pinza</v>
          </cell>
          <cell r="G500">
            <v>1</v>
          </cell>
        </row>
        <row r="501">
          <cell r="D501" t="str">
            <v>81-0018-OC25</v>
          </cell>
          <cell r="E501">
            <v>1</v>
          </cell>
          <cell r="F501" t="str">
            <v>Papel obra A4</v>
          </cell>
          <cell r="G501">
            <v>4</v>
          </cell>
        </row>
        <row r="502">
          <cell r="D502" t="str">
            <v>81-0018-OC25</v>
          </cell>
          <cell r="E502">
            <v>1</v>
          </cell>
          <cell r="F502" t="str">
            <v>Papel obra A4</v>
          </cell>
          <cell r="G502">
            <v>5</v>
          </cell>
        </row>
        <row r="503">
          <cell r="D503" t="str">
            <v>EXISTENCIA PREV. 1</v>
          </cell>
          <cell r="E503" t="str">
            <v>S/N</v>
          </cell>
          <cell r="F503" t="str">
            <v>GOMA BORRA TINTA Y LAPIZ</v>
          </cell>
          <cell r="G503">
            <v>2</v>
          </cell>
        </row>
        <row r="504">
          <cell r="D504" t="str">
            <v>81-0037-OC24</v>
          </cell>
          <cell r="E504">
            <v>32</v>
          </cell>
          <cell r="F504" t="str">
            <v>Sacapuntas</v>
          </cell>
          <cell r="G504">
            <v>1</v>
          </cell>
        </row>
        <row r="505">
          <cell r="D505" t="str">
            <v>81-0038-OC24</v>
          </cell>
          <cell r="E505">
            <v>31</v>
          </cell>
          <cell r="F505" t="str">
            <v>Resaltadores color celeste</v>
          </cell>
          <cell r="G505">
            <v>1</v>
          </cell>
        </row>
        <row r="506">
          <cell r="D506" t="str">
            <v>81-0038-OC24</v>
          </cell>
          <cell r="E506">
            <v>30</v>
          </cell>
          <cell r="F506" t="str">
            <v>Resaltadores color rosa</v>
          </cell>
          <cell r="G506">
            <v>1</v>
          </cell>
        </row>
        <row r="507">
          <cell r="D507" t="str">
            <v>81-0038-OC24</v>
          </cell>
          <cell r="E507">
            <v>29</v>
          </cell>
          <cell r="F507" t="str">
            <v>Resaltadores color naranja</v>
          </cell>
          <cell r="G507">
            <v>1</v>
          </cell>
        </row>
        <row r="508">
          <cell r="D508" t="str">
            <v>81-0038-OC24</v>
          </cell>
          <cell r="E508">
            <v>28</v>
          </cell>
          <cell r="F508" t="str">
            <v>Resaltadores color verde</v>
          </cell>
          <cell r="G508">
            <v>1</v>
          </cell>
        </row>
        <row r="509">
          <cell r="D509" t="str">
            <v>81-0038-OC24</v>
          </cell>
          <cell r="E509">
            <v>27</v>
          </cell>
          <cell r="F509" t="str">
            <v>Resaltadores color amarillo</v>
          </cell>
          <cell r="G509">
            <v>1</v>
          </cell>
        </row>
        <row r="510">
          <cell r="D510" t="str">
            <v>EXISTENCIA PREV. 1</v>
          </cell>
          <cell r="E510" t="str">
            <v>S/N</v>
          </cell>
          <cell r="F510" t="str">
            <v>MARCADOR PIZARRA NEGRO</v>
          </cell>
          <cell r="G510">
            <v>2</v>
          </cell>
        </row>
        <row r="511">
          <cell r="D511" t="str">
            <v>EXISTENCIA PREV. 1</v>
          </cell>
          <cell r="E511" t="str">
            <v>S/N</v>
          </cell>
          <cell r="F511" t="str">
            <v>MARCADOR PIZARRA ROJO</v>
          </cell>
          <cell r="G511">
            <v>2</v>
          </cell>
        </row>
        <row r="512">
          <cell r="D512" t="str">
            <v>81-0037-OC24</v>
          </cell>
          <cell r="E512">
            <v>5</v>
          </cell>
          <cell r="F512" t="str">
            <v>Bolígrafo azul</v>
          </cell>
          <cell r="G512">
            <v>5</v>
          </cell>
        </row>
        <row r="513">
          <cell r="D513" t="str">
            <v>EXISTENCIA PREV. 1</v>
          </cell>
          <cell r="E513" t="str">
            <v>S/N</v>
          </cell>
          <cell r="F513" t="str">
            <v>BOLIGRAFO NEGRO</v>
          </cell>
          <cell r="G513">
            <v>10</v>
          </cell>
        </row>
        <row r="514">
          <cell r="D514" t="str">
            <v>EXISTENCIA PREV. 1</v>
          </cell>
          <cell r="E514" t="str">
            <v>S/N</v>
          </cell>
          <cell r="F514" t="str">
            <v>ADHESIVO VINILICO X 30 ML</v>
          </cell>
          <cell r="G514">
            <v>3</v>
          </cell>
        </row>
        <row r="515">
          <cell r="D515" t="str">
            <v>EXISTENCIA PREV. 1</v>
          </cell>
          <cell r="E515" t="str">
            <v>S/N</v>
          </cell>
          <cell r="F515" t="str">
            <v>ADHESIVO TRANSPARENTE X50 ML</v>
          </cell>
          <cell r="G515">
            <v>2</v>
          </cell>
        </row>
        <row r="516">
          <cell r="D516" t="str">
            <v>EXISTENCIA PREV. 1</v>
          </cell>
          <cell r="E516" t="str">
            <v>S/N</v>
          </cell>
          <cell r="F516" t="str">
            <v>Cinta para embalar Transparente 5 cm x 50 mts</v>
          </cell>
          <cell r="G516">
            <v>2</v>
          </cell>
        </row>
        <row r="517">
          <cell r="D517" t="str">
            <v>EXISTENCIA PREV. 1</v>
          </cell>
          <cell r="E517" t="str">
            <v>S/N</v>
          </cell>
          <cell r="F517" t="str">
            <v>REGLA PLASTICA  X 30 CMTS</v>
          </cell>
          <cell r="G517">
            <v>1</v>
          </cell>
        </row>
        <row r="518">
          <cell r="D518" t="str">
            <v>81-0037-OC24</v>
          </cell>
          <cell r="E518">
            <v>16</v>
          </cell>
          <cell r="F518" t="str">
            <v>Cuaderno tipo universitario cuadriculado</v>
          </cell>
          <cell r="G518">
            <v>2</v>
          </cell>
        </row>
        <row r="519">
          <cell r="D519" t="str">
            <v>EXISTENCIA PREV. 1</v>
          </cell>
          <cell r="E519" t="str">
            <v>S/N</v>
          </cell>
          <cell r="F519" t="str">
            <v>BOLIGRAFO NEGRO</v>
          </cell>
          <cell r="G519">
            <v>6</v>
          </cell>
        </row>
        <row r="520">
          <cell r="D520" t="str">
            <v>81-0018-OC25</v>
          </cell>
          <cell r="E520">
            <v>1</v>
          </cell>
          <cell r="F520" t="str">
            <v>Papel obra A4</v>
          </cell>
          <cell r="G520">
            <v>5</v>
          </cell>
        </row>
        <row r="521">
          <cell r="D521" t="str">
            <v>EXISTENCIA PREV. 1</v>
          </cell>
          <cell r="E521" t="str">
            <v>S/N</v>
          </cell>
          <cell r="F521" t="str">
            <v>PORTA CINTA CHICO</v>
          </cell>
          <cell r="G521">
            <v>1</v>
          </cell>
        </row>
        <row r="522">
          <cell r="D522" t="str">
            <v>EXISTENCIA PREV. 1</v>
          </cell>
          <cell r="E522" t="str">
            <v>S/N</v>
          </cell>
          <cell r="F522" t="str">
            <v>LAPIZ  2HB</v>
          </cell>
          <cell r="G522">
            <v>3</v>
          </cell>
        </row>
        <row r="523">
          <cell r="D523" t="str">
            <v>EXISTENCIA PREV. 1</v>
          </cell>
          <cell r="E523" t="str">
            <v>S/N</v>
          </cell>
          <cell r="F523" t="str">
            <v>GOMA BORRA TINTA Y LAPIZ</v>
          </cell>
          <cell r="G523">
            <v>2</v>
          </cell>
        </row>
        <row r="524">
          <cell r="D524" t="str">
            <v>81-0037-OC24</v>
          </cell>
          <cell r="E524">
            <v>32</v>
          </cell>
          <cell r="F524" t="str">
            <v>Sacapuntas</v>
          </cell>
          <cell r="G524">
            <v>1</v>
          </cell>
        </row>
        <row r="525">
          <cell r="D525" t="str">
            <v>EXISTENCIA PREV. 1</v>
          </cell>
          <cell r="E525" t="str">
            <v>S/N</v>
          </cell>
          <cell r="F525" t="str">
            <v>TIJERAS CHICA</v>
          </cell>
          <cell r="G525">
            <v>2</v>
          </cell>
        </row>
        <row r="526">
          <cell r="D526" t="str">
            <v>EXISTENCIA PREV. 1</v>
          </cell>
          <cell r="E526" t="str">
            <v>S/N</v>
          </cell>
          <cell r="F526" t="str">
            <v>Cúter</v>
          </cell>
          <cell r="G526">
            <v>2</v>
          </cell>
        </row>
        <row r="527">
          <cell r="D527" t="str">
            <v>81-0018-OC25</v>
          </cell>
          <cell r="E527">
            <v>1</v>
          </cell>
          <cell r="F527" t="str">
            <v>Papel obra A4</v>
          </cell>
          <cell r="G527">
            <v>5</v>
          </cell>
        </row>
        <row r="528">
          <cell r="D528" t="str">
            <v>EXISTENCIA PREV. 1</v>
          </cell>
          <cell r="E528" t="str">
            <v>S/N</v>
          </cell>
          <cell r="F528" t="str">
            <v>Cúter</v>
          </cell>
          <cell r="G528">
            <v>2</v>
          </cell>
        </row>
        <row r="529">
          <cell r="D529" t="str">
            <v>EXISTENCIA PREV. 1</v>
          </cell>
          <cell r="E529" t="str">
            <v>S/N</v>
          </cell>
          <cell r="F529" t="str">
            <v>Cinta para embalar Transparente 5 cm x 50 mts</v>
          </cell>
          <cell r="G529">
            <v>4</v>
          </cell>
        </row>
        <row r="530">
          <cell r="D530" t="str">
            <v>81-0038-OC24</v>
          </cell>
          <cell r="E530">
            <v>31</v>
          </cell>
          <cell r="F530" t="str">
            <v>Resaltadores color celeste</v>
          </cell>
          <cell r="G530">
            <v>1</v>
          </cell>
        </row>
        <row r="531">
          <cell r="D531" t="str">
            <v>81-0038-OC24</v>
          </cell>
          <cell r="E531">
            <v>30</v>
          </cell>
          <cell r="F531" t="str">
            <v>Resaltadores color rosa</v>
          </cell>
          <cell r="G531">
            <v>1</v>
          </cell>
        </row>
        <row r="532">
          <cell r="D532" t="str">
            <v>81-0038-OC24</v>
          </cell>
          <cell r="E532">
            <v>29</v>
          </cell>
          <cell r="F532" t="str">
            <v>Resaltadores color naranja</v>
          </cell>
          <cell r="G532">
            <v>1</v>
          </cell>
        </row>
        <row r="533">
          <cell r="D533" t="str">
            <v>81-0038-OC24</v>
          </cell>
          <cell r="E533">
            <v>28</v>
          </cell>
          <cell r="F533" t="str">
            <v>Resaltadores color verde</v>
          </cell>
          <cell r="G533">
            <v>1</v>
          </cell>
        </row>
        <row r="534">
          <cell r="D534" t="str">
            <v>81-0038-OC24</v>
          </cell>
          <cell r="E534">
            <v>27</v>
          </cell>
          <cell r="F534" t="str">
            <v>Resaltadores color amarillo</v>
          </cell>
          <cell r="G534">
            <v>1</v>
          </cell>
        </row>
        <row r="535">
          <cell r="D535" t="str">
            <v>EXISTENCIA PREV. 1</v>
          </cell>
          <cell r="E535" t="str">
            <v>S/N</v>
          </cell>
          <cell r="F535" t="str">
            <v>BOLIGRAFO NEGRO</v>
          </cell>
          <cell r="G535">
            <v>10</v>
          </cell>
        </row>
        <row r="536">
          <cell r="D536" t="str">
            <v>EXISTENCIA PREV. 1</v>
          </cell>
          <cell r="E536" t="str">
            <v>S/N</v>
          </cell>
          <cell r="F536" t="str">
            <v>LAPIZ  2HB</v>
          </cell>
          <cell r="G536">
            <v>5</v>
          </cell>
        </row>
        <row r="537">
          <cell r="D537" t="str">
            <v>EXISTENCIA PREV. 1</v>
          </cell>
          <cell r="E537" t="str">
            <v>S/N</v>
          </cell>
          <cell r="F537" t="str">
            <v>CORRECTOR EN LAPIZ</v>
          </cell>
          <cell r="G537">
            <v>3</v>
          </cell>
        </row>
        <row r="538">
          <cell r="D538" t="str">
            <v>81-0037-OC24</v>
          </cell>
          <cell r="E538">
            <v>33</v>
          </cell>
          <cell r="F538" t="str">
            <v>Tacos de colores 9 x 9</v>
          </cell>
          <cell r="G538">
            <v>4</v>
          </cell>
        </row>
        <row r="539">
          <cell r="D539" t="str">
            <v>EXISTENCIA PREV. 1</v>
          </cell>
          <cell r="E539" t="str">
            <v>S/N</v>
          </cell>
          <cell r="F539" t="str">
            <v>TIJERAS CHICA</v>
          </cell>
          <cell r="G539">
            <v>2</v>
          </cell>
        </row>
        <row r="540">
          <cell r="D540" t="str">
            <v>EXISTENCIA PREV. 1</v>
          </cell>
          <cell r="E540" t="str">
            <v>S/N</v>
          </cell>
          <cell r="F540" t="str">
            <v>ABROCHADORA 10/50 pinza</v>
          </cell>
          <cell r="G540">
            <v>2</v>
          </cell>
        </row>
        <row r="541">
          <cell r="D541" t="str">
            <v>81-0018-OC25</v>
          </cell>
          <cell r="E541">
            <v>1</v>
          </cell>
          <cell r="F541" t="str">
            <v>Papel obra A4</v>
          </cell>
          <cell r="G541">
            <v>5</v>
          </cell>
        </row>
        <row r="542">
          <cell r="D542" t="str">
            <v>81-0041-OC24</v>
          </cell>
          <cell r="E542">
            <v>18</v>
          </cell>
          <cell r="F542" t="str">
            <v>Folio A4 paquete x 100 unidades</v>
          </cell>
          <cell r="G542">
            <v>100</v>
          </cell>
        </row>
        <row r="543">
          <cell r="D543" t="str">
            <v>EXISTENCIA PREV. 1</v>
          </cell>
          <cell r="E543" t="str">
            <v>S/N</v>
          </cell>
          <cell r="F543" t="str">
            <v>FOLIOS OFICIO</v>
          </cell>
          <cell r="G543">
            <v>100</v>
          </cell>
        </row>
        <row r="544">
          <cell r="D544" t="str">
            <v>81-0038-OC24</v>
          </cell>
          <cell r="E544">
            <v>14</v>
          </cell>
          <cell r="F544" t="str">
            <v>Cuaderno tapa dura rayado x 50 hojas</v>
          </cell>
          <cell r="G544">
            <v>3</v>
          </cell>
        </row>
        <row r="545">
          <cell r="D545" t="str">
            <v>81-0038-OC24</v>
          </cell>
          <cell r="E545">
            <v>27</v>
          </cell>
          <cell r="F545" t="str">
            <v>Resaltadores color amarillo</v>
          </cell>
          <cell r="G545">
            <v>3</v>
          </cell>
        </row>
        <row r="546">
          <cell r="D546" t="str">
            <v>81-0037-OC24</v>
          </cell>
          <cell r="E546">
            <v>3</v>
          </cell>
          <cell r="F546" t="str">
            <v>Bibliorato tamaño carta</v>
          </cell>
          <cell r="G546">
            <v>5</v>
          </cell>
        </row>
        <row r="547">
          <cell r="D547" t="str">
            <v>EXISTENCIA PREV. 1</v>
          </cell>
          <cell r="E547" t="str">
            <v>S/N</v>
          </cell>
          <cell r="F547" t="str">
            <v>BOLIGRAFO NEGRO</v>
          </cell>
          <cell r="G547">
            <v>5</v>
          </cell>
        </row>
        <row r="548">
          <cell r="D548" t="str">
            <v>81-0037-OC24</v>
          </cell>
          <cell r="E548">
            <v>5</v>
          </cell>
          <cell r="F548" t="str">
            <v>Bolígrafo azul</v>
          </cell>
          <cell r="G548">
            <v>5</v>
          </cell>
        </row>
        <row r="549">
          <cell r="D549" t="str">
            <v>81-0018-OC25</v>
          </cell>
          <cell r="E549">
            <v>1</v>
          </cell>
          <cell r="F549" t="str">
            <v>Papel obra A4</v>
          </cell>
          <cell r="G549">
            <v>5</v>
          </cell>
        </row>
        <row r="550">
          <cell r="D550" t="str">
            <v>81-0038-OC24</v>
          </cell>
          <cell r="E550">
            <v>31</v>
          </cell>
          <cell r="F550" t="str">
            <v>Resaltadores color celeste</v>
          </cell>
          <cell r="G550">
            <v>2</v>
          </cell>
        </row>
        <row r="551">
          <cell r="D551" t="str">
            <v>81-0038-OC24</v>
          </cell>
          <cell r="E551">
            <v>30</v>
          </cell>
          <cell r="F551" t="str">
            <v>Resaltadores color rosa</v>
          </cell>
          <cell r="G551">
            <v>2</v>
          </cell>
        </row>
        <row r="552">
          <cell r="D552" t="str">
            <v>81-0038-OC24</v>
          </cell>
          <cell r="E552">
            <v>29</v>
          </cell>
          <cell r="F552" t="str">
            <v>Resaltadores color naranja</v>
          </cell>
          <cell r="G552">
            <v>2</v>
          </cell>
        </row>
        <row r="553">
          <cell r="D553" t="str">
            <v>81-0038-OC24</v>
          </cell>
          <cell r="E553">
            <v>28</v>
          </cell>
          <cell r="F553" t="str">
            <v>Resaltadores color verde</v>
          </cell>
          <cell r="G553">
            <v>2</v>
          </cell>
        </row>
        <row r="554">
          <cell r="D554" t="str">
            <v>81-0038-OC24</v>
          </cell>
          <cell r="E554">
            <v>27</v>
          </cell>
          <cell r="F554" t="str">
            <v>Resaltadores color amarillo</v>
          </cell>
          <cell r="G554">
            <v>2</v>
          </cell>
        </row>
        <row r="555">
          <cell r="D555" t="str">
            <v>EXISTENCIA PREV. 1</v>
          </cell>
          <cell r="E555" t="str">
            <v>S/N</v>
          </cell>
          <cell r="F555" t="str">
            <v>Broches P/abrochadora 10</v>
          </cell>
          <cell r="G555">
            <v>3</v>
          </cell>
        </row>
        <row r="556">
          <cell r="D556" t="str">
            <v>EXISTENCIA PREV. 1</v>
          </cell>
          <cell r="E556" t="str">
            <v>S/N</v>
          </cell>
          <cell r="F556" t="str">
            <v>BROCHE P/ABROCHADORA 64</v>
          </cell>
          <cell r="G556">
            <v>3</v>
          </cell>
        </row>
        <row r="557">
          <cell r="D557" t="str">
            <v>EXISTENCIA PREV. 1</v>
          </cell>
          <cell r="E557" t="str">
            <v>S/N</v>
          </cell>
          <cell r="F557" t="str">
            <v>Cinta para embalar Transparente 5 cm x 50 mts</v>
          </cell>
          <cell r="G557">
            <v>2</v>
          </cell>
        </row>
        <row r="558">
          <cell r="D558" t="str">
            <v>EXISTENCIA PREV. 1</v>
          </cell>
          <cell r="E558" t="str">
            <v>S/N</v>
          </cell>
          <cell r="F558" t="str">
            <v>TIJERAS CHICA</v>
          </cell>
          <cell r="G558">
            <v>2</v>
          </cell>
        </row>
        <row r="559">
          <cell r="D559" t="str">
            <v>81-0037-OC24</v>
          </cell>
          <cell r="E559">
            <v>16</v>
          </cell>
          <cell r="F559" t="str">
            <v>Cuaderno tipo universitario cuadriculado</v>
          </cell>
          <cell r="G559">
            <v>2</v>
          </cell>
        </row>
        <row r="560">
          <cell r="D560" t="str">
            <v>81-0018-OC25</v>
          </cell>
          <cell r="E560">
            <v>1</v>
          </cell>
          <cell r="F560" t="str">
            <v>Papel obra A4</v>
          </cell>
          <cell r="G560">
            <v>5</v>
          </cell>
        </row>
        <row r="561">
          <cell r="D561" t="str">
            <v>EXISTENCIA PREV. 1</v>
          </cell>
          <cell r="E561" t="str">
            <v>S/N</v>
          </cell>
          <cell r="F561" t="str">
            <v>LAPIZ  2HB</v>
          </cell>
          <cell r="G561">
            <v>5</v>
          </cell>
        </row>
        <row r="562">
          <cell r="D562" t="str">
            <v>EXISTENCIA PREV. 1</v>
          </cell>
          <cell r="E562" t="str">
            <v>S/N</v>
          </cell>
          <cell r="F562" t="str">
            <v>GOMA BORRA TINTA Y LAPIZ</v>
          </cell>
          <cell r="G562">
            <v>2</v>
          </cell>
        </row>
        <row r="563">
          <cell r="D563" t="str">
            <v>81-0038-OC24</v>
          </cell>
          <cell r="E563">
            <v>28</v>
          </cell>
          <cell r="F563" t="str">
            <v>Resaltadores color verde</v>
          </cell>
          <cell r="G563">
            <v>2</v>
          </cell>
        </row>
        <row r="564">
          <cell r="D564" t="str">
            <v>81-0038-OC24</v>
          </cell>
          <cell r="E564">
            <v>27</v>
          </cell>
          <cell r="F564" t="str">
            <v>Resaltadores color amarillo</v>
          </cell>
          <cell r="G564">
            <v>2</v>
          </cell>
        </row>
        <row r="565">
          <cell r="D565" t="str">
            <v>81-0041-OC24</v>
          </cell>
          <cell r="E565">
            <v>18</v>
          </cell>
          <cell r="F565" t="str">
            <v>Folio A4 paquete x 100 unidades</v>
          </cell>
          <cell r="G565">
            <v>50</v>
          </cell>
        </row>
        <row r="566">
          <cell r="D566" t="str">
            <v>EXISTENCIA PREV. 1</v>
          </cell>
          <cell r="E566" t="str">
            <v>S/N</v>
          </cell>
          <cell r="F566" t="str">
            <v>Broches P/abrochadora 10</v>
          </cell>
          <cell r="G566">
            <v>10</v>
          </cell>
        </row>
        <row r="567">
          <cell r="D567" t="str">
            <v>EXISTENCIA PREV. 1</v>
          </cell>
          <cell r="E567" t="str">
            <v>S/N</v>
          </cell>
          <cell r="F567" t="str">
            <v>BROCHE P/ABROCHADORA 64</v>
          </cell>
          <cell r="G567">
            <v>10</v>
          </cell>
        </row>
        <row r="568">
          <cell r="D568" t="str">
            <v>81-0041-OC24</v>
          </cell>
          <cell r="E568">
            <v>18</v>
          </cell>
          <cell r="F568" t="str">
            <v>Folio A4 paquete x 100 unidades</v>
          </cell>
          <cell r="G568">
            <v>100</v>
          </cell>
        </row>
        <row r="569">
          <cell r="D569" t="str">
            <v>81-0037-OC24</v>
          </cell>
          <cell r="E569">
            <v>5</v>
          </cell>
          <cell r="F569" t="str">
            <v>Bolígrafo azul</v>
          </cell>
          <cell r="G569">
            <v>5</v>
          </cell>
        </row>
        <row r="570">
          <cell r="D570" t="str">
            <v>EXISTENCIA PREV. 1</v>
          </cell>
          <cell r="E570" t="str">
            <v>S/N</v>
          </cell>
          <cell r="F570" t="str">
            <v>Bolígrafo rojo</v>
          </cell>
          <cell r="G570">
            <v>10</v>
          </cell>
        </row>
        <row r="571">
          <cell r="D571" t="str">
            <v>EXISTENCIA PREV. 1</v>
          </cell>
          <cell r="E571" t="str">
            <v>S/N</v>
          </cell>
          <cell r="F571" t="str">
            <v>LAPIZ  2HB</v>
          </cell>
          <cell r="G571">
            <v>5</v>
          </cell>
        </row>
        <row r="572">
          <cell r="D572" t="str">
            <v>81-0038-OC24</v>
          </cell>
          <cell r="E572">
            <v>31</v>
          </cell>
          <cell r="F572" t="str">
            <v>Resaltadores color celeste</v>
          </cell>
          <cell r="G572">
            <v>1</v>
          </cell>
        </row>
        <row r="573">
          <cell r="D573" t="str">
            <v>81-0038-OC24</v>
          </cell>
          <cell r="E573">
            <v>30</v>
          </cell>
          <cell r="F573" t="str">
            <v>Resaltadores color rosa</v>
          </cell>
          <cell r="G573">
            <v>1</v>
          </cell>
        </row>
        <row r="574">
          <cell r="D574" t="str">
            <v>81-0038-OC24</v>
          </cell>
          <cell r="E574">
            <v>29</v>
          </cell>
          <cell r="F574" t="str">
            <v>Resaltadores color naranja</v>
          </cell>
          <cell r="G574">
            <v>1</v>
          </cell>
        </row>
        <row r="575">
          <cell r="D575" t="str">
            <v>81-0038-OC24</v>
          </cell>
          <cell r="E575">
            <v>28</v>
          </cell>
          <cell r="F575" t="str">
            <v>Resaltadores color verde</v>
          </cell>
          <cell r="G575">
            <v>1</v>
          </cell>
        </row>
        <row r="576">
          <cell r="D576" t="str">
            <v>81-0038-OC24</v>
          </cell>
          <cell r="E576">
            <v>27</v>
          </cell>
          <cell r="F576" t="str">
            <v>Resaltadores color amarillo</v>
          </cell>
          <cell r="G576">
            <v>1</v>
          </cell>
        </row>
        <row r="577">
          <cell r="D577" t="str">
            <v>EXISTENCIA PREV. 1</v>
          </cell>
          <cell r="E577" t="str">
            <v>S/N</v>
          </cell>
          <cell r="F577" t="str">
            <v>MARCADOR INDELEBLE NEGRO</v>
          </cell>
          <cell r="G577">
            <v>3</v>
          </cell>
        </row>
        <row r="578">
          <cell r="D578" t="str">
            <v>EXISTENCIA PREV. 1</v>
          </cell>
          <cell r="E578" t="str">
            <v>S/N</v>
          </cell>
          <cell r="F578" t="str">
            <v>MARCADOR PIZARRA NEGRO</v>
          </cell>
          <cell r="G578">
            <v>2</v>
          </cell>
        </row>
        <row r="579">
          <cell r="D579" t="str">
            <v>EXISTENCIA PREV. 1</v>
          </cell>
          <cell r="E579" t="str">
            <v>S/N</v>
          </cell>
          <cell r="F579" t="str">
            <v>MARCADOR PIZARRA ROJO</v>
          </cell>
          <cell r="G579">
            <v>2</v>
          </cell>
        </row>
        <row r="580">
          <cell r="D580" t="str">
            <v>EXISTENCIA PREV. 1</v>
          </cell>
          <cell r="E580" t="str">
            <v>S/N</v>
          </cell>
          <cell r="F580" t="str">
            <v>PORTA CINTA CHICO</v>
          </cell>
          <cell r="G580">
            <v>1</v>
          </cell>
        </row>
        <row r="581">
          <cell r="D581" t="str">
            <v>81-0018-OC25</v>
          </cell>
          <cell r="E581">
            <v>1</v>
          </cell>
          <cell r="F581" t="str">
            <v>Papel obra A4</v>
          </cell>
          <cell r="G581">
            <v>5</v>
          </cell>
        </row>
        <row r="582">
          <cell r="D582" t="str">
            <v>EXISTENCIA PREV. 1</v>
          </cell>
          <cell r="E582" t="str">
            <v>S/N</v>
          </cell>
          <cell r="F582" t="str">
            <v>SOBRE BLANCO 12 X 23 SIN MEMBRETE</v>
          </cell>
          <cell r="G582">
            <v>50</v>
          </cell>
        </row>
        <row r="583">
          <cell r="D583" t="str">
            <v>EXISTENCIA PREV. 1</v>
          </cell>
          <cell r="E583" t="str">
            <v>S/N</v>
          </cell>
          <cell r="F583" t="str">
            <v>CARPET TRANSP. A 4 TIPO SOBRE</v>
          </cell>
          <cell r="G583">
            <v>20</v>
          </cell>
        </row>
        <row r="584">
          <cell r="D584" t="str">
            <v>EXISTENCIA PREV. 1</v>
          </cell>
          <cell r="E584" t="str">
            <v>S/N</v>
          </cell>
          <cell r="F584" t="str">
            <v>CORRECTOR EN LAPIZ</v>
          </cell>
          <cell r="G584">
            <v>2</v>
          </cell>
        </row>
        <row r="585">
          <cell r="D585" t="str">
            <v>81-0038-OC24</v>
          </cell>
          <cell r="E585">
            <v>14</v>
          </cell>
          <cell r="F585" t="str">
            <v>Cuaderno tapa dura rayado x 50 hojas</v>
          </cell>
          <cell r="G585">
            <v>5</v>
          </cell>
        </row>
        <row r="586">
          <cell r="D586" t="str">
            <v>EXISTENCIA PREV. 1</v>
          </cell>
          <cell r="E586" t="str">
            <v>S/N</v>
          </cell>
          <cell r="F586" t="str">
            <v>REGLA PLASTICA  X 30 CMTS</v>
          </cell>
          <cell r="G586">
            <v>2</v>
          </cell>
        </row>
        <row r="587">
          <cell r="D587" t="str">
            <v>81-0018-OC25</v>
          </cell>
          <cell r="E587">
            <v>1</v>
          </cell>
          <cell r="F587" t="str">
            <v>Papel obra A4</v>
          </cell>
          <cell r="G587">
            <v>5</v>
          </cell>
        </row>
        <row r="588">
          <cell r="D588" t="str">
            <v>EXISTENCIA PREV. 1</v>
          </cell>
          <cell r="E588" t="str">
            <v>S/N</v>
          </cell>
          <cell r="F588" t="str">
            <v>MARCADOR INDELEBLE NEGRO</v>
          </cell>
          <cell r="G588">
            <v>5</v>
          </cell>
        </row>
        <row r="589">
          <cell r="D589" t="str">
            <v>EXISTENCIA PREV. 1</v>
          </cell>
          <cell r="E589" t="str">
            <v>S/N</v>
          </cell>
          <cell r="F589" t="str">
            <v>MARCADOR INDELEBLE AZUL</v>
          </cell>
          <cell r="G589">
            <v>4</v>
          </cell>
        </row>
        <row r="590">
          <cell r="D590" t="str">
            <v>81-0038-OC24</v>
          </cell>
          <cell r="E590">
            <v>31</v>
          </cell>
          <cell r="F590" t="str">
            <v>Resaltadores color celeste</v>
          </cell>
          <cell r="G590">
            <v>1</v>
          </cell>
        </row>
        <row r="591">
          <cell r="D591" t="str">
            <v>81-0038-OC24</v>
          </cell>
          <cell r="E591">
            <v>30</v>
          </cell>
          <cell r="F591" t="str">
            <v>Resaltadores color rosa</v>
          </cell>
          <cell r="G591">
            <v>1</v>
          </cell>
        </row>
        <row r="592">
          <cell r="D592" t="str">
            <v>81-0038-OC24</v>
          </cell>
          <cell r="E592">
            <v>29</v>
          </cell>
          <cell r="F592" t="str">
            <v>Resaltadores color naranja</v>
          </cell>
          <cell r="G592">
            <v>1</v>
          </cell>
        </row>
        <row r="593">
          <cell r="D593" t="str">
            <v>81-0038-OC24</v>
          </cell>
          <cell r="E593">
            <v>28</v>
          </cell>
          <cell r="F593" t="str">
            <v>Resaltadores color verde</v>
          </cell>
          <cell r="G593">
            <v>1</v>
          </cell>
        </row>
        <row r="594">
          <cell r="D594" t="str">
            <v>81-0038-OC24</v>
          </cell>
          <cell r="E594">
            <v>27</v>
          </cell>
          <cell r="F594" t="str">
            <v>Resaltadores color amarillo</v>
          </cell>
          <cell r="G594">
            <v>1</v>
          </cell>
        </row>
        <row r="595">
          <cell r="D595" t="str">
            <v>81-0037-OC24</v>
          </cell>
          <cell r="E595">
            <v>32</v>
          </cell>
          <cell r="F595" t="str">
            <v>Sacapuntas</v>
          </cell>
          <cell r="G595">
            <v>2</v>
          </cell>
        </row>
        <row r="596">
          <cell r="D596" t="str">
            <v>EXISTENCIA PREV. 1</v>
          </cell>
          <cell r="E596" t="str">
            <v>S/N</v>
          </cell>
          <cell r="F596" t="str">
            <v>GOMA BORRAR LAPIZ</v>
          </cell>
          <cell r="G596">
            <v>5</v>
          </cell>
        </row>
        <row r="597">
          <cell r="D597" t="str">
            <v>81-0041-OC24</v>
          </cell>
          <cell r="E597">
            <v>18</v>
          </cell>
          <cell r="F597" t="str">
            <v>Folio A4 paquete x 100 unidades</v>
          </cell>
          <cell r="G597">
            <v>50</v>
          </cell>
        </row>
        <row r="598">
          <cell r="D598" t="str">
            <v>81-0037-OC24</v>
          </cell>
          <cell r="E598">
            <v>5</v>
          </cell>
          <cell r="F598" t="str">
            <v>Bolígrafo azul</v>
          </cell>
          <cell r="G598">
            <v>10</v>
          </cell>
        </row>
        <row r="599">
          <cell r="D599" t="str">
            <v>EXISTENCIA PREV. 1</v>
          </cell>
          <cell r="E599" t="str">
            <v>S/N</v>
          </cell>
          <cell r="F599" t="str">
            <v>BOLIGRAFO NEGRO</v>
          </cell>
          <cell r="G599">
            <v>10</v>
          </cell>
        </row>
        <row r="600">
          <cell r="D600" t="str">
            <v>EXISTENCIA PREV. 1</v>
          </cell>
          <cell r="E600" t="str">
            <v>S/N</v>
          </cell>
          <cell r="F600" t="str">
            <v>CORRECTOR EN LAPIZ</v>
          </cell>
          <cell r="G600">
            <v>4</v>
          </cell>
        </row>
        <row r="601">
          <cell r="D601" t="str">
            <v>EXISTENCIA PREV. 1</v>
          </cell>
          <cell r="E601" t="str">
            <v>S/N</v>
          </cell>
          <cell r="F601" t="str">
            <v>ABROCHADORA 10/50 pinza</v>
          </cell>
          <cell r="G601">
            <v>2</v>
          </cell>
        </row>
        <row r="602">
          <cell r="D602" t="str">
            <v>EXISTENCIA PREV. 1</v>
          </cell>
          <cell r="E602" t="str">
            <v>S/N</v>
          </cell>
          <cell r="F602" t="str">
            <v>PORTA CINTA CHICO</v>
          </cell>
          <cell r="G602">
            <v>2</v>
          </cell>
        </row>
        <row r="603">
          <cell r="D603" t="str">
            <v>EXISTENCIA PREV. 1</v>
          </cell>
          <cell r="E603" t="str">
            <v>S/N</v>
          </cell>
          <cell r="F603" t="str">
            <v>TINTA NEGRA PARA SELLOS</v>
          </cell>
          <cell r="G603">
            <v>1</v>
          </cell>
        </row>
        <row r="604">
          <cell r="D604" t="str">
            <v>EXISTENCIA PREV. 1</v>
          </cell>
          <cell r="E604" t="str">
            <v>S/N</v>
          </cell>
          <cell r="F604" t="str">
            <v>Cúter</v>
          </cell>
          <cell r="G604">
            <v>2</v>
          </cell>
        </row>
        <row r="605">
          <cell r="D605" t="str">
            <v>EXISTENCIA PREV. 1</v>
          </cell>
          <cell r="E605" t="str">
            <v>S/N</v>
          </cell>
          <cell r="F605" t="str">
            <v>FOLIOS OFICIO</v>
          </cell>
          <cell r="G605">
            <v>20</v>
          </cell>
        </row>
        <row r="606">
          <cell r="D606" t="str">
            <v>EXISTENCIA PREV. 1</v>
          </cell>
          <cell r="E606" t="str">
            <v>S/N</v>
          </cell>
          <cell r="F606" t="str">
            <v>ADHESIVO VINILICO X 250 CC</v>
          </cell>
          <cell r="G606">
            <v>2</v>
          </cell>
        </row>
        <row r="607">
          <cell r="D607" t="str">
            <v>EXISTENCIA PREV. 1</v>
          </cell>
          <cell r="E607" t="str">
            <v>S/N</v>
          </cell>
          <cell r="F607" t="str">
            <v>BOLIGRAFO NEGRO</v>
          </cell>
          <cell r="G607">
            <v>2</v>
          </cell>
        </row>
        <row r="608">
          <cell r="D608" t="str">
            <v>EXISTENCIA PREV. 1</v>
          </cell>
          <cell r="E608" t="str">
            <v>S/N</v>
          </cell>
          <cell r="F608" t="str">
            <v xml:space="preserve">SOBRE BOLSA MADERA 37 X 45 SIN MEMBRETE </v>
          </cell>
          <cell r="G608">
            <v>100</v>
          </cell>
        </row>
        <row r="609">
          <cell r="D609" t="str">
            <v>81-0038-OC24</v>
          </cell>
          <cell r="E609">
            <v>2</v>
          </cell>
          <cell r="F609" t="str">
            <v>Bandas elásticas grandes</v>
          </cell>
          <cell r="G609">
            <v>1</v>
          </cell>
        </row>
        <row r="610">
          <cell r="D610" t="str">
            <v>EXISTENCIA PREV. 1</v>
          </cell>
          <cell r="E610" t="str">
            <v>S/N</v>
          </cell>
          <cell r="F610" t="str">
            <v>Cinta para embalar Transparente 5 cm x 50 mts</v>
          </cell>
          <cell r="G610">
            <v>2</v>
          </cell>
        </row>
        <row r="611">
          <cell r="D611" t="str">
            <v>EXISTENCIA PREV. 1</v>
          </cell>
          <cell r="E611" t="str">
            <v>S/N</v>
          </cell>
          <cell r="F611" t="str">
            <v>SELLO FECHADOR</v>
          </cell>
          <cell r="G611">
            <v>1</v>
          </cell>
        </row>
        <row r="612">
          <cell r="D612" t="str">
            <v>81-0018-OC25</v>
          </cell>
          <cell r="E612">
            <v>1</v>
          </cell>
          <cell r="F612" t="str">
            <v>Papel obra A4</v>
          </cell>
          <cell r="G612">
            <v>5</v>
          </cell>
        </row>
        <row r="613">
          <cell r="D613" t="str">
            <v>EXISTENCIA PREV. 1</v>
          </cell>
          <cell r="E613" t="str">
            <v>S/N</v>
          </cell>
          <cell r="F613" t="str">
            <v>BOLIGRAFO NEGRO</v>
          </cell>
          <cell r="G613">
            <v>10</v>
          </cell>
        </row>
        <row r="614">
          <cell r="D614" t="str">
            <v>81-0037-OC24</v>
          </cell>
          <cell r="E614">
            <v>5</v>
          </cell>
          <cell r="F614" t="str">
            <v>Bolígrafo azul</v>
          </cell>
          <cell r="G614">
            <v>5</v>
          </cell>
        </row>
        <row r="615">
          <cell r="D615" t="str">
            <v>81-0038-OC24</v>
          </cell>
          <cell r="E615">
            <v>31</v>
          </cell>
          <cell r="F615" t="str">
            <v>Resaltadores color celeste</v>
          </cell>
          <cell r="G615">
            <v>1</v>
          </cell>
        </row>
        <row r="616">
          <cell r="D616" t="str">
            <v>81-0038-OC24</v>
          </cell>
          <cell r="E616">
            <v>30</v>
          </cell>
          <cell r="F616" t="str">
            <v>Resaltadores color rosa</v>
          </cell>
          <cell r="G616">
            <v>1</v>
          </cell>
        </row>
        <row r="617">
          <cell r="D617" t="str">
            <v>81-0038-OC24</v>
          </cell>
          <cell r="E617">
            <v>29</v>
          </cell>
          <cell r="F617" t="str">
            <v>Resaltadores color naranja</v>
          </cell>
          <cell r="G617">
            <v>1</v>
          </cell>
        </row>
        <row r="618">
          <cell r="D618" t="str">
            <v>81-0038-OC24</v>
          </cell>
          <cell r="E618">
            <v>28</v>
          </cell>
          <cell r="F618" t="str">
            <v>Resaltadores color verde</v>
          </cell>
          <cell r="G618">
            <v>1</v>
          </cell>
        </row>
        <row r="619">
          <cell r="D619" t="str">
            <v>81-0038-OC24</v>
          </cell>
          <cell r="E619">
            <v>27</v>
          </cell>
          <cell r="F619" t="str">
            <v>Resaltadores color amarillo</v>
          </cell>
          <cell r="G619">
            <v>1</v>
          </cell>
        </row>
        <row r="620">
          <cell r="D620" t="str">
            <v>EXISTENCIA PREV. 1</v>
          </cell>
          <cell r="E620" t="str">
            <v>S/N</v>
          </cell>
          <cell r="F620" t="str">
            <v>Cinta para embalar Transparente 5 cm x 50 mts</v>
          </cell>
          <cell r="G620">
            <v>2</v>
          </cell>
        </row>
        <row r="621">
          <cell r="D621" t="str">
            <v>EXISTENCIA PREV. 1</v>
          </cell>
          <cell r="E621" t="str">
            <v>S/N</v>
          </cell>
          <cell r="F621" t="str">
            <v>ABROCHADORA 21/6 pinza</v>
          </cell>
          <cell r="G621">
            <v>2</v>
          </cell>
        </row>
        <row r="622">
          <cell r="D622" t="str">
            <v>EXISTENCIA PREV. 1</v>
          </cell>
          <cell r="E622" t="str">
            <v>S/N</v>
          </cell>
          <cell r="F622" t="str">
            <v>LAPIZ  2HB</v>
          </cell>
          <cell r="G622">
            <v>4</v>
          </cell>
        </row>
        <row r="623">
          <cell r="D623" t="str">
            <v>81-0037-OC24</v>
          </cell>
          <cell r="E623">
            <v>33</v>
          </cell>
          <cell r="F623" t="str">
            <v>Tacos de colores 9 x 9</v>
          </cell>
          <cell r="G623">
            <v>3</v>
          </cell>
        </row>
        <row r="624">
          <cell r="D624" t="str">
            <v>EXISTENCIA PREV. 1</v>
          </cell>
          <cell r="E624" t="str">
            <v>S/N</v>
          </cell>
          <cell r="F624" t="str">
            <v>CORRECTOR EN LAPIZ</v>
          </cell>
          <cell r="G624">
            <v>2</v>
          </cell>
        </row>
        <row r="625">
          <cell r="D625" t="str">
            <v>EXISTENCIA PREV. 1</v>
          </cell>
          <cell r="E625" t="str">
            <v>S/N</v>
          </cell>
          <cell r="F625" t="str">
            <v>GOMA BORRA TINTA Y LAPIZ</v>
          </cell>
          <cell r="G625">
            <v>2</v>
          </cell>
        </row>
        <row r="626">
          <cell r="D626" t="str">
            <v>EXISTENCIA PREV. 1</v>
          </cell>
          <cell r="E626" t="str">
            <v>S/N</v>
          </cell>
          <cell r="F626" t="str">
            <v>TIJERAS CHICA</v>
          </cell>
          <cell r="G626">
            <v>2</v>
          </cell>
        </row>
        <row r="627">
          <cell r="D627" t="str">
            <v>EXISTENCIA PREV. 1</v>
          </cell>
          <cell r="E627" t="str">
            <v>S/N</v>
          </cell>
          <cell r="F627" t="str">
            <v>BROCHE P/ABROCHADORA 21/6</v>
          </cell>
          <cell r="G627">
            <v>10</v>
          </cell>
        </row>
        <row r="628">
          <cell r="D628" t="str">
            <v>81-0037-OC24</v>
          </cell>
          <cell r="E628">
            <v>9</v>
          </cell>
          <cell r="F628" t="str">
            <v>Carpeta presupuesto tapa transparente A4</v>
          </cell>
          <cell r="G628">
            <v>10</v>
          </cell>
        </row>
        <row r="629">
          <cell r="D629" t="str">
            <v>EXISTENCIA PREV. 1</v>
          </cell>
          <cell r="E629" t="str">
            <v>S/N</v>
          </cell>
          <cell r="F629" t="str">
            <v>ADHESIVO BARRA</v>
          </cell>
          <cell r="G629">
            <v>2</v>
          </cell>
        </row>
        <row r="630">
          <cell r="D630" t="str">
            <v>81-0037-OC24</v>
          </cell>
          <cell r="E630">
            <v>9</v>
          </cell>
          <cell r="F630" t="str">
            <v>Carpeta presupuesto tapa transparente A4</v>
          </cell>
          <cell r="G630">
            <v>10</v>
          </cell>
        </row>
        <row r="631">
          <cell r="D631" t="str">
            <v>EXISTENCIA PREV. 1</v>
          </cell>
          <cell r="E631" t="str">
            <v>S/N</v>
          </cell>
          <cell r="F631" t="str">
            <v>CARPETA TAPA PLASTICA TRANSP. OFICIO</v>
          </cell>
          <cell r="G631">
            <v>30</v>
          </cell>
        </row>
        <row r="632">
          <cell r="D632" t="str">
            <v>81-0040-OC24</v>
          </cell>
          <cell r="E632">
            <v>10</v>
          </cell>
          <cell r="F632" t="str">
            <v>Carpeta tres solapas</v>
          </cell>
          <cell r="G632">
            <v>20</v>
          </cell>
        </row>
        <row r="633">
          <cell r="D633" t="str">
            <v>EXISTENCIA PREV. 1</v>
          </cell>
          <cell r="E633" t="str">
            <v>S/N</v>
          </cell>
          <cell r="F633" t="str">
            <v>Cinta para embalar Transparente 5 cm x 50 mts</v>
          </cell>
          <cell r="G633">
            <v>2</v>
          </cell>
        </row>
        <row r="634">
          <cell r="D634" t="str">
            <v>81-0041-OC24</v>
          </cell>
          <cell r="E634">
            <v>18</v>
          </cell>
          <cell r="F634" t="str">
            <v>Folio A4 paquete x 100 unidades</v>
          </cell>
          <cell r="G634">
            <v>50</v>
          </cell>
        </row>
        <row r="635">
          <cell r="D635" t="str">
            <v>EXISTENCIA PREV. 1</v>
          </cell>
          <cell r="E635" t="str">
            <v>S/N</v>
          </cell>
          <cell r="F635" t="str">
            <v>GOMA BORRA TINTA Y LAPIZ</v>
          </cell>
          <cell r="G635">
            <v>3</v>
          </cell>
        </row>
        <row r="636">
          <cell r="D636" t="str">
            <v>EXISTENCIA PREV. 1</v>
          </cell>
          <cell r="E636" t="str">
            <v>S/N</v>
          </cell>
          <cell r="F636" t="str">
            <v>LAPIZ  2HB</v>
          </cell>
          <cell r="G636">
            <v>3</v>
          </cell>
        </row>
        <row r="637">
          <cell r="D637" t="str">
            <v>EXISTENCIA PREV. 1</v>
          </cell>
          <cell r="E637" t="str">
            <v>S/N</v>
          </cell>
          <cell r="F637" t="str">
            <v>BOLIGRAFO NEGRO</v>
          </cell>
          <cell r="G637">
            <v>10</v>
          </cell>
        </row>
        <row r="638">
          <cell r="D638" t="str">
            <v>81-0037-OC24</v>
          </cell>
          <cell r="E638">
            <v>5</v>
          </cell>
          <cell r="F638" t="str">
            <v>Bolígrafo azul</v>
          </cell>
          <cell r="G638">
            <v>5</v>
          </cell>
        </row>
        <row r="639">
          <cell r="D639" t="str">
            <v>EXISTENCIA PREV. 1</v>
          </cell>
          <cell r="E639" t="str">
            <v>S/N</v>
          </cell>
          <cell r="F639" t="str">
            <v>Bolígrafo rojo</v>
          </cell>
          <cell r="G639">
            <v>10</v>
          </cell>
        </row>
        <row r="640">
          <cell r="D640" t="str">
            <v>81-0018-OC25</v>
          </cell>
          <cell r="E640">
            <v>1</v>
          </cell>
          <cell r="F640" t="str">
            <v>Papel obra A4</v>
          </cell>
          <cell r="G640">
            <v>5</v>
          </cell>
        </row>
        <row r="641">
          <cell r="D641" t="str">
            <v>EXISTENCIA PREV. 1</v>
          </cell>
          <cell r="E641" t="str">
            <v>S/N</v>
          </cell>
          <cell r="F641" t="str">
            <v>PAPEL OBRA OFICIO</v>
          </cell>
          <cell r="G641">
            <v>5</v>
          </cell>
        </row>
        <row r="642">
          <cell r="D642" t="str">
            <v>81-0038-OC24</v>
          </cell>
          <cell r="E642">
            <v>31</v>
          </cell>
          <cell r="F642" t="str">
            <v>Resaltadores color celeste</v>
          </cell>
          <cell r="G642">
            <v>2</v>
          </cell>
        </row>
        <row r="643">
          <cell r="D643" t="str">
            <v>81-0038-OC24</v>
          </cell>
          <cell r="E643">
            <v>30</v>
          </cell>
          <cell r="F643" t="str">
            <v>Resaltadores color rosa</v>
          </cell>
          <cell r="G643">
            <v>2</v>
          </cell>
        </row>
        <row r="644">
          <cell r="D644" t="str">
            <v>81-0038-OC24</v>
          </cell>
          <cell r="E644">
            <v>28</v>
          </cell>
          <cell r="F644" t="str">
            <v>Resaltadores color verde</v>
          </cell>
          <cell r="G644">
            <v>2</v>
          </cell>
        </row>
        <row r="645">
          <cell r="D645" t="str">
            <v>81-0038-OC24</v>
          </cell>
          <cell r="E645">
            <v>27</v>
          </cell>
          <cell r="F645" t="str">
            <v>Resaltadores color amarillo</v>
          </cell>
          <cell r="G645">
            <v>2</v>
          </cell>
        </row>
        <row r="646">
          <cell r="D646" t="str">
            <v>81-0037-OC24</v>
          </cell>
          <cell r="E646">
            <v>32</v>
          </cell>
          <cell r="F646" t="str">
            <v>Sacapuntas</v>
          </cell>
          <cell r="G646">
            <v>1</v>
          </cell>
        </row>
        <row r="647">
          <cell r="D647" t="str">
            <v>81-0018-OC25</v>
          </cell>
          <cell r="E647">
            <v>1</v>
          </cell>
          <cell r="F647" t="str">
            <v>Papel obra A4</v>
          </cell>
          <cell r="G647">
            <v>5</v>
          </cell>
        </row>
        <row r="648">
          <cell r="D648" t="str">
            <v>EXISTENCIA PREV. 1</v>
          </cell>
          <cell r="E648" t="str">
            <v>S/N</v>
          </cell>
          <cell r="F648" t="str">
            <v>ABROCHADORA ESCRITORIO 64</v>
          </cell>
          <cell r="G648">
            <v>1</v>
          </cell>
        </row>
        <row r="649">
          <cell r="D649" t="str">
            <v>EXISTENCIA PREV. 1</v>
          </cell>
          <cell r="E649" t="str">
            <v>S/N</v>
          </cell>
          <cell r="F649" t="str">
            <v>CARPETA TAPA PLASTICA TRANSP. OFICIO</v>
          </cell>
          <cell r="G649">
            <v>5</v>
          </cell>
        </row>
        <row r="650">
          <cell r="D650" t="str">
            <v>EXISTENCIA PREV. 1</v>
          </cell>
          <cell r="E650" t="str">
            <v>S/N</v>
          </cell>
          <cell r="F650" t="str">
            <v>CARPETA CARTULINA OFICIO  26X36</v>
          </cell>
          <cell r="G650">
            <v>10</v>
          </cell>
        </row>
        <row r="651">
          <cell r="D651" t="str">
            <v>81-0041-OC24</v>
          </cell>
          <cell r="E651">
            <v>18</v>
          </cell>
          <cell r="F651" t="str">
            <v>Folio A4 paquete x 100 unidades</v>
          </cell>
          <cell r="G651">
            <v>50</v>
          </cell>
        </row>
        <row r="652">
          <cell r="D652" t="str">
            <v>EXISTENCIA PREV. 1</v>
          </cell>
          <cell r="E652" t="str">
            <v>S/N</v>
          </cell>
          <cell r="F652" t="str">
            <v>FOLIOS OFICIO</v>
          </cell>
          <cell r="G652">
            <v>50</v>
          </cell>
        </row>
        <row r="653">
          <cell r="D653" t="str">
            <v>81-0018-OC25</v>
          </cell>
          <cell r="E653">
            <v>1</v>
          </cell>
          <cell r="F653" t="str">
            <v>Papel obra A4</v>
          </cell>
          <cell r="G653">
            <v>5</v>
          </cell>
        </row>
        <row r="654">
          <cell r="D654" t="str">
            <v>EXISTENCIA PREV. 1</v>
          </cell>
          <cell r="E654" t="str">
            <v>S/N</v>
          </cell>
          <cell r="F654" t="str">
            <v>BOLIGRAFO NEGRO</v>
          </cell>
          <cell r="G654">
            <v>10</v>
          </cell>
        </row>
        <row r="655">
          <cell r="D655" t="str">
            <v>81-0037-OC24</v>
          </cell>
          <cell r="E655">
            <v>5</v>
          </cell>
          <cell r="F655" t="str">
            <v>Bolígrafo azul</v>
          </cell>
          <cell r="G655">
            <v>5</v>
          </cell>
        </row>
        <row r="656">
          <cell r="D656" t="str">
            <v>EXISTENCIA PREV. 1</v>
          </cell>
          <cell r="E656" t="str">
            <v>S/N</v>
          </cell>
          <cell r="F656" t="str">
            <v>LAPIZ  2HB</v>
          </cell>
          <cell r="G656">
            <v>3</v>
          </cell>
        </row>
        <row r="657">
          <cell r="D657" t="str">
            <v>EXISTENCIA PREV. 1</v>
          </cell>
          <cell r="E657" t="str">
            <v>S/N</v>
          </cell>
          <cell r="F657" t="str">
            <v>TIJERAS CHICA</v>
          </cell>
          <cell r="G657">
            <v>2</v>
          </cell>
        </row>
        <row r="658">
          <cell r="D658" t="str">
            <v>EXISTENCIA PREV. 1</v>
          </cell>
          <cell r="E658" t="str">
            <v>S/N</v>
          </cell>
          <cell r="F658" t="str">
            <v>Cúter</v>
          </cell>
          <cell r="G658">
            <v>2</v>
          </cell>
        </row>
        <row r="659">
          <cell r="D659" t="str">
            <v>81-0038-OC24</v>
          </cell>
          <cell r="E659">
            <v>31</v>
          </cell>
          <cell r="F659" t="str">
            <v>Resaltadores color celeste</v>
          </cell>
          <cell r="G659">
            <v>1</v>
          </cell>
        </row>
        <row r="660">
          <cell r="D660" t="str">
            <v>81-0038-OC24</v>
          </cell>
          <cell r="E660">
            <v>30</v>
          </cell>
          <cell r="F660" t="str">
            <v>Resaltadores color rosa</v>
          </cell>
          <cell r="G660">
            <v>1</v>
          </cell>
        </row>
        <row r="661">
          <cell r="D661" t="str">
            <v>81-0038-OC24</v>
          </cell>
          <cell r="E661">
            <v>29</v>
          </cell>
          <cell r="F661" t="str">
            <v>Resaltadores color naranja</v>
          </cell>
          <cell r="G661">
            <v>1</v>
          </cell>
        </row>
        <row r="662">
          <cell r="D662" t="str">
            <v>81-0038-OC24</v>
          </cell>
          <cell r="E662">
            <v>28</v>
          </cell>
          <cell r="F662" t="str">
            <v>Resaltadores color verde</v>
          </cell>
          <cell r="G662">
            <v>1</v>
          </cell>
        </row>
        <row r="663">
          <cell r="D663" t="str">
            <v>81-0038-OC24</v>
          </cell>
          <cell r="E663">
            <v>27</v>
          </cell>
          <cell r="F663" t="str">
            <v>Resaltadores color amarillo</v>
          </cell>
          <cell r="G663">
            <v>1</v>
          </cell>
        </row>
        <row r="664">
          <cell r="D664" t="str">
            <v>EXISTENCIA PREV. 1</v>
          </cell>
          <cell r="E664" t="str">
            <v>S/N</v>
          </cell>
          <cell r="F664" t="str">
            <v>SOBRE BLANCO 12 X 23 SIN MEMBRETE</v>
          </cell>
          <cell r="G664">
            <v>50</v>
          </cell>
        </row>
        <row r="665">
          <cell r="D665" t="str">
            <v>EXISTENCIA PREV. 1</v>
          </cell>
          <cell r="E665" t="str">
            <v>S/N</v>
          </cell>
          <cell r="F665" t="str">
            <v>GOMA BORRA TINTA Y LAPIZ</v>
          </cell>
          <cell r="G665">
            <v>3</v>
          </cell>
        </row>
        <row r="666">
          <cell r="D666" t="str">
            <v>EXISTENCIA PREV. 1</v>
          </cell>
          <cell r="E666" t="str">
            <v>S/N</v>
          </cell>
          <cell r="F666" t="str">
            <v>ADHESIVO VINILICO X 250 CC</v>
          </cell>
          <cell r="G666">
            <v>3</v>
          </cell>
        </row>
        <row r="667">
          <cell r="D667" t="str">
            <v>81-0018-OC25</v>
          </cell>
          <cell r="E667">
            <v>1</v>
          </cell>
          <cell r="F667" t="str">
            <v>Papel obra A4</v>
          </cell>
          <cell r="G667">
            <v>5</v>
          </cell>
        </row>
        <row r="668">
          <cell r="D668" t="str">
            <v>EXISTENCIA PREV. 1</v>
          </cell>
          <cell r="E668" t="str">
            <v>S/N</v>
          </cell>
          <cell r="F668" t="str">
            <v>BOLIGRAFO NEGRO</v>
          </cell>
          <cell r="G668">
            <v>10</v>
          </cell>
        </row>
        <row r="669">
          <cell r="D669" t="str">
            <v>81-0037-OC24</v>
          </cell>
          <cell r="E669">
            <v>5</v>
          </cell>
          <cell r="F669" t="str">
            <v>Bolígrafo azul</v>
          </cell>
          <cell r="G669">
            <v>5</v>
          </cell>
        </row>
        <row r="670">
          <cell r="D670" t="str">
            <v>EXISTENCIA PREV. 1</v>
          </cell>
          <cell r="E670" t="str">
            <v>S/N</v>
          </cell>
          <cell r="F670" t="str">
            <v>REGLA PLASTICA  X 30 CMTS</v>
          </cell>
          <cell r="G670">
            <v>1</v>
          </cell>
        </row>
        <row r="671">
          <cell r="D671" t="str">
            <v>EXISTENCIA PREV. 1</v>
          </cell>
          <cell r="E671" t="str">
            <v>S/N</v>
          </cell>
          <cell r="F671" t="str">
            <v>LAPIZ  2HB</v>
          </cell>
          <cell r="G671">
            <v>3</v>
          </cell>
        </row>
        <row r="672">
          <cell r="D672" t="str">
            <v>EXISTENCIA PREV. 1</v>
          </cell>
          <cell r="E672" t="str">
            <v>S/N</v>
          </cell>
          <cell r="F672" t="str">
            <v>CORRECTOR EN LAPIZ</v>
          </cell>
          <cell r="G672">
            <v>2</v>
          </cell>
        </row>
        <row r="673">
          <cell r="D673" t="str">
            <v>81-0037-OC24</v>
          </cell>
          <cell r="E673">
            <v>33</v>
          </cell>
          <cell r="F673" t="str">
            <v>Tacos de colores 9 x 9</v>
          </cell>
          <cell r="G673">
            <v>3</v>
          </cell>
        </row>
        <row r="674">
          <cell r="D674" t="str">
            <v>81-0038-OC24</v>
          </cell>
          <cell r="E674">
            <v>29</v>
          </cell>
          <cell r="F674" t="str">
            <v>Resaltadores color naranja</v>
          </cell>
          <cell r="G674">
            <v>2</v>
          </cell>
        </row>
        <row r="675">
          <cell r="D675" t="str">
            <v>81-0038-OC24</v>
          </cell>
          <cell r="E675">
            <v>28</v>
          </cell>
          <cell r="F675" t="str">
            <v>Resaltadores color verde</v>
          </cell>
          <cell r="G675">
            <v>2</v>
          </cell>
        </row>
        <row r="676">
          <cell r="D676" t="str">
            <v>81-0038-OC24</v>
          </cell>
          <cell r="E676">
            <v>27</v>
          </cell>
          <cell r="F676" t="str">
            <v>Resaltadores color amarillo</v>
          </cell>
          <cell r="G676">
            <v>2</v>
          </cell>
        </row>
        <row r="677">
          <cell r="D677" t="str">
            <v>EXISTENCIA PREV. 1</v>
          </cell>
          <cell r="E677" t="str">
            <v>S/N</v>
          </cell>
          <cell r="F677" t="str">
            <v>ADHESIVO VINILICO X 30 ML</v>
          </cell>
          <cell r="G677">
            <v>3</v>
          </cell>
        </row>
        <row r="678">
          <cell r="D678" t="str">
            <v>EXISTENCIA PREV. 1</v>
          </cell>
          <cell r="E678" t="str">
            <v>S/N</v>
          </cell>
          <cell r="F678" t="str">
            <v>TIJERAS CHICA</v>
          </cell>
          <cell r="G678">
            <v>2</v>
          </cell>
        </row>
        <row r="679">
          <cell r="D679" t="str">
            <v>EXISTENCIA PREV. 1</v>
          </cell>
          <cell r="E679" t="str">
            <v>S/N</v>
          </cell>
          <cell r="F679" t="str">
            <v>BROCHE P/ABROCHADORA 21/6</v>
          </cell>
          <cell r="G679">
            <v>5</v>
          </cell>
        </row>
        <row r="680">
          <cell r="D680" t="str">
            <v>81-0038-OC24</v>
          </cell>
          <cell r="E680">
            <v>2</v>
          </cell>
          <cell r="F680" t="str">
            <v>Bandas elásticas grandes</v>
          </cell>
          <cell r="G680">
            <v>1</v>
          </cell>
        </row>
        <row r="681">
          <cell r="D681" t="str">
            <v>81-0038-OC24</v>
          </cell>
          <cell r="E681">
            <v>13</v>
          </cell>
          <cell r="F681" t="str">
            <v>Clips N° 3</v>
          </cell>
          <cell r="G681">
            <v>3</v>
          </cell>
        </row>
        <row r="682">
          <cell r="D682" t="str">
            <v>EXISTENCIA PREV. 1</v>
          </cell>
          <cell r="E682" t="str">
            <v>S/N</v>
          </cell>
          <cell r="F682" t="str">
            <v>Broches P/abrochadora 10</v>
          </cell>
          <cell r="G682">
            <v>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5"/>
  <sheetViews>
    <sheetView tabSelected="1" workbookViewId="0">
      <selection activeCell="B3" sqref="B3"/>
    </sheetView>
  </sheetViews>
  <sheetFormatPr baseColWidth="10" defaultColWidth="53.28515625" defaultRowHeight="15"/>
  <cols>
    <col min="1" max="1" width="14.85546875" bestFit="1" customWidth="1"/>
    <col min="2" max="2" width="53.140625" bestFit="1" customWidth="1"/>
    <col min="3" max="3" width="18.42578125" bestFit="1" customWidth="1"/>
    <col min="4" max="4" width="14.85546875" bestFit="1" customWidth="1"/>
    <col min="5" max="5" width="9.5703125" bestFit="1" customWidth="1"/>
    <col min="6" max="6" width="21.42578125" bestFit="1" customWidth="1"/>
    <col min="7" max="7" width="16.7109375" bestFit="1" customWidth="1"/>
    <col min="8" max="8" width="15.5703125" bestFit="1" customWidth="1"/>
    <col min="9" max="9" width="16.28515625" bestFit="1" customWidth="1"/>
  </cols>
  <sheetData>
    <row r="1" spans="1:9" ht="15.75" thickBo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9.75" thickBot="1">
      <c r="A2" s="4" t="s">
        <v>9</v>
      </c>
      <c r="B2" s="5" t="s">
        <v>10</v>
      </c>
      <c r="C2" s="4" t="s">
        <v>11</v>
      </c>
      <c r="D2" s="6" t="s">
        <v>12</v>
      </c>
      <c r="E2" s="4">
        <v>1</v>
      </c>
      <c r="F2" s="7">
        <v>13</v>
      </c>
      <c r="G2" s="8">
        <v>907100</v>
      </c>
      <c r="H2" s="9">
        <f t="shared" ref="H2:H625" si="0">F2*G2</f>
        <v>11792300</v>
      </c>
      <c r="I2" s="4">
        <f>F2-SUMIFS([1]Pedidos!G:G, [1]Pedidos!D:D, C2, [1]Pedidos!E:E, E2, [1]Pedidos!F:F, B2)</f>
        <v>8</v>
      </c>
    </row>
    <row r="3" spans="1:9" ht="65.25" thickBot="1">
      <c r="A3" s="4" t="s">
        <v>9</v>
      </c>
      <c r="B3" s="5" t="s">
        <v>13</v>
      </c>
      <c r="C3" s="4" t="s">
        <v>14</v>
      </c>
      <c r="D3" s="4" t="s">
        <v>15</v>
      </c>
      <c r="E3" s="4">
        <v>2</v>
      </c>
      <c r="F3" s="7">
        <v>11</v>
      </c>
      <c r="G3" s="8">
        <v>1413000</v>
      </c>
      <c r="H3" s="9">
        <f t="shared" si="0"/>
        <v>15543000</v>
      </c>
      <c r="I3" s="4">
        <f>F3-SUMIFS([1]Pedidos!G:G, [1]Pedidos!D:D, C3, [1]Pedidos!E:E, E3, [1]Pedidos!F:F, B3)</f>
        <v>4</v>
      </c>
    </row>
    <row r="4" spans="1:9" ht="15.75" thickBot="1">
      <c r="A4" s="4" t="s">
        <v>9</v>
      </c>
      <c r="B4" s="5" t="s">
        <v>16</v>
      </c>
      <c r="C4" s="4" t="s">
        <v>17</v>
      </c>
      <c r="D4" s="4" t="s">
        <v>18</v>
      </c>
      <c r="E4" s="4">
        <v>3</v>
      </c>
      <c r="F4" s="7">
        <v>4</v>
      </c>
      <c r="G4" s="8">
        <v>201000</v>
      </c>
      <c r="H4" s="9">
        <f t="shared" si="0"/>
        <v>804000</v>
      </c>
      <c r="I4" s="4">
        <f>F4-SUMIFS([1]Pedidos!G:G, [1]Pedidos!D:D, C4, [1]Pedidos!E:E, E4, [1]Pedidos!F:F, B4)</f>
        <v>2</v>
      </c>
    </row>
    <row r="5" spans="1:9" ht="15.75" thickBot="1">
      <c r="A5" s="4" t="s">
        <v>9</v>
      </c>
      <c r="B5" s="5" t="s">
        <v>19</v>
      </c>
      <c r="C5" s="4" t="s">
        <v>17</v>
      </c>
      <c r="D5" s="4" t="s">
        <v>20</v>
      </c>
      <c r="E5" s="4">
        <v>4</v>
      </c>
      <c r="F5" s="7">
        <v>4</v>
      </c>
      <c r="G5" s="8">
        <v>112000</v>
      </c>
      <c r="H5" s="9">
        <f t="shared" si="0"/>
        <v>448000</v>
      </c>
      <c r="I5" s="4">
        <f>F5-SUMIFS([1]Pedidos!G:G, [1]Pedidos!D:D, C5, [1]Pedidos!E:E, E5, [1]Pedidos!F:F, B5)</f>
        <v>4</v>
      </c>
    </row>
    <row r="6" spans="1:9" ht="15.75" thickBot="1">
      <c r="A6" s="4" t="s">
        <v>9</v>
      </c>
      <c r="B6" s="5" t="s">
        <v>21</v>
      </c>
      <c r="C6" s="4" t="s">
        <v>17</v>
      </c>
      <c r="D6" s="4" t="s">
        <v>22</v>
      </c>
      <c r="E6" s="4">
        <v>5</v>
      </c>
      <c r="F6" s="7">
        <v>5</v>
      </c>
      <c r="G6" s="8">
        <v>157000</v>
      </c>
      <c r="H6" s="9">
        <f t="shared" si="0"/>
        <v>785000</v>
      </c>
      <c r="I6" s="4">
        <f>F6-SUMIFS([1]Pedidos!G:G, [1]Pedidos!D:D, C6, [1]Pedidos!E:E, E6, [1]Pedidos!F:F, B6)</f>
        <v>2</v>
      </c>
    </row>
    <row r="7" spans="1:9" ht="15.75" thickBot="1">
      <c r="A7" s="4" t="s">
        <v>9</v>
      </c>
      <c r="B7" s="5" t="s">
        <v>23</v>
      </c>
      <c r="C7" s="4" t="s">
        <v>17</v>
      </c>
      <c r="D7" s="4" t="s">
        <v>24</v>
      </c>
      <c r="E7" s="4">
        <v>6</v>
      </c>
      <c r="F7" s="7">
        <v>5</v>
      </c>
      <c r="G7" s="8">
        <v>73000</v>
      </c>
      <c r="H7" s="9">
        <f t="shared" si="0"/>
        <v>365000</v>
      </c>
      <c r="I7" s="4">
        <f>F7-SUMIFS([1]Pedidos!G:G, [1]Pedidos!D:D, C7, [1]Pedidos!E:E, E7, [1]Pedidos!F:F, B7)</f>
        <v>0</v>
      </c>
    </row>
    <row r="8" spans="1:9" ht="27" thickBot="1">
      <c r="A8" s="4" t="s">
        <v>9</v>
      </c>
      <c r="B8" s="5" t="s">
        <v>25</v>
      </c>
      <c r="C8" s="4" t="s">
        <v>17</v>
      </c>
      <c r="D8" s="4" t="s">
        <v>26</v>
      </c>
      <c r="E8" s="4">
        <v>7</v>
      </c>
      <c r="F8" s="7">
        <v>33</v>
      </c>
      <c r="G8" s="8">
        <v>2990</v>
      </c>
      <c r="H8" s="9">
        <f t="shared" si="0"/>
        <v>98670</v>
      </c>
      <c r="I8" s="4">
        <f>F8-SUMIFS([1]Pedidos!G:G, [1]Pedidos!D:D, C8, [1]Pedidos!E:E, E8, [1]Pedidos!F:F, B8)</f>
        <v>17</v>
      </c>
    </row>
    <row r="9" spans="1:9" ht="27" thickBot="1">
      <c r="A9" s="4" t="s">
        <v>9</v>
      </c>
      <c r="B9" s="5" t="s">
        <v>27</v>
      </c>
      <c r="C9" s="4" t="s">
        <v>17</v>
      </c>
      <c r="D9" s="4" t="s">
        <v>28</v>
      </c>
      <c r="E9" s="4">
        <v>8</v>
      </c>
      <c r="F9" s="7">
        <v>33</v>
      </c>
      <c r="G9" s="8">
        <v>2300</v>
      </c>
      <c r="H9" s="9">
        <f t="shared" si="0"/>
        <v>75900</v>
      </c>
      <c r="I9" s="4">
        <f>F9-SUMIFS([1]Pedidos!G:G, [1]Pedidos!D:D, C9, [1]Pedidos!E:E, E9, [1]Pedidos!F:F, B9)</f>
        <v>24</v>
      </c>
    </row>
    <row r="10" spans="1:9" ht="27" thickBot="1">
      <c r="A10" s="4" t="s">
        <v>9</v>
      </c>
      <c r="B10" s="5" t="s">
        <v>29</v>
      </c>
      <c r="C10" s="4" t="s">
        <v>17</v>
      </c>
      <c r="D10" s="4" t="s">
        <v>30</v>
      </c>
      <c r="E10" s="4">
        <v>9</v>
      </c>
      <c r="F10" s="7">
        <v>42</v>
      </c>
      <c r="G10" s="8">
        <v>2590</v>
      </c>
      <c r="H10" s="9">
        <f t="shared" si="0"/>
        <v>108780</v>
      </c>
      <c r="I10" s="4">
        <f>F10-SUMIFS([1]Pedidos!G:G, [1]Pedidos!D:D, C10, [1]Pedidos!E:E, E10, [1]Pedidos!F:F, B10)</f>
        <v>22</v>
      </c>
    </row>
    <row r="11" spans="1:9" ht="27" thickBot="1">
      <c r="A11" s="4" t="s">
        <v>9</v>
      </c>
      <c r="B11" s="5" t="s">
        <v>31</v>
      </c>
      <c r="C11" s="4" t="s">
        <v>17</v>
      </c>
      <c r="D11" s="4" t="s">
        <v>32</v>
      </c>
      <c r="E11" s="4">
        <v>10</v>
      </c>
      <c r="F11" s="7">
        <v>42</v>
      </c>
      <c r="G11" s="8">
        <v>1630</v>
      </c>
      <c r="H11" s="9">
        <f t="shared" si="0"/>
        <v>68460</v>
      </c>
      <c r="I11" s="4">
        <f>F11-SUMIFS([1]Pedidos!G:G, [1]Pedidos!D:D, C11, [1]Pedidos!E:E, E11, [1]Pedidos!F:F, B11)</f>
        <v>13</v>
      </c>
    </row>
    <row r="12" spans="1:9" ht="27" thickBot="1">
      <c r="A12" s="4" t="s">
        <v>9</v>
      </c>
      <c r="B12" s="5" t="s">
        <v>33</v>
      </c>
      <c r="C12" s="4" t="s">
        <v>17</v>
      </c>
      <c r="D12" s="4" t="s">
        <v>34</v>
      </c>
      <c r="E12" s="4">
        <v>11</v>
      </c>
      <c r="F12" s="7">
        <v>24</v>
      </c>
      <c r="G12" s="8">
        <v>4000</v>
      </c>
      <c r="H12" s="9">
        <f t="shared" si="0"/>
        <v>96000</v>
      </c>
      <c r="I12" s="4">
        <f>F12-SUMIFS([1]Pedidos!G:G, [1]Pedidos!D:D, C12, [1]Pedidos!E:E, E12, [1]Pedidos!F:F, B12)</f>
        <v>5</v>
      </c>
    </row>
    <row r="13" spans="1:9" ht="27" thickBot="1">
      <c r="A13" s="4" t="s">
        <v>9</v>
      </c>
      <c r="B13" s="5" t="s">
        <v>35</v>
      </c>
      <c r="C13" s="4" t="s">
        <v>17</v>
      </c>
      <c r="D13" s="4" t="s">
        <v>36</v>
      </c>
      <c r="E13" s="4">
        <v>13</v>
      </c>
      <c r="F13" s="7">
        <v>24</v>
      </c>
      <c r="G13" s="8">
        <v>19200</v>
      </c>
      <c r="H13" s="9">
        <f t="shared" si="0"/>
        <v>460800</v>
      </c>
      <c r="I13" s="4">
        <f>F13-SUMIFS([1]Pedidos!G:G, [1]Pedidos!D:D, C13, [1]Pedidos!E:E, E13, [1]Pedidos!F:F, B13)</f>
        <v>21</v>
      </c>
    </row>
    <row r="14" spans="1:9" ht="15.75" thickBot="1">
      <c r="A14" s="4" t="s">
        <v>9</v>
      </c>
      <c r="B14" s="5" t="s">
        <v>37</v>
      </c>
      <c r="C14" s="4" t="s">
        <v>17</v>
      </c>
      <c r="D14" s="4" t="s">
        <v>38</v>
      </c>
      <c r="E14" s="4">
        <v>14</v>
      </c>
      <c r="F14" s="7">
        <v>6</v>
      </c>
      <c r="G14" s="8">
        <v>252000</v>
      </c>
      <c r="H14" s="9">
        <f t="shared" si="0"/>
        <v>1512000</v>
      </c>
      <c r="I14" s="4">
        <f>F14-SUMIFS([1]Pedidos!G:G, [1]Pedidos!D:D, C14, [1]Pedidos!E:E, E14, [1]Pedidos!F:F, B14)</f>
        <v>5</v>
      </c>
    </row>
    <row r="15" spans="1:9" ht="15.75" thickBot="1">
      <c r="A15" s="4" t="s">
        <v>9</v>
      </c>
      <c r="B15" s="5" t="s">
        <v>39</v>
      </c>
      <c r="C15" s="4" t="s">
        <v>17</v>
      </c>
      <c r="D15" s="4" t="s">
        <v>40</v>
      </c>
      <c r="E15" s="4">
        <v>15</v>
      </c>
      <c r="F15" s="7">
        <v>6</v>
      </c>
      <c r="G15" s="8">
        <v>440235</v>
      </c>
      <c r="H15" s="9">
        <f t="shared" si="0"/>
        <v>2641410</v>
      </c>
      <c r="I15" s="4">
        <f>F15-SUMIFS([1]Pedidos!G:G, [1]Pedidos!D:D, C15, [1]Pedidos!E:E, E15, [1]Pedidos!F:F, B15)</f>
        <v>5</v>
      </c>
    </row>
    <row r="16" spans="1:9" ht="27" thickBot="1">
      <c r="A16" s="4" t="s">
        <v>9</v>
      </c>
      <c r="B16" s="5" t="s">
        <v>41</v>
      </c>
      <c r="C16" s="4" t="s">
        <v>17</v>
      </c>
      <c r="D16" s="4" t="s">
        <v>42</v>
      </c>
      <c r="E16" s="4">
        <v>16</v>
      </c>
      <c r="F16" s="7">
        <v>150</v>
      </c>
      <c r="G16" s="8">
        <f>62000/50</f>
        <v>1240</v>
      </c>
      <c r="H16" s="9">
        <f t="shared" si="0"/>
        <v>186000</v>
      </c>
      <c r="I16" s="4">
        <f>F16-SUMIFS([1]Pedidos!G:G, [1]Pedidos!D:D, C16, [1]Pedidos!E:E, E16, [1]Pedidos!F:F, B16)</f>
        <v>125</v>
      </c>
    </row>
    <row r="17" spans="1:9" ht="27" thickBot="1">
      <c r="A17" s="4" t="s">
        <v>9</v>
      </c>
      <c r="B17" s="5" t="s">
        <v>43</v>
      </c>
      <c r="C17" s="4" t="s">
        <v>17</v>
      </c>
      <c r="D17" s="4" t="s">
        <v>44</v>
      </c>
      <c r="E17" s="4">
        <v>17</v>
      </c>
      <c r="F17" s="7">
        <v>24</v>
      </c>
      <c r="G17" s="8">
        <v>2850</v>
      </c>
      <c r="H17" s="9">
        <f t="shared" si="0"/>
        <v>68400</v>
      </c>
      <c r="I17" s="4">
        <f>F17-SUMIFS([1]Pedidos!G:G, [1]Pedidos!D:D, C17, [1]Pedidos!E:E, E17, [1]Pedidos!F:F, B17)</f>
        <v>13</v>
      </c>
    </row>
    <row r="18" spans="1:9" ht="15.75" thickBot="1">
      <c r="A18" s="4" t="s">
        <v>9</v>
      </c>
      <c r="B18" s="5" t="s">
        <v>45</v>
      </c>
      <c r="C18" s="4" t="s">
        <v>17</v>
      </c>
      <c r="D18" s="4" t="s">
        <v>46</v>
      </c>
      <c r="E18" s="4">
        <v>18</v>
      </c>
      <c r="F18" s="7">
        <f t="shared" ref="F18:F19" si="1">7*200</f>
        <v>1400</v>
      </c>
      <c r="G18" s="8">
        <f>6400/200</f>
        <v>32</v>
      </c>
      <c r="H18" s="9">
        <f t="shared" si="0"/>
        <v>44800</v>
      </c>
      <c r="I18" s="4">
        <f>F18-SUMIFS([1]Pedidos!G:G, [1]Pedidos!D:D, C18, [1]Pedidos!E:E, E18, [1]Pedidos!F:F, B18)</f>
        <v>1160</v>
      </c>
    </row>
    <row r="19" spans="1:9" ht="15.75" thickBot="1">
      <c r="A19" s="4" t="s">
        <v>9</v>
      </c>
      <c r="B19" s="5" t="s">
        <v>47</v>
      </c>
      <c r="C19" s="4" t="s">
        <v>17</v>
      </c>
      <c r="D19" s="4" t="s">
        <v>46</v>
      </c>
      <c r="E19" s="4">
        <v>19</v>
      </c>
      <c r="F19" s="7">
        <f t="shared" si="1"/>
        <v>1400</v>
      </c>
      <c r="G19" s="8">
        <f>13500/200</f>
        <v>67.5</v>
      </c>
      <c r="H19" s="9">
        <f t="shared" si="0"/>
        <v>94500</v>
      </c>
      <c r="I19" s="4">
        <f>F19-SUMIFS([1]Pedidos!G:G, [1]Pedidos!D:D, C19, [1]Pedidos!E:E, E19, [1]Pedidos!F:F, B19)</f>
        <v>1224</v>
      </c>
    </row>
    <row r="20" spans="1:9" ht="27" thickBot="1">
      <c r="A20" s="4" t="s">
        <v>9</v>
      </c>
      <c r="B20" s="5" t="s">
        <v>48</v>
      </c>
      <c r="C20" s="4" t="s">
        <v>17</v>
      </c>
      <c r="D20" s="4" t="s">
        <v>49</v>
      </c>
      <c r="E20" s="4">
        <v>20</v>
      </c>
      <c r="F20" s="7">
        <v>1400</v>
      </c>
      <c r="G20" s="8">
        <f>23350/200</f>
        <v>116.75</v>
      </c>
      <c r="H20" s="9">
        <f t="shared" si="0"/>
        <v>163450</v>
      </c>
      <c r="I20" s="4">
        <f>F20-SUMIFS([1]Pedidos!G:G, [1]Pedidos!D:D, C20, [1]Pedidos!E:E, E20, [1]Pedidos!F:F, B20)</f>
        <v>1224</v>
      </c>
    </row>
    <row r="21" spans="1:9" ht="27" thickBot="1">
      <c r="A21" s="4" t="s">
        <v>9</v>
      </c>
      <c r="B21" s="5" t="s">
        <v>50</v>
      </c>
      <c r="C21" s="4" t="s">
        <v>17</v>
      </c>
      <c r="D21" s="4" t="s">
        <v>51</v>
      </c>
      <c r="E21" s="4">
        <v>21</v>
      </c>
      <c r="F21" s="7">
        <v>1400</v>
      </c>
      <c r="G21" s="8">
        <f>15400/200</f>
        <v>77</v>
      </c>
      <c r="H21" s="9">
        <f t="shared" si="0"/>
        <v>107800</v>
      </c>
      <c r="I21" s="4">
        <f>F21-SUMIFS([1]Pedidos!G:G, [1]Pedidos!D:D, C21, [1]Pedidos!E:E, E21, [1]Pedidos!F:F, B21)</f>
        <v>1160</v>
      </c>
    </row>
    <row r="22" spans="1:9" ht="27" thickBot="1">
      <c r="A22" s="4" t="s">
        <v>9</v>
      </c>
      <c r="B22" s="5" t="s">
        <v>52</v>
      </c>
      <c r="C22" s="4" t="s">
        <v>17</v>
      </c>
      <c r="D22" s="4" t="s">
        <v>53</v>
      </c>
      <c r="E22" s="4">
        <v>22</v>
      </c>
      <c r="F22" s="7">
        <f t="shared" ref="F22:F23" si="2">7*200</f>
        <v>1400</v>
      </c>
      <c r="G22" s="8">
        <f>8900/200</f>
        <v>44.5</v>
      </c>
      <c r="H22" s="9">
        <f t="shared" si="0"/>
        <v>62300</v>
      </c>
      <c r="I22" s="4">
        <f>F22-SUMIFS([1]Pedidos!G:G, [1]Pedidos!D:D, C22, [1]Pedidos!E:E, E22, [1]Pedidos!F:F, B22)</f>
        <v>1224</v>
      </c>
    </row>
    <row r="23" spans="1:9" ht="27" thickBot="1">
      <c r="A23" s="4" t="s">
        <v>9</v>
      </c>
      <c r="B23" s="5" t="s">
        <v>54</v>
      </c>
      <c r="C23" s="4" t="s">
        <v>17</v>
      </c>
      <c r="D23" s="4" t="s">
        <v>55</v>
      </c>
      <c r="E23" s="4">
        <v>23</v>
      </c>
      <c r="F23" s="7">
        <f t="shared" si="2"/>
        <v>1400</v>
      </c>
      <c r="G23" s="8">
        <f>6000/200</f>
        <v>30</v>
      </c>
      <c r="H23" s="9">
        <f t="shared" si="0"/>
        <v>42000</v>
      </c>
      <c r="I23" s="4">
        <f>F23-SUMIFS([1]Pedidos!G:G, [1]Pedidos!D:D, C23, [1]Pedidos!E:E, E23, [1]Pedidos!F:F, B23)</f>
        <v>1160</v>
      </c>
    </row>
    <row r="24" spans="1:9" ht="27" thickBot="1">
      <c r="A24" s="4" t="s">
        <v>56</v>
      </c>
      <c r="B24" s="5" t="s">
        <v>57</v>
      </c>
      <c r="C24" s="4" t="s">
        <v>58</v>
      </c>
      <c r="D24" s="4" t="s">
        <v>59</v>
      </c>
      <c r="E24" s="4">
        <v>19</v>
      </c>
      <c r="F24" s="7">
        <v>10</v>
      </c>
      <c r="G24" s="8">
        <v>10500</v>
      </c>
      <c r="H24" s="9">
        <f t="shared" si="0"/>
        <v>105000</v>
      </c>
      <c r="I24" s="4">
        <f>F24-SUMIFS([1]Pedidos!G:G, [1]Pedidos!D:D, C24, [1]Pedidos!E:E, E24, [1]Pedidos!F:F, B24)</f>
        <v>6</v>
      </c>
    </row>
    <row r="25" spans="1:9" ht="15.75" thickBot="1">
      <c r="A25" s="4" t="s">
        <v>56</v>
      </c>
      <c r="B25" s="5" t="s">
        <v>60</v>
      </c>
      <c r="C25" s="10" t="s">
        <v>61</v>
      </c>
      <c r="D25" s="4"/>
      <c r="E25" s="11" t="s">
        <v>62</v>
      </c>
      <c r="F25" s="7">
        <v>1</v>
      </c>
      <c r="G25" s="8">
        <v>73</v>
      </c>
      <c r="H25" s="9">
        <f t="shared" si="0"/>
        <v>73</v>
      </c>
      <c r="I25" s="4">
        <f>F25-SUMIFS([1]Pedidos!G:G, [1]Pedidos!D:D, C25, [1]Pedidos!E:E, E25, [1]Pedidos!F:F, B25)</f>
        <v>1</v>
      </c>
    </row>
    <row r="26" spans="1:9" ht="15.75" thickBot="1">
      <c r="A26" s="4" t="s">
        <v>56</v>
      </c>
      <c r="B26" s="5" t="s">
        <v>63</v>
      </c>
      <c r="C26" s="10" t="s">
        <v>61</v>
      </c>
      <c r="D26" s="4" t="s">
        <v>64</v>
      </c>
      <c r="E26" s="11" t="s">
        <v>62</v>
      </c>
      <c r="F26" s="7">
        <v>27</v>
      </c>
      <c r="G26" s="8">
        <v>1.2</v>
      </c>
      <c r="H26" s="9">
        <f t="shared" si="0"/>
        <v>32.4</v>
      </c>
      <c r="I26" s="4">
        <f>F26-SUMIFS([1]Pedidos!G:G, [1]Pedidos!D:D, C26, [1]Pedidos!E:E, E26, [1]Pedidos!F:F, B26)</f>
        <v>27</v>
      </c>
    </row>
    <row r="27" spans="1:9" ht="15.75" thickBot="1">
      <c r="A27" s="4" t="s">
        <v>56</v>
      </c>
      <c r="B27" s="5" t="s">
        <v>65</v>
      </c>
      <c r="C27" s="10" t="s">
        <v>61</v>
      </c>
      <c r="D27" s="4" t="s">
        <v>66</v>
      </c>
      <c r="E27" s="11" t="s">
        <v>62</v>
      </c>
      <c r="F27" s="7">
        <v>9</v>
      </c>
      <c r="G27" s="8">
        <v>0.5</v>
      </c>
      <c r="H27" s="9">
        <f t="shared" si="0"/>
        <v>4.5</v>
      </c>
      <c r="I27" s="4">
        <f>F27-SUMIFS([1]Pedidos!G:G, [1]Pedidos!D:D, C27, [1]Pedidos!E:E, E27, [1]Pedidos!F:F, B27)</f>
        <v>9</v>
      </c>
    </row>
    <row r="28" spans="1:9" ht="15.75" thickBot="1">
      <c r="A28" s="4" t="s">
        <v>56</v>
      </c>
      <c r="B28" s="5" t="s">
        <v>65</v>
      </c>
      <c r="C28" s="10" t="s">
        <v>67</v>
      </c>
      <c r="D28" s="4" t="s">
        <v>66</v>
      </c>
      <c r="E28" s="11" t="s">
        <v>62</v>
      </c>
      <c r="F28" s="7">
        <v>52</v>
      </c>
      <c r="G28" s="8">
        <v>1.5</v>
      </c>
      <c r="H28" s="9">
        <f t="shared" si="0"/>
        <v>78</v>
      </c>
      <c r="I28" s="4">
        <f>F28-SUMIFS([1]Pedidos!G:G, [1]Pedidos!D:D, C28, [1]Pedidos!E:E, E28, [1]Pedidos!F:F, B28)</f>
        <v>52</v>
      </c>
    </row>
    <row r="29" spans="1:9" ht="15.75" thickBot="1">
      <c r="A29" s="4" t="s">
        <v>56</v>
      </c>
      <c r="B29" s="5" t="s">
        <v>68</v>
      </c>
      <c r="C29" s="4" t="s">
        <v>69</v>
      </c>
      <c r="D29" s="6" t="s">
        <v>70</v>
      </c>
      <c r="E29" s="4">
        <v>8</v>
      </c>
      <c r="F29" s="7">
        <v>100</v>
      </c>
      <c r="G29" s="8">
        <v>1234.2</v>
      </c>
      <c r="H29" s="9">
        <f t="shared" si="0"/>
        <v>123420</v>
      </c>
      <c r="I29" s="4">
        <f>F29-SUMIFS([1]Pedidos!G:G, [1]Pedidos!D:D, C29, [1]Pedidos!E:E, E29, [1]Pedidos!F:F, B29)</f>
        <v>100</v>
      </c>
    </row>
    <row r="30" spans="1:9" ht="27" thickBot="1">
      <c r="A30" s="4" t="s">
        <v>56</v>
      </c>
      <c r="B30" s="5" t="s">
        <v>71</v>
      </c>
      <c r="C30" s="4" t="s">
        <v>69</v>
      </c>
      <c r="D30" s="4" t="s">
        <v>72</v>
      </c>
      <c r="E30" s="4">
        <v>5</v>
      </c>
      <c r="F30" s="7">
        <v>50</v>
      </c>
      <c r="G30" s="8">
        <v>2912.71</v>
      </c>
      <c r="H30" s="9">
        <f t="shared" si="0"/>
        <v>145635.5</v>
      </c>
      <c r="I30" s="4">
        <f>F30-SUMIFS([1]Pedidos!G:G, [1]Pedidos!D:D, C30, [1]Pedidos!E:E, E30, [1]Pedidos!F:F, B30)</f>
        <v>46</v>
      </c>
    </row>
    <row r="31" spans="1:9" ht="15.75" thickBot="1">
      <c r="A31" s="4" t="s">
        <v>56</v>
      </c>
      <c r="B31" s="5" t="s">
        <v>73</v>
      </c>
      <c r="C31" s="10" t="s">
        <v>61</v>
      </c>
      <c r="D31" s="12" t="s">
        <v>74</v>
      </c>
      <c r="E31" s="11" t="s">
        <v>62</v>
      </c>
      <c r="F31" s="7">
        <v>5</v>
      </c>
      <c r="G31" s="8">
        <v>11</v>
      </c>
      <c r="H31" s="9">
        <f t="shared" si="0"/>
        <v>55</v>
      </c>
      <c r="I31" s="4">
        <f>F31-SUMIFS([1]Pedidos!G:G, [1]Pedidos!D:D, C31, [1]Pedidos!E:E, E31, [1]Pedidos!F:F, B31)</f>
        <v>5</v>
      </c>
    </row>
    <row r="32" spans="1:9" ht="15.75" thickBot="1">
      <c r="A32" s="4" t="s">
        <v>56</v>
      </c>
      <c r="B32" s="5" t="s">
        <v>73</v>
      </c>
      <c r="C32" s="10" t="s">
        <v>67</v>
      </c>
      <c r="D32" s="12" t="s">
        <v>74</v>
      </c>
      <c r="E32" s="11" t="s">
        <v>62</v>
      </c>
      <c r="F32" s="7">
        <v>14</v>
      </c>
      <c r="G32" s="8">
        <v>22.02</v>
      </c>
      <c r="H32" s="9">
        <f t="shared" si="0"/>
        <v>308.27999999999997</v>
      </c>
      <c r="I32" s="4">
        <f>F32-SUMIFS([1]Pedidos!G:G, [1]Pedidos!D:D, C32, [1]Pedidos!E:E, E32, [1]Pedidos!F:F, B32)</f>
        <v>14</v>
      </c>
    </row>
    <row r="33" spans="1:9" ht="15.75" thickBot="1">
      <c r="A33" s="4" t="s">
        <v>56</v>
      </c>
      <c r="B33" s="5" t="s">
        <v>75</v>
      </c>
      <c r="C33" s="10" t="s">
        <v>61</v>
      </c>
      <c r="D33" s="4"/>
      <c r="E33" s="11" t="s">
        <v>62</v>
      </c>
      <c r="F33" s="7">
        <v>11</v>
      </c>
      <c r="G33" s="8">
        <v>66</v>
      </c>
      <c r="H33" s="9">
        <f t="shared" si="0"/>
        <v>726</v>
      </c>
      <c r="I33" s="4">
        <f>F33-SUMIFS([1]Pedidos!G:G, [1]Pedidos!D:D, C33, [1]Pedidos!E:E, E33, [1]Pedidos!F:F, B33)</f>
        <v>11</v>
      </c>
    </row>
    <row r="34" spans="1:9" ht="15.75" thickBot="1">
      <c r="A34" s="4" t="s">
        <v>56</v>
      </c>
      <c r="B34" s="5" t="s">
        <v>76</v>
      </c>
      <c r="C34" s="10" t="s">
        <v>61</v>
      </c>
      <c r="D34" s="4"/>
      <c r="E34" s="11" t="s">
        <v>62</v>
      </c>
      <c r="F34" s="7">
        <v>12</v>
      </c>
      <c r="G34" s="8">
        <v>198</v>
      </c>
      <c r="H34" s="9">
        <f t="shared" si="0"/>
        <v>2376</v>
      </c>
      <c r="I34" s="4">
        <f>F34-SUMIFS([1]Pedidos!G:G, [1]Pedidos!D:D, C34, [1]Pedidos!E:E, E34, [1]Pedidos!F:F, B34)</f>
        <v>12</v>
      </c>
    </row>
    <row r="35" spans="1:9" ht="15.75" thickBot="1">
      <c r="A35" s="4" t="s">
        <v>56</v>
      </c>
      <c r="B35" s="5" t="s">
        <v>77</v>
      </c>
      <c r="C35" s="10" t="s">
        <v>61</v>
      </c>
      <c r="D35" s="4"/>
      <c r="E35" s="11" t="s">
        <v>62</v>
      </c>
      <c r="F35" s="7">
        <v>9</v>
      </c>
      <c r="G35" s="8">
        <v>57</v>
      </c>
      <c r="H35" s="9">
        <f t="shared" si="0"/>
        <v>513</v>
      </c>
      <c r="I35" s="4">
        <f>F35-SUMIFS([1]Pedidos!G:G, [1]Pedidos!D:D, C35, [1]Pedidos!E:E, E35, [1]Pedidos!F:F, B35)</f>
        <v>9</v>
      </c>
    </row>
    <row r="36" spans="1:9" ht="15.75" thickBot="1">
      <c r="A36" s="4" t="s">
        <v>56</v>
      </c>
      <c r="B36" s="5" t="s">
        <v>78</v>
      </c>
      <c r="C36" s="10" t="s">
        <v>61</v>
      </c>
      <c r="D36" s="12" t="s">
        <v>79</v>
      </c>
      <c r="E36" s="11" t="s">
        <v>62</v>
      </c>
      <c r="F36" s="7">
        <v>21</v>
      </c>
      <c r="G36" s="8">
        <v>0.43</v>
      </c>
      <c r="H36" s="9">
        <f t="shared" si="0"/>
        <v>9.0299999999999994</v>
      </c>
      <c r="I36" s="4">
        <f>F36-SUMIFS([1]Pedidos!G:G, [1]Pedidos!D:D, C36, [1]Pedidos!E:E, E36, [1]Pedidos!F:F, B36)</f>
        <v>21</v>
      </c>
    </row>
    <row r="37" spans="1:9" ht="15.75" thickBot="1">
      <c r="A37" s="4" t="s">
        <v>56</v>
      </c>
      <c r="B37" s="5" t="s">
        <v>80</v>
      </c>
      <c r="C37" s="10" t="s">
        <v>61</v>
      </c>
      <c r="D37" s="12" t="s">
        <v>81</v>
      </c>
      <c r="E37" s="11" t="s">
        <v>62</v>
      </c>
      <c r="F37" s="7">
        <v>22</v>
      </c>
      <c r="G37" s="8">
        <v>0.6</v>
      </c>
      <c r="H37" s="9">
        <f t="shared" si="0"/>
        <v>13.2</v>
      </c>
      <c r="I37" s="4">
        <f>F37-SUMIFS([1]Pedidos!G:G, [1]Pedidos!D:D, C37, [1]Pedidos!E:E, E37, [1]Pedidos!F:F, B37)</f>
        <v>22</v>
      </c>
    </row>
    <row r="38" spans="1:9" ht="15.75" thickBot="1">
      <c r="A38" s="4" t="s">
        <v>56</v>
      </c>
      <c r="B38" s="5" t="s">
        <v>82</v>
      </c>
      <c r="C38" s="10" t="s">
        <v>61</v>
      </c>
      <c r="D38" s="12" t="s">
        <v>81</v>
      </c>
      <c r="E38" s="11" t="s">
        <v>62</v>
      </c>
      <c r="F38" s="7">
        <v>20</v>
      </c>
      <c r="G38" s="8">
        <v>0.85</v>
      </c>
      <c r="H38" s="9">
        <f t="shared" si="0"/>
        <v>17</v>
      </c>
      <c r="I38" s="4">
        <f>F38-SUMIFS([1]Pedidos!G:G, [1]Pedidos!D:D, C38, [1]Pedidos!E:E, E38, [1]Pedidos!F:F, B38)</f>
        <v>20</v>
      </c>
    </row>
    <row r="39" spans="1:9" ht="15.75" thickBot="1">
      <c r="A39" s="4" t="s">
        <v>56</v>
      </c>
      <c r="B39" s="5" t="s">
        <v>83</v>
      </c>
      <c r="C39" s="10" t="s">
        <v>61</v>
      </c>
      <c r="D39" s="12" t="s">
        <v>84</v>
      </c>
      <c r="E39" s="11" t="s">
        <v>62</v>
      </c>
      <c r="F39" s="7">
        <v>3</v>
      </c>
      <c r="G39" s="8">
        <v>0.73</v>
      </c>
      <c r="H39" s="9">
        <f t="shared" si="0"/>
        <v>2.19</v>
      </c>
      <c r="I39" s="4">
        <f>F39-SUMIFS([1]Pedidos!G:G, [1]Pedidos!D:D, C39, [1]Pedidos!E:E, E39, [1]Pedidos!F:F, B39)</f>
        <v>3</v>
      </c>
    </row>
    <row r="40" spans="1:9" ht="15.75" thickBot="1">
      <c r="A40" s="4" t="s">
        <v>56</v>
      </c>
      <c r="B40" s="5" t="s">
        <v>85</v>
      </c>
      <c r="C40" s="10" t="s">
        <v>61</v>
      </c>
      <c r="D40" s="12" t="s">
        <v>86</v>
      </c>
      <c r="E40" s="11" t="s">
        <v>62</v>
      </c>
      <c r="F40" s="7">
        <v>19</v>
      </c>
      <c r="G40" s="8">
        <v>1.37</v>
      </c>
      <c r="H40" s="9">
        <f t="shared" si="0"/>
        <v>26.03</v>
      </c>
      <c r="I40" s="4">
        <f>F40-SUMIFS([1]Pedidos!G:G, [1]Pedidos!D:D, C40, [1]Pedidos!E:E, E40, [1]Pedidos!F:F, B40)</f>
        <v>19</v>
      </c>
    </row>
    <row r="41" spans="1:9" ht="15.75" thickBot="1">
      <c r="A41" s="4" t="s">
        <v>56</v>
      </c>
      <c r="B41" s="5" t="s">
        <v>87</v>
      </c>
      <c r="C41" s="10" t="s">
        <v>61</v>
      </c>
      <c r="D41" s="4"/>
      <c r="E41" s="11" t="s">
        <v>62</v>
      </c>
      <c r="F41" s="7">
        <v>10</v>
      </c>
      <c r="G41" s="8">
        <v>7.1</v>
      </c>
      <c r="H41" s="9">
        <f t="shared" si="0"/>
        <v>71</v>
      </c>
      <c r="I41" s="4">
        <f>F41-SUMIFS([1]Pedidos!G:G, [1]Pedidos!D:D, C41, [1]Pedidos!E:E, E41, [1]Pedidos!F:F, B41)</f>
        <v>10</v>
      </c>
    </row>
    <row r="42" spans="1:9" ht="15.75" thickBot="1">
      <c r="A42" s="4" t="s">
        <v>56</v>
      </c>
      <c r="B42" s="5" t="s">
        <v>88</v>
      </c>
      <c r="C42" s="10" t="s">
        <v>61</v>
      </c>
      <c r="D42" s="4"/>
      <c r="E42" s="11" t="s">
        <v>62</v>
      </c>
      <c r="F42" s="7">
        <v>4</v>
      </c>
      <c r="G42" s="8">
        <v>2.1800000000000002</v>
      </c>
      <c r="H42" s="9">
        <f t="shared" si="0"/>
        <v>8.7200000000000006</v>
      </c>
      <c r="I42" s="4">
        <f>F42-SUMIFS([1]Pedidos!G:G, [1]Pedidos!D:D, C42, [1]Pedidos!E:E, E42, [1]Pedidos!F:F, B42)</f>
        <v>4</v>
      </c>
    </row>
    <row r="43" spans="1:9" ht="15.75" thickBot="1">
      <c r="A43" s="4" t="s">
        <v>56</v>
      </c>
      <c r="B43" s="5" t="s">
        <v>89</v>
      </c>
      <c r="C43" s="10" t="s">
        <v>61</v>
      </c>
      <c r="D43" s="4"/>
      <c r="E43" s="11" t="s">
        <v>62</v>
      </c>
      <c r="F43" s="7">
        <v>1</v>
      </c>
      <c r="G43" s="8">
        <v>165</v>
      </c>
      <c r="H43" s="9">
        <f t="shared" si="0"/>
        <v>165</v>
      </c>
      <c r="I43" s="4">
        <f>F43-SUMIFS([1]Pedidos!G:G, [1]Pedidos!D:D, C43, [1]Pedidos!E:E, E43, [1]Pedidos!F:F, B43)</f>
        <v>1</v>
      </c>
    </row>
    <row r="44" spans="1:9" ht="15.75" thickBot="1">
      <c r="A44" s="4" t="s">
        <v>56</v>
      </c>
      <c r="B44" s="5" t="s">
        <v>90</v>
      </c>
      <c r="C44" s="10" t="s">
        <v>61</v>
      </c>
      <c r="D44" s="12" t="s">
        <v>91</v>
      </c>
      <c r="E44" s="11" t="s">
        <v>62</v>
      </c>
      <c r="F44" s="7">
        <v>10</v>
      </c>
      <c r="G44" s="8">
        <v>13.85</v>
      </c>
      <c r="H44" s="9">
        <f t="shared" si="0"/>
        <v>138.5</v>
      </c>
      <c r="I44" s="4">
        <f>F44-SUMIFS([1]Pedidos!G:G, [1]Pedidos!D:D, C44, [1]Pedidos!E:E, E44, [1]Pedidos!F:F, B44)</f>
        <v>10</v>
      </c>
    </row>
    <row r="45" spans="1:9" ht="15.75" thickBot="1">
      <c r="A45" s="4" t="s">
        <v>56</v>
      </c>
      <c r="B45" s="5" t="s">
        <v>90</v>
      </c>
      <c r="C45" s="10" t="s">
        <v>67</v>
      </c>
      <c r="D45" s="12" t="s">
        <v>91</v>
      </c>
      <c r="E45" s="11" t="s">
        <v>62</v>
      </c>
      <c r="F45" s="7">
        <v>10</v>
      </c>
      <c r="G45" s="8">
        <v>32.67</v>
      </c>
      <c r="H45" s="9">
        <f t="shared" si="0"/>
        <v>326.70000000000005</v>
      </c>
      <c r="I45" s="4">
        <f>F45-SUMIFS([1]Pedidos!G:G, [1]Pedidos!D:D, C45, [1]Pedidos!E:E, E45, [1]Pedidos!F:F, B45)</f>
        <v>10</v>
      </c>
    </row>
    <row r="46" spans="1:9" ht="15.75" thickBot="1">
      <c r="A46" s="4" t="s">
        <v>56</v>
      </c>
      <c r="B46" s="5" t="s">
        <v>92</v>
      </c>
      <c r="C46" s="10" t="s">
        <v>61</v>
      </c>
      <c r="D46" s="12" t="s">
        <v>93</v>
      </c>
      <c r="E46" s="11" t="s">
        <v>62</v>
      </c>
      <c r="F46" s="7">
        <v>10</v>
      </c>
      <c r="G46" s="8">
        <v>45.76</v>
      </c>
      <c r="H46" s="9">
        <f t="shared" si="0"/>
        <v>457.59999999999997</v>
      </c>
      <c r="I46" s="4">
        <f>F46-SUMIFS([1]Pedidos!G:G, [1]Pedidos!D:D, C46, [1]Pedidos!E:E, E46, [1]Pedidos!F:F, B46)</f>
        <v>10</v>
      </c>
    </row>
    <row r="47" spans="1:9" ht="15.75" thickBot="1">
      <c r="A47" s="4" t="s">
        <v>56</v>
      </c>
      <c r="B47" s="5" t="s">
        <v>94</v>
      </c>
      <c r="C47" s="10" t="s">
        <v>61</v>
      </c>
      <c r="D47" s="4" t="s">
        <v>95</v>
      </c>
      <c r="E47" s="11" t="s">
        <v>62</v>
      </c>
      <c r="F47" s="7">
        <v>5</v>
      </c>
      <c r="G47" s="8">
        <v>69.27</v>
      </c>
      <c r="H47" s="9">
        <f t="shared" si="0"/>
        <v>346.34999999999997</v>
      </c>
      <c r="I47" s="4">
        <f>F47-SUMIFS([1]Pedidos!G:G, [1]Pedidos!D:D, C47, [1]Pedidos!E:E, E47, [1]Pedidos!F:F, B47)</f>
        <v>5</v>
      </c>
    </row>
    <row r="48" spans="1:9" ht="15.75" thickBot="1">
      <c r="A48" s="4" t="s">
        <v>56</v>
      </c>
      <c r="B48" s="5" t="s">
        <v>96</v>
      </c>
      <c r="C48" s="10" t="s">
        <v>61</v>
      </c>
      <c r="D48" s="12" t="s">
        <v>97</v>
      </c>
      <c r="E48" s="11" t="s">
        <v>62</v>
      </c>
      <c r="F48" s="7">
        <v>5</v>
      </c>
      <c r="G48" s="8">
        <v>34.08</v>
      </c>
      <c r="H48" s="9">
        <f t="shared" si="0"/>
        <v>170.39999999999998</v>
      </c>
      <c r="I48" s="4">
        <f>F48-SUMIFS([1]Pedidos!G:G, [1]Pedidos!D:D, C48, [1]Pedidos!E:E, E48, [1]Pedidos!F:F, B48)</f>
        <v>4</v>
      </c>
    </row>
    <row r="49" spans="1:9" ht="15.75" thickBot="1">
      <c r="A49" s="4" t="s">
        <v>56</v>
      </c>
      <c r="B49" s="5" t="s">
        <v>96</v>
      </c>
      <c r="C49" s="10" t="s">
        <v>67</v>
      </c>
      <c r="D49" s="12" t="s">
        <v>97</v>
      </c>
      <c r="E49" s="11" t="s">
        <v>62</v>
      </c>
      <c r="F49" s="7">
        <v>6</v>
      </c>
      <c r="G49" s="8">
        <v>94.8</v>
      </c>
      <c r="H49" s="9">
        <f t="shared" si="0"/>
        <v>568.79999999999995</v>
      </c>
      <c r="I49" s="4">
        <f>F49-SUMIFS([1]Pedidos!G:G, [1]Pedidos!D:D, C49, [1]Pedidos!E:E, E49, [1]Pedidos!F:F, B49)</f>
        <v>6</v>
      </c>
    </row>
    <row r="50" spans="1:9" ht="15.75" thickBot="1">
      <c r="A50" s="4" t="s">
        <v>56</v>
      </c>
      <c r="B50" s="5" t="s">
        <v>98</v>
      </c>
      <c r="C50" s="10" t="s">
        <v>61</v>
      </c>
      <c r="D50" s="12" t="s">
        <v>99</v>
      </c>
      <c r="E50" s="11" t="s">
        <v>62</v>
      </c>
      <c r="F50" s="7">
        <v>9</v>
      </c>
      <c r="G50" s="8">
        <v>26.3</v>
      </c>
      <c r="H50" s="9">
        <f t="shared" si="0"/>
        <v>236.70000000000002</v>
      </c>
      <c r="I50" s="4">
        <f>F50-SUMIFS([1]Pedidos!G:G, [1]Pedidos!D:D, C50, [1]Pedidos!E:E, E50, [1]Pedidos!F:F, B50)</f>
        <v>9</v>
      </c>
    </row>
    <row r="51" spans="1:9" ht="15.75" thickBot="1">
      <c r="A51" s="4" t="s">
        <v>56</v>
      </c>
      <c r="B51" s="5" t="s">
        <v>100</v>
      </c>
      <c r="C51" s="10" t="s">
        <v>61</v>
      </c>
      <c r="D51" s="12" t="s">
        <v>101</v>
      </c>
      <c r="E51" s="11" t="s">
        <v>62</v>
      </c>
      <c r="F51" s="7">
        <v>1</v>
      </c>
      <c r="G51" s="8">
        <v>159.06</v>
      </c>
      <c r="H51" s="9">
        <f t="shared" si="0"/>
        <v>159.06</v>
      </c>
      <c r="I51" s="4">
        <f>F51-SUMIFS([1]Pedidos!G:G, [1]Pedidos!D:D, C51, [1]Pedidos!E:E, E51, [1]Pedidos!F:F, B51)</f>
        <v>1</v>
      </c>
    </row>
    <row r="52" spans="1:9" ht="15.75" thickBot="1">
      <c r="A52" s="4" t="s">
        <v>56</v>
      </c>
      <c r="B52" s="5" t="s">
        <v>102</v>
      </c>
      <c r="C52" s="10" t="s">
        <v>61</v>
      </c>
      <c r="D52" s="12" t="s">
        <v>103</v>
      </c>
      <c r="E52" s="11" t="s">
        <v>62</v>
      </c>
      <c r="F52" s="7">
        <v>6</v>
      </c>
      <c r="G52" s="8">
        <v>556</v>
      </c>
      <c r="H52" s="9">
        <f t="shared" si="0"/>
        <v>3336</v>
      </c>
      <c r="I52" s="4">
        <f>F52-SUMIFS([1]Pedidos!G:G, [1]Pedidos!D:D, C52, [1]Pedidos!E:E, E52, [1]Pedidos!F:F, B52)</f>
        <v>6</v>
      </c>
    </row>
    <row r="53" spans="1:9" ht="15.75" thickBot="1">
      <c r="A53" s="4" t="s">
        <v>56</v>
      </c>
      <c r="B53" s="5" t="s">
        <v>104</v>
      </c>
      <c r="C53" s="4" t="s">
        <v>105</v>
      </c>
      <c r="D53" s="6" t="s">
        <v>106</v>
      </c>
      <c r="E53" s="4">
        <v>27</v>
      </c>
      <c r="F53" s="7">
        <v>50</v>
      </c>
      <c r="G53" s="8">
        <v>10375</v>
      </c>
      <c r="H53" s="9">
        <f t="shared" si="0"/>
        <v>518750</v>
      </c>
      <c r="I53" s="4">
        <f>F53-SUMIFS([1]Pedidos!G:G, [1]Pedidos!D:D, C53, [1]Pedidos!E:E, E53, [1]Pedidos!F:F, B53)</f>
        <v>47</v>
      </c>
    </row>
    <row r="54" spans="1:9" ht="27" thickBot="1">
      <c r="A54" s="4" t="s">
        <v>56</v>
      </c>
      <c r="B54" s="5" t="s">
        <v>107</v>
      </c>
      <c r="C54" s="4" t="s">
        <v>108</v>
      </c>
      <c r="D54" s="4" t="s">
        <v>109</v>
      </c>
      <c r="E54" s="4">
        <v>17</v>
      </c>
      <c r="F54" s="7">
        <v>10</v>
      </c>
      <c r="G54" s="8">
        <v>34200</v>
      </c>
      <c r="H54" s="9">
        <f t="shared" si="0"/>
        <v>342000</v>
      </c>
      <c r="I54" s="4">
        <f>F54-SUMIFS([1]Pedidos!G:G, [1]Pedidos!D:D, C54, [1]Pedidos!E:E, E54, [1]Pedidos!F:F, B54)</f>
        <v>10</v>
      </c>
    </row>
    <row r="55" spans="1:9" ht="52.5" thickBot="1">
      <c r="A55" s="4" t="s">
        <v>56</v>
      </c>
      <c r="B55" s="5" t="s">
        <v>110</v>
      </c>
      <c r="C55" s="4" t="s">
        <v>58</v>
      </c>
      <c r="D55" s="4" t="s">
        <v>111</v>
      </c>
      <c r="E55" s="4">
        <v>15</v>
      </c>
      <c r="F55" s="7">
        <v>20</v>
      </c>
      <c r="G55" s="8">
        <v>29300</v>
      </c>
      <c r="H55" s="9">
        <f t="shared" si="0"/>
        <v>586000</v>
      </c>
      <c r="I55" s="4">
        <f>F55-SUMIFS([1]Pedidos!G:G, [1]Pedidos!D:D, C55, [1]Pedidos!E:E, E55, [1]Pedidos!F:F, B55)</f>
        <v>10</v>
      </c>
    </row>
    <row r="56" spans="1:9" ht="15.75" thickBot="1">
      <c r="A56" s="4" t="s">
        <v>56</v>
      </c>
      <c r="B56" s="5" t="s">
        <v>112</v>
      </c>
      <c r="C56" s="10" t="s">
        <v>61</v>
      </c>
      <c r="D56" s="12" t="s">
        <v>113</v>
      </c>
      <c r="E56" s="11" t="s">
        <v>62</v>
      </c>
      <c r="F56" s="7">
        <v>3</v>
      </c>
      <c r="G56" s="8">
        <v>1.92</v>
      </c>
      <c r="H56" s="9">
        <f t="shared" si="0"/>
        <v>5.76</v>
      </c>
      <c r="I56" s="4">
        <f>F56-SUMIFS([1]Pedidos!G:G, [1]Pedidos!D:D, C56, [1]Pedidos!E:E, E56, [1]Pedidos!F:F, B56)</f>
        <v>3</v>
      </c>
    </row>
    <row r="57" spans="1:9" ht="15.75" thickBot="1">
      <c r="A57" s="4" t="s">
        <v>56</v>
      </c>
      <c r="B57" s="5" t="s">
        <v>114</v>
      </c>
      <c r="C57" s="10" t="s">
        <v>61</v>
      </c>
      <c r="D57" s="12" t="s">
        <v>113</v>
      </c>
      <c r="E57" s="11" t="s">
        <v>62</v>
      </c>
      <c r="F57" s="7">
        <v>3</v>
      </c>
      <c r="G57" s="8">
        <v>2.68</v>
      </c>
      <c r="H57" s="9">
        <f t="shared" si="0"/>
        <v>8.0400000000000009</v>
      </c>
      <c r="I57" s="4">
        <f>F57-SUMIFS([1]Pedidos!G:G, [1]Pedidos!D:D, C57, [1]Pedidos!E:E, E57, [1]Pedidos!F:F, B57)</f>
        <v>3</v>
      </c>
    </row>
    <row r="58" spans="1:9" ht="15.75" thickBot="1">
      <c r="A58" s="4" t="s">
        <v>56</v>
      </c>
      <c r="B58" s="5" t="s">
        <v>115</v>
      </c>
      <c r="C58" s="10" t="s">
        <v>61</v>
      </c>
      <c r="D58" s="12" t="s">
        <v>113</v>
      </c>
      <c r="E58" s="11" t="s">
        <v>62</v>
      </c>
      <c r="F58" s="7">
        <v>2</v>
      </c>
      <c r="G58" s="8">
        <v>4.1900000000000004</v>
      </c>
      <c r="H58" s="9">
        <f t="shared" si="0"/>
        <v>8.3800000000000008</v>
      </c>
      <c r="I58" s="4">
        <f>F58-SUMIFS([1]Pedidos!G:G, [1]Pedidos!D:D, C58, [1]Pedidos!E:E, E58, [1]Pedidos!F:F, B58)</f>
        <v>2</v>
      </c>
    </row>
    <row r="59" spans="1:9" ht="15.75" thickBot="1">
      <c r="A59" s="4" t="s">
        <v>56</v>
      </c>
      <c r="B59" s="5" t="s">
        <v>116</v>
      </c>
      <c r="C59" s="10" t="s">
        <v>61</v>
      </c>
      <c r="D59" s="12" t="s">
        <v>117</v>
      </c>
      <c r="E59" s="11" t="s">
        <v>62</v>
      </c>
      <c r="F59" s="7">
        <v>23</v>
      </c>
      <c r="G59" s="8">
        <v>1.37</v>
      </c>
      <c r="H59" s="9">
        <f t="shared" si="0"/>
        <v>31.51</v>
      </c>
      <c r="I59" s="4">
        <f>F59-SUMIFS([1]Pedidos!G:G, [1]Pedidos!D:D, C59, [1]Pedidos!E:E, E59, [1]Pedidos!F:F, B59)</f>
        <v>23</v>
      </c>
    </row>
    <row r="60" spans="1:9" ht="15.75" thickBot="1">
      <c r="A60" s="4" t="s">
        <v>56</v>
      </c>
      <c r="B60" s="5" t="s">
        <v>118</v>
      </c>
      <c r="C60" s="10" t="s">
        <v>61</v>
      </c>
      <c r="D60" s="12" t="s">
        <v>117</v>
      </c>
      <c r="E60" s="11" t="s">
        <v>62</v>
      </c>
      <c r="F60" s="7">
        <v>50</v>
      </c>
      <c r="G60" s="8">
        <v>1.06</v>
      </c>
      <c r="H60" s="9">
        <f t="shared" si="0"/>
        <v>53</v>
      </c>
      <c r="I60" s="4">
        <f>F60-SUMIFS([1]Pedidos!G:G, [1]Pedidos!D:D, C60, [1]Pedidos!E:E, E60, [1]Pedidos!F:F, B60)</f>
        <v>50</v>
      </c>
    </row>
    <row r="61" spans="1:9" ht="15.75" thickBot="1">
      <c r="A61" s="4" t="s">
        <v>56</v>
      </c>
      <c r="B61" s="5" t="s">
        <v>118</v>
      </c>
      <c r="C61" s="10" t="s">
        <v>67</v>
      </c>
      <c r="D61" s="12" t="s">
        <v>117</v>
      </c>
      <c r="E61" s="11" t="s">
        <v>62</v>
      </c>
      <c r="F61" s="7">
        <v>50</v>
      </c>
      <c r="G61" s="8">
        <v>1.72</v>
      </c>
      <c r="H61" s="9">
        <f t="shared" si="0"/>
        <v>86</v>
      </c>
      <c r="I61" s="4">
        <f>F61-SUMIFS([1]Pedidos!G:G, [1]Pedidos!D:D, C61, [1]Pedidos!E:E, E61, [1]Pedidos!F:F, B61)</f>
        <v>50</v>
      </c>
    </row>
    <row r="62" spans="1:9" ht="15.75" thickBot="1">
      <c r="A62" s="4" t="s">
        <v>56</v>
      </c>
      <c r="B62" s="5" t="s">
        <v>118</v>
      </c>
      <c r="C62" s="10" t="s">
        <v>119</v>
      </c>
      <c r="D62" s="12" t="s">
        <v>117</v>
      </c>
      <c r="E62" s="11" t="s">
        <v>62</v>
      </c>
      <c r="F62" s="7">
        <v>45</v>
      </c>
      <c r="G62" s="8">
        <v>0.65</v>
      </c>
      <c r="H62" s="9">
        <f t="shared" si="0"/>
        <v>29.25</v>
      </c>
      <c r="I62" s="4">
        <f>F62-SUMIFS([1]Pedidos!G:G, [1]Pedidos!D:D, C62, [1]Pedidos!E:E, E62, [1]Pedidos!F:F, B62)</f>
        <v>45</v>
      </c>
    </row>
    <row r="63" spans="1:9" ht="15.75" thickBot="1">
      <c r="A63" s="4" t="s">
        <v>56</v>
      </c>
      <c r="B63" s="5" t="s">
        <v>120</v>
      </c>
      <c r="C63" s="10" t="s">
        <v>61</v>
      </c>
      <c r="D63" s="12" t="s">
        <v>121</v>
      </c>
      <c r="E63" s="11" t="s">
        <v>62</v>
      </c>
      <c r="F63" s="7">
        <v>145</v>
      </c>
      <c r="G63" s="8">
        <v>3.74</v>
      </c>
      <c r="H63" s="9">
        <f t="shared" si="0"/>
        <v>542.30000000000007</v>
      </c>
      <c r="I63" s="4">
        <f>F63-SUMIFS([1]Pedidos!G:G, [1]Pedidos!D:D, C63, [1]Pedidos!E:E, E63, [1]Pedidos!F:F, B63)</f>
        <v>145</v>
      </c>
    </row>
    <row r="64" spans="1:9" ht="15.75" thickBot="1">
      <c r="A64" s="4" t="s">
        <v>56</v>
      </c>
      <c r="B64" s="5" t="s">
        <v>122</v>
      </c>
      <c r="C64" s="10" t="s">
        <v>61</v>
      </c>
      <c r="D64" s="4" t="s">
        <v>121</v>
      </c>
      <c r="E64" s="11" t="s">
        <v>62</v>
      </c>
      <c r="F64" s="7">
        <v>20</v>
      </c>
      <c r="G64" s="8">
        <v>1.63</v>
      </c>
      <c r="H64" s="9">
        <f t="shared" si="0"/>
        <v>32.599999999999994</v>
      </c>
      <c r="I64" s="4">
        <f>F64-SUMIFS([1]Pedidos!G:G, [1]Pedidos!D:D, C64, [1]Pedidos!E:E, E64, [1]Pedidos!F:F, B64)</f>
        <v>20</v>
      </c>
    </row>
    <row r="65" spans="1:9" ht="15.75" thickBot="1">
      <c r="A65" s="4" t="s">
        <v>56</v>
      </c>
      <c r="B65" s="5" t="s">
        <v>123</v>
      </c>
      <c r="C65" s="10" t="s">
        <v>61</v>
      </c>
      <c r="D65" s="4" t="s">
        <v>124</v>
      </c>
      <c r="E65" s="11" t="s">
        <v>62</v>
      </c>
      <c r="F65" s="7">
        <v>29</v>
      </c>
      <c r="G65" s="8">
        <v>2.76</v>
      </c>
      <c r="H65" s="9">
        <f t="shared" si="0"/>
        <v>80.039999999999992</v>
      </c>
      <c r="I65" s="4">
        <f>F65-SUMIFS([1]Pedidos!G:G, [1]Pedidos!D:D, C65, [1]Pedidos!E:E, E65, [1]Pedidos!F:F, B65)</f>
        <v>29</v>
      </c>
    </row>
    <row r="66" spans="1:9" ht="15.75" thickBot="1">
      <c r="A66" s="4" t="s">
        <v>56</v>
      </c>
      <c r="B66" s="5" t="s">
        <v>123</v>
      </c>
      <c r="C66" s="10" t="s">
        <v>67</v>
      </c>
      <c r="D66" s="4" t="s">
        <v>124</v>
      </c>
      <c r="E66" s="11" t="s">
        <v>62</v>
      </c>
      <c r="F66" s="7">
        <v>9</v>
      </c>
      <c r="G66" s="8">
        <v>2.19</v>
      </c>
      <c r="H66" s="9">
        <f t="shared" si="0"/>
        <v>19.71</v>
      </c>
      <c r="I66" s="4">
        <f>F66-SUMIFS([1]Pedidos!G:G, [1]Pedidos!D:D, C66, [1]Pedidos!E:E, E66, [1]Pedidos!F:F, B66)</f>
        <v>9</v>
      </c>
    </row>
    <row r="67" spans="1:9" ht="15.75" thickBot="1">
      <c r="A67" s="4" t="s">
        <v>56</v>
      </c>
      <c r="B67" s="5" t="s">
        <v>125</v>
      </c>
      <c r="C67" s="10" t="s">
        <v>61</v>
      </c>
      <c r="D67" s="12" t="s">
        <v>126</v>
      </c>
      <c r="E67" s="11" t="s">
        <v>62</v>
      </c>
      <c r="F67" s="7">
        <v>12</v>
      </c>
      <c r="G67" s="8">
        <v>1.0900000000000001</v>
      </c>
      <c r="H67" s="9">
        <f t="shared" si="0"/>
        <v>13.080000000000002</v>
      </c>
      <c r="I67" s="4">
        <f>F67-SUMIFS([1]Pedidos!G:G, [1]Pedidos!D:D, C67, [1]Pedidos!E:E, E67, [1]Pedidos!F:F, B67)</f>
        <v>12</v>
      </c>
    </row>
    <row r="68" spans="1:9" ht="15.75" thickBot="1">
      <c r="A68" s="4" t="s">
        <v>56</v>
      </c>
      <c r="B68" s="5" t="s">
        <v>127</v>
      </c>
      <c r="C68" s="10" t="s">
        <v>61</v>
      </c>
      <c r="D68" s="12" t="s">
        <v>128</v>
      </c>
      <c r="E68" s="11" t="s">
        <v>62</v>
      </c>
      <c r="F68" s="7">
        <v>10</v>
      </c>
      <c r="G68" s="8">
        <v>0.95</v>
      </c>
      <c r="H68" s="9">
        <f t="shared" si="0"/>
        <v>9.5</v>
      </c>
      <c r="I68" s="4">
        <f>F68-SUMIFS([1]Pedidos!G:G, [1]Pedidos!D:D, C68, [1]Pedidos!E:E, E68, [1]Pedidos!F:F, B68)</f>
        <v>10</v>
      </c>
    </row>
    <row r="69" spans="1:9" ht="15.75" thickBot="1">
      <c r="A69" s="4" t="s">
        <v>56</v>
      </c>
      <c r="B69" s="5" t="s">
        <v>129</v>
      </c>
      <c r="C69" s="10" t="s">
        <v>61</v>
      </c>
      <c r="D69" s="12" t="s">
        <v>130</v>
      </c>
      <c r="E69" s="11" t="s">
        <v>62</v>
      </c>
      <c r="F69" s="7">
        <v>18</v>
      </c>
      <c r="G69" s="8">
        <v>1.17</v>
      </c>
      <c r="H69" s="9">
        <f t="shared" si="0"/>
        <v>21.06</v>
      </c>
      <c r="I69" s="4">
        <f>F69-SUMIFS([1]Pedidos!G:G, [1]Pedidos!D:D, C69, [1]Pedidos!E:E, E69, [1]Pedidos!F:F, B69)</f>
        <v>18</v>
      </c>
    </row>
    <row r="70" spans="1:9" ht="15.75" thickBot="1">
      <c r="A70" s="4" t="s">
        <v>56</v>
      </c>
      <c r="B70" s="5" t="s">
        <v>131</v>
      </c>
      <c r="C70" s="10" t="s">
        <v>61</v>
      </c>
      <c r="D70" s="12" t="s">
        <v>132</v>
      </c>
      <c r="E70" s="11" t="s">
        <v>62</v>
      </c>
      <c r="F70" s="7">
        <v>3</v>
      </c>
      <c r="G70" s="8">
        <v>2.12</v>
      </c>
      <c r="H70" s="9">
        <f t="shared" si="0"/>
        <v>6.36</v>
      </c>
      <c r="I70" s="4">
        <f>F70-SUMIFS([1]Pedidos!G:G, [1]Pedidos!D:D, C70, [1]Pedidos!E:E, E70, [1]Pedidos!F:F, B70)</f>
        <v>3</v>
      </c>
    </row>
    <row r="71" spans="1:9" ht="15.75" thickBot="1">
      <c r="A71" s="4" t="s">
        <v>56</v>
      </c>
      <c r="B71" s="5" t="s">
        <v>133</v>
      </c>
      <c r="C71" s="10" t="s">
        <v>61</v>
      </c>
      <c r="D71" s="12" t="s">
        <v>132</v>
      </c>
      <c r="E71" s="11" t="s">
        <v>62</v>
      </c>
      <c r="F71" s="7">
        <v>4</v>
      </c>
      <c r="G71" s="8">
        <v>2.12</v>
      </c>
      <c r="H71" s="9">
        <f t="shared" si="0"/>
        <v>8.48</v>
      </c>
      <c r="I71" s="4">
        <f>F71-SUMIFS([1]Pedidos!G:G, [1]Pedidos!D:D, C71, [1]Pedidos!E:E, E71, [1]Pedidos!F:F, B71)</f>
        <v>4</v>
      </c>
    </row>
    <row r="72" spans="1:9" ht="15.75" thickBot="1">
      <c r="A72" s="4" t="s">
        <v>56</v>
      </c>
      <c r="B72" s="5" t="s">
        <v>134</v>
      </c>
      <c r="C72" s="10" t="s">
        <v>61</v>
      </c>
      <c r="D72" s="12" t="s">
        <v>135</v>
      </c>
      <c r="E72" s="11" t="s">
        <v>62</v>
      </c>
      <c r="F72" s="7">
        <v>2</v>
      </c>
      <c r="G72" s="8">
        <v>31</v>
      </c>
      <c r="H72" s="9">
        <f t="shared" si="0"/>
        <v>62</v>
      </c>
      <c r="I72" s="4">
        <f>F72-SUMIFS([1]Pedidos!G:G, [1]Pedidos!D:D, C72, [1]Pedidos!E:E, E72, [1]Pedidos!F:F, B72)</f>
        <v>2</v>
      </c>
    </row>
    <row r="73" spans="1:9" ht="15.75" thickBot="1">
      <c r="A73" s="4" t="s">
        <v>56</v>
      </c>
      <c r="B73" s="5" t="s">
        <v>136</v>
      </c>
      <c r="C73" s="10" t="s">
        <v>61</v>
      </c>
      <c r="D73" s="12" t="s">
        <v>137</v>
      </c>
      <c r="E73" s="11" t="s">
        <v>62</v>
      </c>
      <c r="F73" s="7">
        <v>4</v>
      </c>
      <c r="G73" s="8">
        <v>80.3</v>
      </c>
      <c r="H73" s="9">
        <f t="shared" si="0"/>
        <v>321.2</v>
      </c>
      <c r="I73" s="4">
        <f>F73-SUMIFS([1]Pedidos!G:G, [1]Pedidos!D:D, C73, [1]Pedidos!E:E, E73, [1]Pedidos!F:F, B73)</f>
        <v>4</v>
      </c>
    </row>
    <row r="74" spans="1:9" ht="15.75" thickBot="1">
      <c r="A74" s="4" t="s">
        <v>56</v>
      </c>
      <c r="B74" s="5" t="s">
        <v>138</v>
      </c>
      <c r="C74" s="10" t="s">
        <v>61</v>
      </c>
      <c r="D74" s="12" t="s">
        <v>139</v>
      </c>
      <c r="E74" s="11" t="s">
        <v>62</v>
      </c>
      <c r="F74" s="7">
        <v>2</v>
      </c>
      <c r="G74" s="8">
        <v>80.3</v>
      </c>
      <c r="H74" s="9">
        <f t="shared" si="0"/>
        <v>160.6</v>
      </c>
      <c r="I74" s="4">
        <f>F74-SUMIFS([1]Pedidos!G:G, [1]Pedidos!D:D, C74, [1]Pedidos!E:E, E74, [1]Pedidos!F:F, B74)</f>
        <v>2</v>
      </c>
    </row>
    <row r="75" spans="1:9" ht="39.75" thickBot="1">
      <c r="A75" s="4" t="s">
        <v>56</v>
      </c>
      <c r="B75" s="5" t="s">
        <v>140</v>
      </c>
      <c r="C75" s="4" t="s">
        <v>69</v>
      </c>
      <c r="D75" s="6" t="s">
        <v>141</v>
      </c>
      <c r="E75" s="4">
        <v>1</v>
      </c>
      <c r="F75" s="7">
        <v>50</v>
      </c>
      <c r="G75" s="8">
        <v>3447.06</v>
      </c>
      <c r="H75" s="9">
        <f t="shared" si="0"/>
        <v>172353</v>
      </c>
      <c r="I75" s="4">
        <f>F75-SUMIFS([1]Pedidos!G:G, [1]Pedidos!D:D, C75, [1]Pedidos!E:E, E75, [1]Pedidos!F:F, B75)</f>
        <v>22</v>
      </c>
    </row>
    <row r="76" spans="1:9" ht="39.75" thickBot="1">
      <c r="A76" s="4" t="s">
        <v>56</v>
      </c>
      <c r="B76" s="5" t="s">
        <v>142</v>
      </c>
      <c r="C76" s="4" t="s">
        <v>69</v>
      </c>
      <c r="D76" s="4" t="s">
        <v>143</v>
      </c>
      <c r="E76" s="4">
        <v>2</v>
      </c>
      <c r="F76" s="7">
        <v>50</v>
      </c>
      <c r="G76" s="8">
        <v>3292.08</v>
      </c>
      <c r="H76" s="9">
        <f t="shared" si="0"/>
        <v>164604</v>
      </c>
      <c r="I76" s="4">
        <f>F76-SUMIFS([1]Pedidos!G:G, [1]Pedidos!D:D, C76, [1]Pedidos!E:E, E76, [1]Pedidos!F:F, B76)</f>
        <v>45</v>
      </c>
    </row>
    <row r="77" spans="1:9" ht="39.75" thickBot="1">
      <c r="A77" s="4" t="s">
        <v>56</v>
      </c>
      <c r="B77" s="5" t="s">
        <v>144</v>
      </c>
      <c r="C77" s="4" t="s">
        <v>105</v>
      </c>
      <c r="D77" s="4" t="s">
        <v>145</v>
      </c>
      <c r="E77" s="4">
        <v>3</v>
      </c>
      <c r="F77" s="7">
        <v>2</v>
      </c>
      <c r="G77" s="8">
        <v>12076</v>
      </c>
      <c r="H77" s="9">
        <f t="shared" si="0"/>
        <v>24152</v>
      </c>
      <c r="I77" s="4">
        <f>F77-SUMIFS([1]Pedidos!G:G, [1]Pedidos!D:D, C77, [1]Pedidos!E:E, E77, [1]Pedidos!F:F, B77)</f>
        <v>2</v>
      </c>
    </row>
    <row r="78" spans="1:9" ht="15.75" thickBot="1">
      <c r="A78" s="4" t="s">
        <v>56</v>
      </c>
      <c r="B78" s="5" t="s">
        <v>146</v>
      </c>
      <c r="C78" s="4" t="s">
        <v>147</v>
      </c>
      <c r="D78" s="4" t="s">
        <v>148</v>
      </c>
      <c r="E78" s="4">
        <v>11</v>
      </c>
      <c r="F78" s="7">
        <v>50</v>
      </c>
      <c r="G78" s="8">
        <v>1146.44</v>
      </c>
      <c r="H78" s="9">
        <f t="shared" si="0"/>
        <v>57322</v>
      </c>
      <c r="I78" s="4">
        <f>F78-SUMIFS([1]Pedidos!G:G, [1]Pedidos!D:D, C78, [1]Pedidos!E:E, E78, [1]Pedidos!F:F, B78)</f>
        <v>50</v>
      </c>
    </row>
    <row r="79" spans="1:9" ht="15.75" thickBot="1">
      <c r="A79" s="4" t="s">
        <v>56</v>
      </c>
      <c r="B79" s="5" t="s">
        <v>146</v>
      </c>
      <c r="C79" s="4" t="s">
        <v>61</v>
      </c>
      <c r="D79" s="4" t="s">
        <v>148</v>
      </c>
      <c r="E79" s="4" t="s">
        <v>62</v>
      </c>
      <c r="F79" s="7">
        <v>15</v>
      </c>
      <c r="G79" s="8">
        <v>21.9</v>
      </c>
      <c r="H79" s="9">
        <f t="shared" si="0"/>
        <v>328.5</v>
      </c>
      <c r="I79" s="4">
        <f>F79-SUMIFS([1]Pedidos!G:G, [1]Pedidos!D:D, C79, [1]Pedidos!E:E, E79, [1]Pedidos!F:F, B79)</f>
        <v>15</v>
      </c>
    </row>
    <row r="80" spans="1:9" ht="15.75" thickBot="1">
      <c r="A80" s="4" t="s">
        <v>56</v>
      </c>
      <c r="B80" s="5" t="s">
        <v>146</v>
      </c>
      <c r="C80" s="4" t="s">
        <v>67</v>
      </c>
      <c r="D80" s="4" t="s">
        <v>148</v>
      </c>
      <c r="E80" s="4" t="s">
        <v>62</v>
      </c>
      <c r="F80" s="7">
        <v>14</v>
      </c>
      <c r="G80" s="8">
        <v>6.29</v>
      </c>
      <c r="H80" s="9">
        <f t="shared" si="0"/>
        <v>88.06</v>
      </c>
      <c r="I80" s="4">
        <f>F80-SUMIFS([1]Pedidos!G:G, [1]Pedidos!D:D, C80, [1]Pedidos!E:E, E80, [1]Pedidos!F:F, B80)</f>
        <v>14</v>
      </c>
    </row>
    <row r="81" spans="1:9" ht="15.75" thickBot="1">
      <c r="A81" s="4" t="s">
        <v>56</v>
      </c>
      <c r="B81" s="5" t="s">
        <v>149</v>
      </c>
      <c r="C81" s="10" t="s">
        <v>61</v>
      </c>
      <c r="D81" s="4"/>
      <c r="E81" s="11" t="s">
        <v>62</v>
      </c>
      <c r="F81" s="7">
        <v>19</v>
      </c>
      <c r="G81" s="8">
        <v>340</v>
      </c>
      <c r="H81" s="9">
        <f t="shared" si="0"/>
        <v>6460</v>
      </c>
      <c r="I81" s="4">
        <f>F81-SUMIFS([1]Pedidos!G:G, [1]Pedidos!D:D, C81, [1]Pedidos!E:E, E81, [1]Pedidos!F:F, B81)</f>
        <v>19</v>
      </c>
    </row>
    <row r="82" spans="1:9" ht="15.75" thickBot="1">
      <c r="A82" s="4" t="s">
        <v>56</v>
      </c>
      <c r="B82" s="5" t="s">
        <v>150</v>
      </c>
      <c r="C82" s="10" t="s">
        <v>61</v>
      </c>
      <c r="D82" s="4"/>
      <c r="E82" s="11" t="s">
        <v>62</v>
      </c>
      <c r="F82" s="7">
        <v>7</v>
      </c>
      <c r="G82" s="8">
        <v>1.7</v>
      </c>
      <c r="H82" s="9">
        <f t="shared" si="0"/>
        <v>11.9</v>
      </c>
      <c r="I82" s="4">
        <f>F82-SUMIFS([1]Pedidos!G:G, [1]Pedidos!D:D, C82, [1]Pedidos!E:E, E82, [1]Pedidos!F:F, B82)</f>
        <v>7</v>
      </c>
    </row>
    <row r="83" spans="1:9" ht="15.75" thickBot="1">
      <c r="A83" s="4" t="s">
        <v>56</v>
      </c>
      <c r="B83" s="5" t="s">
        <v>151</v>
      </c>
      <c r="C83" s="10" t="s">
        <v>61</v>
      </c>
      <c r="D83" s="4"/>
      <c r="E83" s="11" t="s">
        <v>62</v>
      </c>
      <c r="F83" s="7">
        <v>13</v>
      </c>
      <c r="G83" s="8">
        <v>1.1499999999999999</v>
      </c>
      <c r="H83" s="9">
        <f t="shared" si="0"/>
        <v>14.95</v>
      </c>
      <c r="I83" s="4">
        <f>F83-SUMIFS([1]Pedidos!G:G, [1]Pedidos!D:D, C83, [1]Pedidos!E:E, E83, [1]Pedidos!F:F, B83)</f>
        <v>13</v>
      </c>
    </row>
    <row r="84" spans="1:9" ht="15.75" thickBot="1">
      <c r="A84" s="4" t="s">
        <v>56</v>
      </c>
      <c r="B84" s="5" t="s">
        <v>152</v>
      </c>
      <c r="C84" s="10" t="s">
        <v>61</v>
      </c>
      <c r="D84" s="4"/>
      <c r="E84" s="11" t="s">
        <v>62</v>
      </c>
      <c r="F84" s="7">
        <v>3</v>
      </c>
      <c r="G84" s="8">
        <v>0.84</v>
      </c>
      <c r="H84" s="9">
        <f t="shared" si="0"/>
        <v>2.52</v>
      </c>
      <c r="I84" s="4">
        <f>F84-SUMIFS([1]Pedidos!G:G, [1]Pedidos!D:D, C84, [1]Pedidos!E:E, E84, [1]Pedidos!F:F, B84)</f>
        <v>3</v>
      </c>
    </row>
    <row r="85" spans="1:9" ht="15.75" thickBot="1">
      <c r="A85" s="4" t="s">
        <v>56</v>
      </c>
      <c r="B85" s="5" t="s">
        <v>152</v>
      </c>
      <c r="C85" s="10" t="s">
        <v>67</v>
      </c>
      <c r="D85" s="4"/>
      <c r="E85" s="11" t="s">
        <v>62</v>
      </c>
      <c r="F85" s="7">
        <v>30</v>
      </c>
      <c r="G85" s="8">
        <v>1.82</v>
      </c>
      <c r="H85" s="9">
        <f t="shared" si="0"/>
        <v>54.6</v>
      </c>
      <c r="I85" s="4">
        <f>F85-SUMIFS([1]Pedidos!G:G, [1]Pedidos!D:D, C85, [1]Pedidos!E:E, E85, [1]Pedidos!F:F, B85)</f>
        <v>30</v>
      </c>
    </row>
    <row r="86" spans="1:9" ht="15.75" thickBot="1">
      <c r="A86" s="4" t="s">
        <v>56</v>
      </c>
      <c r="B86" s="5" t="s">
        <v>153</v>
      </c>
      <c r="C86" s="10" t="s">
        <v>61</v>
      </c>
      <c r="D86" s="4"/>
      <c r="E86" s="11" t="s">
        <v>62</v>
      </c>
      <c r="F86" s="7">
        <v>20</v>
      </c>
      <c r="G86" s="8">
        <v>0.84</v>
      </c>
      <c r="H86" s="9">
        <f t="shared" si="0"/>
        <v>16.8</v>
      </c>
      <c r="I86" s="4">
        <f>F86-SUMIFS([1]Pedidos!G:G, [1]Pedidos!D:D, C86, [1]Pedidos!E:E, E86, [1]Pedidos!F:F, B86)</f>
        <v>20</v>
      </c>
    </row>
    <row r="87" spans="1:9" ht="15.75" thickBot="1">
      <c r="A87" s="4" t="s">
        <v>56</v>
      </c>
      <c r="B87" s="5" t="s">
        <v>154</v>
      </c>
      <c r="C87" s="10" t="s">
        <v>61</v>
      </c>
      <c r="D87" s="4"/>
      <c r="E87" s="11" t="s">
        <v>62</v>
      </c>
      <c r="F87" s="7">
        <v>9</v>
      </c>
      <c r="G87" s="8">
        <v>1.32</v>
      </c>
      <c r="H87" s="9">
        <f t="shared" si="0"/>
        <v>11.88</v>
      </c>
      <c r="I87" s="4">
        <f>F87-SUMIFS([1]Pedidos!G:G, [1]Pedidos!D:D, C87, [1]Pedidos!E:E, E87, [1]Pedidos!F:F, B87)</f>
        <v>9</v>
      </c>
    </row>
    <row r="88" spans="1:9" ht="15.75" thickBot="1">
      <c r="A88" s="4" t="s">
        <v>56</v>
      </c>
      <c r="B88" s="5" t="s">
        <v>154</v>
      </c>
      <c r="C88" s="10" t="s">
        <v>67</v>
      </c>
      <c r="D88" s="4"/>
      <c r="E88" s="11" t="s">
        <v>62</v>
      </c>
      <c r="F88" s="7">
        <v>30</v>
      </c>
      <c r="G88" s="8">
        <v>2.4500000000000002</v>
      </c>
      <c r="H88" s="9">
        <f t="shared" si="0"/>
        <v>73.5</v>
      </c>
      <c r="I88" s="4">
        <f>F88-SUMIFS([1]Pedidos!G:G, [1]Pedidos!D:D, C88, [1]Pedidos!E:E, E88, [1]Pedidos!F:F, B88)</f>
        <v>30</v>
      </c>
    </row>
    <row r="89" spans="1:9" ht="15.75" thickBot="1">
      <c r="A89" s="4" t="s">
        <v>56</v>
      </c>
      <c r="B89" s="5" t="s">
        <v>155</v>
      </c>
      <c r="C89" s="10" t="s">
        <v>61</v>
      </c>
      <c r="D89" s="4"/>
      <c r="E89" s="11" t="s">
        <v>62</v>
      </c>
      <c r="F89" s="7">
        <v>10</v>
      </c>
      <c r="G89" s="8">
        <v>0.83</v>
      </c>
      <c r="H89" s="9">
        <f t="shared" si="0"/>
        <v>8.2999999999999989</v>
      </c>
      <c r="I89" s="4">
        <f>F89-SUMIFS([1]Pedidos!G:G, [1]Pedidos!D:D, C89, [1]Pedidos!E:E, E89, [1]Pedidos!F:F, B89)</f>
        <v>10</v>
      </c>
    </row>
    <row r="90" spans="1:9" ht="15.75" thickBot="1">
      <c r="A90" s="4" t="s">
        <v>56</v>
      </c>
      <c r="B90" s="5" t="s">
        <v>155</v>
      </c>
      <c r="C90" s="10" t="s">
        <v>67</v>
      </c>
      <c r="D90" s="4"/>
      <c r="E90" s="11" t="s">
        <v>62</v>
      </c>
      <c r="F90" s="7">
        <v>20</v>
      </c>
      <c r="G90" s="8">
        <v>1.36</v>
      </c>
      <c r="H90" s="9">
        <f t="shared" si="0"/>
        <v>27.200000000000003</v>
      </c>
      <c r="I90" s="4">
        <f>F90-SUMIFS([1]Pedidos!G:G, [1]Pedidos!D:D, C90, [1]Pedidos!E:E, E90, [1]Pedidos!F:F, B90)</f>
        <v>20</v>
      </c>
    </row>
    <row r="91" spans="1:9" ht="15.75" thickBot="1">
      <c r="A91" s="4" t="s">
        <v>56</v>
      </c>
      <c r="B91" s="5" t="s">
        <v>156</v>
      </c>
      <c r="C91" s="10" t="s">
        <v>61</v>
      </c>
      <c r="D91" s="4"/>
      <c r="E91" s="11" t="s">
        <v>62</v>
      </c>
      <c r="F91" s="7">
        <v>52</v>
      </c>
      <c r="G91" s="8">
        <v>0.65</v>
      </c>
      <c r="H91" s="9">
        <f t="shared" si="0"/>
        <v>33.800000000000004</v>
      </c>
      <c r="I91" s="4">
        <f>F91-SUMIFS([1]Pedidos!G:G, [1]Pedidos!D:D, C91, [1]Pedidos!E:E, E91, [1]Pedidos!F:F, B91)</f>
        <v>52</v>
      </c>
    </row>
    <row r="92" spans="1:9" ht="15.75" thickBot="1">
      <c r="A92" s="4" t="s">
        <v>56</v>
      </c>
      <c r="B92" s="5" t="s">
        <v>156</v>
      </c>
      <c r="C92" s="10" t="s">
        <v>67</v>
      </c>
      <c r="D92" s="4"/>
      <c r="E92" s="11" t="s">
        <v>62</v>
      </c>
      <c r="F92" s="7">
        <v>20</v>
      </c>
      <c r="G92" s="8">
        <v>1.32</v>
      </c>
      <c r="H92" s="9">
        <f t="shared" si="0"/>
        <v>26.400000000000002</v>
      </c>
      <c r="I92" s="4">
        <f>F92-SUMIFS([1]Pedidos!G:G, [1]Pedidos!D:D, C92, [1]Pedidos!E:E, E92, [1]Pedidos!F:F, B92)</f>
        <v>20</v>
      </c>
    </row>
    <row r="93" spans="1:9" ht="15.75" thickBot="1">
      <c r="A93" s="4" t="s">
        <v>56</v>
      </c>
      <c r="B93" s="5" t="s">
        <v>157</v>
      </c>
      <c r="C93" s="10" t="s">
        <v>61</v>
      </c>
      <c r="D93" s="4"/>
      <c r="E93" s="11" t="s">
        <v>62</v>
      </c>
      <c r="F93" s="7">
        <v>4</v>
      </c>
      <c r="G93" s="8">
        <v>5.76</v>
      </c>
      <c r="H93" s="9">
        <f t="shared" si="0"/>
        <v>23.04</v>
      </c>
      <c r="I93" s="4">
        <f>F93-SUMIFS([1]Pedidos!G:G, [1]Pedidos!D:D, C93, [1]Pedidos!E:E, E93, [1]Pedidos!F:F, B93)</f>
        <v>4</v>
      </c>
    </row>
    <row r="94" spans="1:9" ht="15.75" thickBot="1">
      <c r="A94" s="4" t="s">
        <v>56</v>
      </c>
      <c r="B94" s="5" t="s">
        <v>157</v>
      </c>
      <c r="C94" s="10" t="s">
        <v>67</v>
      </c>
      <c r="D94" s="4"/>
      <c r="E94" s="11" t="s">
        <v>62</v>
      </c>
      <c r="F94" s="7">
        <v>20</v>
      </c>
      <c r="G94" s="8">
        <v>2.2999999999999998</v>
      </c>
      <c r="H94" s="9">
        <f t="shared" si="0"/>
        <v>46</v>
      </c>
      <c r="I94" s="4">
        <f>F94-SUMIFS([1]Pedidos!G:G, [1]Pedidos!D:D, C94, [1]Pedidos!E:E, E94, [1]Pedidos!F:F, B94)</f>
        <v>20</v>
      </c>
    </row>
    <row r="95" spans="1:9" ht="15.75" thickBot="1">
      <c r="A95" s="4" t="s">
        <v>56</v>
      </c>
      <c r="B95" s="5" t="s">
        <v>158</v>
      </c>
      <c r="C95" s="10" t="s">
        <v>61</v>
      </c>
      <c r="D95" s="4"/>
      <c r="E95" s="11" t="s">
        <v>62</v>
      </c>
      <c r="F95" s="7">
        <v>10</v>
      </c>
      <c r="G95" s="8">
        <v>2.16</v>
      </c>
      <c r="H95" s="9">
        <f t="shared" si="0"/>
        <v>21.6</v>
      </c>
      <c r="I95" s="4">
        <f>F95-SUMIFS([1]Pedidos!G:G, [1]Pedidos!D:D, C95, [1]Pedidos!E:E, E95, [1]Pedidos!F:F, B95)</f>
        <v>10</v>
      </c>
    </row>
    <row r="96" spans="1:9" ht="15.75" thickBot="1">
      <c r="A96" s="4" t="s">
        <v>56</v>
      </c>
      <c r="B96" s="5" t="s">
        <v>159</v>
      </c>
      <c r="C96" s="10" t="s">
        <v>61</v>
      </c>
      <c r="D96" s="4"/>
      <c r="E96" s="11" t="s">
        <v>62</v>
      </c>
      <c r="F96" s="7">
        <v>10</v>
      </c>
      <c r="G96" s="8">
        <v>2.16</v>
      </c>
      <c r="H96" s="9">
        <f t="shared" si="0"/>
        <v>21.6</v>
      </c>
      <c r="I96" s="4">
        <f>F96-SUMIFS([1]Pedidos!G:G, [1]Pedidos!D:D, C96, [1]Pedidos!E:E, E96, [1]Pedidos!F:F, B96)</f>
        <v>10</v>
      </c>
    </row>
    <row r="97" spans="1:9" ht="15.75" thickBot="1">
      <c r="A97" s="4" t="s">
        <v>56</v>
      </c>
      <c r="B97" s="5" t="s">
        <v>160</v>
      </c>
      <c r="C97" s="10" t="s">
        <v>61</v>
      </c>
      <c r="D97" s="4"/>
      <c r="E97" s="11" t="s">
        <v>62</v>
      </c>
      <c r="F97" s="7">
        <v>1</v>
      </c>
      <c r="G97" s="8">
        <v>0.79</v>
      </c>
      <c r="H97" s="9">
        <f t="shared" si="0"/>
        <v>0.79</v>
      </c>
      <c r="I97" s="4">
        <f>F97-SUMIFS([1]Pedidos!G:G, [1]Pedidos!D:D, C97, [1]Pedidos!E:E, E97, [1]Pedidos!F:F, B97)</f>
        <v>1</v>
      </c>
    </row>
    <row r="98" spans="1:9" ht="15.75" thickBot="1">
      <c r="A98" s="4" t="s">
        <v>56</v>
      </c>
      <c r="B98" s="5" t="s">
        <v>161</v>
      </c>
      <c r="C98" s="10" t="s">
        <v>61</v>
      </c>
      <c r="D98" s="4"/>
      <c r="E98" s="11" t="s">
        <v>62</v>
      </c>
      <c r="F98" s="7">
        <v>17</v>
      </c>
      <c r="G98" s="8">
        <v>0.88</v>
      </c>
      <c r="H98" s="9">
        <f t="shared" si="0"/>
        <v>14.96</v>
      </c>
      <c r="I98" s="4">
        <f>F98-SUMIFS([1]Pedidos!G:G, [1]Pedidos!D:D, C98, [1]Pedidos!E:E, E98, [1]Pedidos!F:F, B98)</f>
        <v>17</v>
      </c>
    </row>
    <row r="99" spans="1:9" ht="15.75" thickBot="1">
      <c r="A99" s="4" t="s">
        <v>56</v>
      </c>
      <c r="B99" s="5" t="s">
        <v>162</v>
      </c>
      <c r="C99" s="10" t="s">
        <v>61</v>
      </c>
      <c r="D99" s="4"/>
      <c r="E99" s="11" t="s">
        <v>62</v>
      </c>
      <c r="F99" s="7">
        <v>18</v>
      </c>
      <c r="G99" s="8">
        <v>1.42</v>
      </c>
      <c r="H99" s="9">
        <f t="shared" si="0"/>
        <v>25.56</v>
      </c>
      <c r="I99" s="4">
        <f>F99-SUMIFS([1]Pedidos!G:G, [1]Pedidos!D:D, C99, [1]Pedidos!E:E, E99, [1]Pedidos!F:F, B99)</f>
        <v>18</v>
      </c>
    </row>
    <row r="100" spans="1:9" ht="15.75" thickBot="1">
      <c r="A100" s="4" t="s">
        <v>56</v>
      </c>
      <c r="B100" s="5" t="s">
        <v>163</v>
      </c>
      <c r="C100" s="10" t="s">
        <v>61</v>
      </c>
      <c r="D100" s="4"/>
      <c r="E100" s="11" t="s">
        <v>62</v>
      </c>
      <c r="F100" s="7">
        <v>19</v>
      </c>
      <c r="G100" s="8">
        <v>0.79</v>
      </c>
      <c r="H100" s="9">
        <f t="shared" si="0"/>
        <v>15.010000000000002</v>
      </c>
      <c r="I100" s="4">
        <f>F100-SUMIFS([1]Pedidos!G:G, [1]Pedidos!D:D, C100, [1]Pedidos!E:E, E100, [1]Pedidos!F:F, B100)</f>
        <v>19</v>
      </c>
    </row>
    <row r="101" spans="1:9" ht="15.75" thickBot="1">
      <c r="A101" s="4" t="s">
        <v>56</v>
      </c>
      <c r="B101" s="5" t="s">
        <v>164</v>
      </c>
      <c r="C101" s="10" t="s">
        <v>61</v>
      </c>
      <c r="D101" s="4"/>
      <c r="E101" s="11" t="s">
        <v>62</v>
      </c>
      <c r="F101" s="7">
        <v>11</v>
      </c>
      <c r="G101" s="8">
        <v>2.17</v>
      </c>
      <c r="H101" s="9">
        <f t="shared" si="0"/>
        <v>23.869999999999997</v>
      </c>
      <c r="I101" s="4">
        <f>F101-SUMIFS([1]Pedidos!G:G, [1]Pedidos!D:D, C101, [1]Pedidos!E:E, E101, [1]Pedidos!F:F, B101)</f>
        <v>11</v>
      </c>
    </row>
    <row r="102" spans="1:9" ht="15.75" thickBot="1">
      <c r="A102" s="4" t="s">
        <v>56</v>
      </c>
      <c r="B102" s="5" t="s">
        <v>165</v>
      </c>
      <c r="C102" s="10" t="s">
        <v>61</v>
      </c>
      <c r="D102" s="4"/>
      <c r="E102" s="11" t="s">
        <v>62</v>
      </c>
      <c r="F102" s="7">
        <v>2</v>
      </c>
      <c r="G102" s="8">
        <v>5.5</v>
      </c>
      <c r="H102" s="9">
        <f t="shared" si="0"/>
        <v>11</v>
      </c>
      <c r="I102" s="4">
        <f>F102-SUMIFS([1]Pedidos!G:G, [1]Pedidos!D:D, C102, [1]Pedidos!E:E, E102, [1]Pedidos!F:F, B102)</f>
        <v>2</v>
      </c>
    </row>
    <row r="103" spans="1:9" ht="15.75" thickBot="1">
      <c r="A103" s="4" t="s">
        <v>56</v>
      </c>
      <c r="B103" s="5" t="s">
        <v>166</v>
      </c>
      <c r="C103" s="10" t="s">
        <v>61</v>
      </c>
      <c r="D103" s="4"/>
      <c r="E103" s="11" t="s">
        <v>62</v>
      </c>
      <c r="F103" s="7">
        <v>6</v>
      </c>
      <c r="G103" s="8">
        <v>12.1</v>
      </c>
      <c r="H103" s="9">
        <f t="shared" si="0"/>
        <v>72.599999999999994</v>
      </c>
      <c r="I103" s="4">
        <f>F103-SUMIFS([1]Pedidos!G:G, [1]Pedidos!D:D, C103, [1]Pedidos!E:E, E103, [1]Pedidos!F:F, B103)</f>
        <v>6</v>
      </c>
    </row>
    <row r="104" spans="1:9" ht="15.75" thickBot="1">
      <c r="A104" s="4" t="s">
        <v>56</v>
      </c>
      <c r="B104" s="5" t="s">
        <v>167</v>
      </c>
      <c r="C104" s="10" t="s">
        <v>61</v>
      </c>
      <c r="D104" s="4"/>
      <c r="E104" s="11" t="s">
        <v>62</v>
      </c>
      <c r="F104" s="7">
        <v>3</v>
      </c>
      <c r="G104" s="8">
        <v>24.2</v>
      </c>
      <c r="H104" s="9">
        <f t="shared" si="0"/>
        <v>72.599999999999994</v>
      </c>
      <c r="I104" s="4">
        <f>F104-SUMIFS([1]Pedidos!G:G, [1]Pedidos!D:D, C104, [1]Pedidos!E:E, E104, [1]Pedidos!F:F, B104)</f>
        <v>3</v>
      </c>
    </row>
    <row r="105" spans="1:9" ht="15.75" thickBot="1">
      <c r="A105" s="4" t="s">
        <v>56</v>
      </c>
      <c r="B105" s="5" t="s">
        <v>168</v>
      </c>
      <c r="C105" s="10" t="s">
        <v>61</v>
      </c>
      <c r="D105" s="4"/>
      <c r="E105" s="11" t="s">
        <v>62</v>
      </c>
      <c r="F105" s="7">
        <v>8</v>
      </c>
      <c r="G105" s="8">
        <v>95</v>
      </c>
      <c r="H105" s="9">
        <f t="shared" si="0"/>
        <v>760</v>
      </c>
      <c r="I105" s="4">
        <f>F105-SUMIFS([1]Pedidos!G:G, [1]Pedidos!D:D, C105, [1]Pedidos!E:E, E105, [1]Pedidos!F:F, B105)</f>
        <v>8</v>
      </c>
    </row>
    <row r="106" spans="1:9" ht="15.75" thickBot="1">
      <c r="A106" s="4" t="s">
        <v>56</v>
      </c>
      <c r="B106" s="5" t="s">
        <v>169</v>
      </c>
      <c r="C106" s="10" t="s">
        <v>61</v>
      </c>
      <c r="D106" s="4"/>
      <c r="E106" s="11" t="s">
        <v>62</v>
      </c>
      <c r="F106" s="7">
        <v>4</v>
      </c>
      <c r="G106" s="8">
        <v>196</v>
      </c>
      <c r="H106" s="9">
        <f t="shared" si="0"/>
        <v>784</v>
      </c>
      <c r="I106" s="4">
        <f>F106-SUMIFS([1]Pedidos!G:G, [1]Pedidos!D:D, C106, [1]Pedidos!E:E, E106, [1]Pedidos!F:F, B106)</f>
        <v>4</v>
      </c>
    </row>
    <row r="107" spans="1:9" ht="15.75" thickBot="1">
      <c r="A107" s="4" t="s">
        <v>56</v>
      </c>
      <c r="B107" s="5" t="s">
        <v>170</v>
      </c>
      <c r="C107" s="10" t="s">
        <v>61</v>
      </c>
      <c r="D107" s="4"/>
      <c r="E107" s="11" t="s">
        <v>62</v>
      </c>
      <c r="F107" s="7">
        <v>4</v>
      </c>
      <c r="G107" s="8">
        <v>58.3</v>
      </c>
      <c r="H107" s="9">
        <f t="shared" si="0"/>
        <v>233.2</v>
      </c>
      <c r="I107" s="4">
        <f>F107-SUMIFS([1]Pedidos!G:G, [1]Pedidos!D:D, C107, [1]Pedidos!E:E, E107, [1]Pedidos!F:F, B107)</f>
        <v>4</v>
      </c>
    </row>
    <row r="108" spans="1:9" ht="15.75" thickBot="1">
      <c r="A108" s="4" t="s">
        <v>56</v>
      </c>
      <c r="B108" s="5" t="s">
        <v>171</v>
      </c>
      <c r="C108" s="10" t="s">
        <v>61</v>
      </c>
      <c r="D108" s="4"/>
      <c r="E108" s="11" t="s">
        <v>62</v>
      </c>
      <c r="F108" s="7">
        <v>4</v>
      </c>
      <c r="G108" s="8">
        <v>196</v>
      </c>
      <c r="H108" s="9">
        <f t="shared" si="0"/>
        <v>784</v>
      </c>
      <c r="I108" s="4">
        <f>F108-SUMIFS([1]Pedidos!G:G, [1]Pedidos!D:D, C108, [1]Pedidos!E:E, E108, [1]Pedidos!F:F, B108)</f>
        <v>4</v>
      </c>
    </row>
    <row r="109" spans="1:9" ht="39.75" thickBot="1">
      <c r="A109" s="4" t="s">
        <v>56</v>
      </c>
      <c r="B109" s="5" t="s">
        <v>172</v>
      </c>
      <c r="C109" s="4" t="s">
        <v>108</v>
      </c>
      <c r="D109" s="6" t="s">
        <v>173</v>
      </c>
      <c r="E109" s="4">
        <v>31</v>
      </c>
      <c r="F109" s="7">
        <v>20</v>
      </c>
      <c r="G109" s="8">
        <v>11650</v>
      </c>
      <c r="H109" s="9">
        <f t="shared" si="0"/>
        <v>233000</v>
      </c>
      <c r="I109" s="4">
        <f>F109-SUMIFS([1]Pedidos!G:G, [1]Pedidos!D:D, C109, [1]Pedidos!E:E, E109, [1]Pedidos!F:F, B109)</f>
        <v>13</v>
      </c>
    </row>
    <row r="110" spans="1:9" ht="15.75" thickBot="1">
      <c r="A110" s="4" t="s">
        <v>56</v>
      </c>
      <c r="B110" s="5" t="s">
        <v>174</v>
      </c>
      <c r="C110" s="10" t="s">
        <v>61</v>
      </c>
      <c r="D110" s="4"/>
      <c r="E110" s="11" t="s">
        <v>62</v>
      </c>
      <c r="F110" s="7">
        <v>5</v>
      </c>
      <c r="G110" s="8">
        <v>21.9</v>
      </c>
      <c r="H110" s="9">
        <f t="shared" si="0"/>
        <v>109.5</v>
      </c>
      <c r="I110" s="4">
        <f>F110-SUMIFS([1]Pedidos!G:G, [1]Pedidos!D:D, C110, [1]Pedidos!E:E, E110, [1]Pedidos!F:F, B110)</f>
        <v>5</v>
      </c>
    </row>
    <row r="111" spans="1:9" ht="15.75" thickBot="1">
      <c r="A111" s="4" t="s">
        <v>56</v>
      </c>
      <c r="B111" s="5" t="s">
        <v>175</v>
      </c>
      <c r="C111" s="10" t="s">
        <v>61</v>
      </c>
      <c r="D111" s="4"/>
      <c r="E111" s="11" t="s">
        <v>62</v>
      </c>
      <c r="F111" s="7">
        <v>2878</v>
      </c>
      <c r="G111" s="8">
        <v>1.36</v>
      </c>
      <c r="H111" s="9">
        <f t="shared" si="0"/>
        <v>3914.0800000000004</v>
      </c>
      <c r="I111" s="4">
        <f>F111-SUMIFS([1]Pedidos!G:G, [1]Pedidos!D:D, C111, [1]Pedidos!E:E, E111, [1]Pedidos!F:F, B111)</f>
        <v>2793</v>
      </c>
    </row>
    <row r="112" spans="1:9" ht="15.75" thickBot="1">
      <c r="A112" s="4" t="s">
        <v>56</v>
      </c>
      <c r="B112" s="5" t="s">
        <v>176</v>
      </c>
      <c r="C112" s="10" t="s">
        <v>61</v>
      </c>
      <c r="D112" s="4"/>
      <c r="E112" s="11" t="s">
        <v>62</v>
      </c>
      <c r="F112" s="7">
        <v>1519</v>
      </c>
      <c r="G112" s="8">
        <v>1.81</v>
      </c>
      <c r="H112" s="9">
        <f t="shared" si="0"/>
        <v>2749.39</v>
      </c>
      <c r="I112" s="4">
        <f>F112-SUMIFS([1]Pedidos!G:G, [1]Pedidos!D:D, C112, [1]Pedidos!E:E, E112, [1]Pedidos!F:F, B112)</f>
        <v>1434</v>
      </c>
    </row>
    <row r="113" spans="1:9" ht="15.75" thickBot="1">
      <c r="A113" s="4" t="s">
        <v>56</v>
      </c>
      <c r="B113" s="5" t="s">
        <v>177</v>
      </c>
      <c r="C113" s="10" t="s">
        <v>61</v>
      </c>
      <c r="D113" s="4"/>
      <c r="E113" s="11" t="s">
        <v>62</v>
      </c>
      <c r="F113" s="7">
        <v>52</v>
      </c>
      <c r="G113" s="8">
        <v>2.2000000000000002</v>
      </c>
      <c r="H113" s="9">
        <f t="shared" si="0"/>
        <v>114.4</v>
      </c>
      <c r="I113" s="4">
        <f>F113-SUMIFS([1]Pedidos!G:G, [1]Pedidos!D:D, C113, [1]Pedidos!E:E, E113, [1]Pedidos!F:F, B113)</f>
        <v>52</v>
      </c>
    </row>
    <row r="114" spans="1:9" ht="15.75" thickBot="1">
      <c r="A114" s="4" t="s">
        <v>56</v>
      </c>
      <c r="B114" s="5" t="s">
        <v>178</v>
      </c>
      <c r="C114" s="10" t="s">
        <v>61</v>
      </c>
      <c r="D114" s="4"/>
      <c r="E114" s="11" t="s">
        <v>62</v>
      </c>
      <c r="F114" s="7">
        <v>4</v>
      </c>
      <c r="G114" s="8">
        <v>31</v>
      </c>
      <c r="H114" s="9">
        <f t="shared" si="0"/>
        <v>124</v>
      </c>
      <c r="I114" s="4">
        <f>F114-SUMIFS([1]Pedidos!G:G, [1]Pedidos!D:D, C114, [1]Pedidos!E:E, E114, [1]Pedidos!F:F, B114)</f>
        <v>0</v>
      </c>
    </row>
    <row r="115" spans="1:9" ht="15.75" thickBot="1">
      <c r="A115" s="4" t="s">
        <v>56</v>
      </c>
      <c r="B115" s="5" t="s">
        <v>179</v>
      </c>
      <c r="C115" s="4" t="s">
        <v>69</v>
      </c>
      <c r="D115" s="6" t="s">
        <v>180</v>
      </c>
      <c r="E115" s="4">
        <v>7</v>
      </c>
      <c r="F115" s="7">
        <v>50</v>
      </c>
      <c r="G115" s="8">
        <v>2262.6999999999998</v>
      </c>
      <c r="H115" s="9">
        <f t="shared" si="0"/>
        <v>113134.99999999999</v>
      </c>
      <c r="I115" s="4">
        <f>F115-SUMIFS([1]Pedidos!G:G, [1]Pedidos!D:D, C115, [1]Pedidos!E:E, E115, [1]Pedidos!F:F, B115)</f>
        <v>50</v>
      </c>
    </row>
    <row r="116" spans="1:9" ht="15.75" thickBot="1">
      <c r="A116" s="4" t="s">
        <v>56</v>
      </c>
      <c r="B116" s="5" t="s">
        <v>179</v>
      </c>
      <c r="C116" s="4" t="s">
        <v>61</v>
      </c>
      <c r="D116" s="4" t="s">
        <v>180</v>
      </c>
      <c r="E116" s="4" t="s">
        <v>62</v>
      </c>
      <c r="F116" s="7">
        <v>20</v>
      </c>
      <c r="G116" s="8">
        <v>37</v>
      </c>
      <c r="H116" s="9">
        <f t="shared" si="0"/>
        <v>740</v>
      </c>
      <c r="I116" s="4">
        <f>F116-SUMIFS([1]Pedidos!G:G, [1]Pedidos!D:D, C116, [1]Pedidos!E:E, E116, [1]Pedidos!F:F, B116)</f>
        <v>16</v>
      </c>
    </row>
    <row r="117" spans="1:9" ht="15.75" thickBot="1">
      <c r="A117" s="4" t="s">
        <v>56</v>
      </c>
      <c r="B117" s="5" t="s">
        <v>181</v>
      </c>
      <c r="C117" s="10" t="s">
        <v>61</v>
      </c>
      <c r="D117" s="4"/>
      <c r="E117" s="11" t="s">
        <v>62</v>
      </c>
      <c r="F117" s="7">
        <v>20</v>
      </c>
      <c r="G117" s="8">
        <v>2.81</v>
      </c>
      <c r="H117" s="9">
        <f t="shared" si="0"/>
        <v>56.2</v>
      </c>
      <c r="I117" s="4">
        <f>F117-SUMIFS([1]Pedidos!G:G, [1]Pedidos!D:D, C117, [1]Pedidos!E:E, E117, [1]Pedidos!F:F, B117)</f>
        <v>20</v>
      </c>
    </row>
    <row r="118" spans="1:9" ht="15.75" thickBot="1">
      <c r="A118" s="4" t="s">
        <v>56</v>
      </c>
      <c r="B118" s="5" t="s">
        <v>182</v>
      </c>
      <c r="C118" s="10" t="s">
        <v>61</v>
      </c>
      <c r="D118" s="4"/>
      <c r="E118" s="11" t="s">
        <v>62</v>
      </c>
      <c r="F118" s="7">
        <v>24</v>
      </c>
      <c r="G118" s="8">
        <v>13.86</v>
      </c>
      <c r="H118" s="9">
        <f t="shared" si="0"/>
        <v>332.64</v>
      </c>
      <c r="I118" s="4">
        <f>F118-SUMIFS([1]Pedidos!G:G, [1]Pedidos!D:D, C118, [1]Pedidos!E:E, E118, [1]Pedidos!F:F, B118)</f>
        <v>24</v>
      </c>
    </row>
    <row r="119" spans="1:9" ht="15.75" thickBot="1">
      <c r="A119" s="4" t="s">
        <v>56</v>
      </c>
      <c r="B119" s="5" t="s">
        <v>182</v>
      </c>
      <c r="C119" s="10" t="s">
        <v>67</v>
      </c>
      <c r="D119" s="4"/>
      <c r="E119" s="11" t="s">
        <v>62</v>
      </c>
      <c r="F119" s="7">
        <v>10</v>
      </c>
      <c r="G119" s="8">
        <v>21.3</v>
      </c>
      <c r="H119" s="9">
        <f t="shared" si="0"/>
        <v>213</v>
      </c>
      <c r="I119" s="4">
        <f>F119-SUMIFS([1]Pedidos!G:G, [1]Pedidos!D:D, C119, [1]Pedidos!E:E, E119, [1]Pedidos!F:F, B119)</f>
        <v>10</v>
      </c>
    </row>
    <row r="120" spans="1:9" ht="15.75" thickBot="1">
      <c r="A120" s="4" t="s">
        <v>56</v>
      </c>
      <c r="B120" s="5" t="s">
        <v>183</v>
      </c>
      <c r="C120" s="10" t="s">
        <v>61</v>
      </c>
      <c r="D120" s="4"/>
      <c r="E120" s="11" t="s">
        <v>62</v>
      </c>
      <c r="F120" s="7">
        <v>1</v>
      </c>
      <c r="G120" s="8">
        <v>186</v>
      </c>
      <c r="H120" s="9">
        <f t="shared" si="0"/>
        <v>186</v>
      </c>
      <c r="I120" s="4">
        <f>F120-SUMIFS([1]Pedidos!G:G, [1]Pedidos!D:D, C120, [1]Pedidos!E:E, E120, [1]Pedidos!F:F, B120)</f>
        <v>1</v>
      </c>
    </row>
    <row r="121" spans="1:9" ht="27" thickBot="1">
      <c r="A121" s="4" t="s">
        <v>56</v>
      </c>
      <c r="B121" s="5" t="s">
        <v>184</v>
      </c>
      <c r="C121" s="4" t="s">
        <v>108</v>
      </c>
      <c r="D121" s="6" t="s">
        <v>185</v>
      </c>
      <c r="E121" s="4">
        <v>18</v>
      </c>
      <c r="F121" s="7">
        <v>10</v>
      </c>
      <c r="G121" s="8">
        <v>11800</v>
      </c>
      <c r="H121" s="9">
        <f t="shared" si="0"/>
        <v>118000</v>
      </c>
      <c r="I121" s="4">
        <f>F121-SUMIFS([1]Pedidos!G:G, [1]Pedidos!D:D, C121, [1]Pedidos!E:E, E121, [1]Pedidos!F:F, B121)</f>
        <v>9</v>
      </c>
    </row>
    <row r="122" spans="1:9" ht="15.75" thickBot="1">
      <c r="A122" s="4" t="s">
        <v>56</v>
      </c>
      <c r="B122" s="5" t="s">
        <v>186</v>
      </c>
      <c r="C122" s="10" t="s">
        <v>61</v>
      </c>
      <c r="D122" s="4"/>
      <c r="E122" s="11" t="s">
        <v>62</v>
      </c>
      <c r="F122" s="7">
        <v>24</v>
      </c>
      <c r="G122" s="8">
        <v>6</v>
      </c>
      <c r="H122" s="9">
        <f t="shared" si="0"/>
        <v>144</v>
      </c>
      <c r="I122" s="4">
        <f>F122-SUMIFS([1]Pedidos!G:G, [1]Pedidos!D:D, C122, [1]Pedidos!E:E, E122, [1]Pedidos!F:F, B122)</f>
        <v>24</v>
      </c>
    </row>
    <row r="123" spans="1:9" ht="15.75" thickBot="1">
      <c r="A123" s="4" t="s">
        <v>56</v>
      </c>
      <c r="B123" s="5" t="s">
        <v>187</v>
      </c>
      <c r="C123" s="10" t="s">
        <v>61</v>
      </c>
      <c r="D123" s="4"/>
      <c r="E123" s="11" t="s">
        <v>62</v>
      </c>
      <c r="F123" s="7">
        <v>10</v>
      </c>
      <c r="G123" s="8">
        <v>38.18</v>
      </c>
      <c r="H123" s="9">
        <f t="shared" si="0"/>
        <v>381.8</v>
      </c>
      <c r="I123" s="4">
        <f>F123-SUMIFS([1]Pedidos!G:G, [1]Pedidos!D:D, C123, [1]Pedidos!E:E, E123, [1]Pedidos!F:F, B123)</f>
        <v>10</v>
      </c>
    </row>
    <row r="124" spans="1:9" ht="15.75" thickBot="1">
      <c r="A124" s="4" t="s">
        <v>56</v>
      </c>
      <c r="B124" s="5" t="s">
        <v>188</v>
      </c>
      <c r="C124" s="10" t="s">
        <v>61</v>
      </c>
      <c r="D124" s="4"/>
      <c r="E124" s="11" t="s">
        <v>62</v>
      </c>
      <c r="F124" s="7">
        <v>11</v>
      </c>
      <c r="G124" s="8">
        <v>16.600000000000001</v>
      </c>
      <c r="H124" s="9">
        <f t="shared" si="0"/>
        <v>182.60000000000002</v>
      </c>
      <c r="I124" s="4">
        <f>F124-SUMIFS([1]Pedidos!G:G, [1]Pedidos!D:D, C124, [1]Pedidos!E:E, E124, [1]Pedidos!F:F, B124)</f>
        <v>11</v>
      </c>
    </row>
    <row r="125" spans="1:9" ht="27" thickBot="1">
      <c r="A125" s="4" t="s">
        <v>56</v>
      </c>
      <c r="B125" s="5" t="s">
        <v>189</v>
      </c>
      <c r="C125" s="4" t="s">
        <v>108</v>
      </c>
      <c r="D125" s="6" t="s">
        <v>190</v>
      </c>
      <c r="E125" s="4">
        <v>9</v>
      </c>
      <c r="F125" s="7">
        <v>20</v>
      </c>
      <c r="G125" s="8">
        <v>11500</v>
      </c>
      <c r="H125" s="9">
        <f t="shared" si="0"/>
        <v>230000</v>
      </c>
      <c r="I125" s="4">
        <f>F125-SUMIFS([1]Pedidos!G:G, [1]Pedidos!D:D, C125, [1]Pedidos!E:E, E125, [1]Pedidos!F:F, B125)</f>
        <v>13</v>
      </c>
    </row>
    <row r="126" spans="1:9" ht="15.75" thickBot="1">
      <c r="A126" s="4" t="s">
        <v>56</v>
      </c>
      <c r="B126" s="5" t="s">
        <v>191</v>
      </c>
      <c r="C126" s="10" t="s">
        <v>61</v>
      </c>
      <c r="D126" s="4"/>
      <c r="E126" s="11" t="s">
        <v>62</v>
      </c>
      <c r="F126" s="7">
        <v>7</v>
      </c>
      <c r="G126" s="8">
        <v>81.94</v>
      </c>
      <c r="H126" s="9">
        <f t="shared" si="0"/>
        <v>573.57999999999993</v>
      </c>
      <c r="I126" s="4">
        <f>F126-SUMIFS([1]Pedidos!G:G, [1]Pedidos!D:D, C126, [1]Pedidos!E:E, E126, [1]Pedidos!F:F, B126)</f>
        <v>7</v>
      </c>
    </row>
    <row r="127" spans="1:9" ht="15.75" thickBot="1">
      <c r="A127" s="4" t="s">
        <v>56</v>
      </c>
      <c r="B127" s="5" t="s">
        <v>192</v>
      </c>
      <c r="C127" s="10" t="s">
        <v>61</v>
      </c>
      <c r="D127" s="4"/>
      <c r="E127" s="11" t="s">
        <v>62</v>
      </c>
      <c r="F127" s="7">
        <v>13</v>
      </c>
      <c r="G127" s="8">
        <v>2.6</v>
      </c>
      <c r="H127" s="9">
        <f t="shared" si="0"/>
        <v>33.800000000000004</v>
      </c>
      <c r="I127" s="4">
        <f>F127-SUMIFS([1]Pedidos!G:G, [1]Pedidos!D:D, C127, [1]Pedidos!E:E, E127, [1]Pedidos!F:F, B127)</f>
        <v>13</v>
      </c>
    </row>
    <row r="128" spans="1:9" ht="15.75" thickBot="1">
      <c r="A128" s="4" t="s">
        <v>56</v>
      </c>
      <c r="B128" s="5" t="s">
        <v>193</v>
      </c>
      <c r="C128" s="10" t="s">
        <v>61</v>
      </c>
      <c r="D128" s="4"/>
      <c r="E128" s="11" t="s">
        <v>62</v>
      </c>
      <c r="F128" s="7">
        <v>6</v>
      </c>
      <c r="G128" s="8">
        <v>3.5</v>
      </c>
      <c r="H128" s="9">
        <f t="shared" si="0"/>
        <v>21</v>
      </c>
      <c r="I128" s="4">
        <f>F128-SUMIFS([1]Pedidos!G:G, [1]Pedidos!D:D, C128, [1]Pedidos!E:E, E128, [1]Pedidos!F:F, B128)</f>
        <v>6</v>
      </c>
    </row>
    <row r="129" spans="1:9" ht="15.75" thickBot="1">
      <c r="A129" s="4" t="s">
        <v>56</v>
      </c>
      <c r="B129" s="5" t="s">
        <v>194</v>
      </c>
      <c r="C129" s="10" t="s">
        <v>61</v>
      </c>
      <c r="D129" s="4"/>
      <c r="E129" s="11" t="s">
        <v>62</v>
      </c>
      <c r="F129" s="7">
        <v>2</v>
      </c>
      <c r="G129" s="8">
        <v>2.4</v>
      </c>
      <c r="H129" s="9">
        <f t="shared" si="0"/>
        <v>4.8</v>
      </c>
      <c r="I129" s="4">
        <f>F129-SUMIFS([1]Pedidos!G:G, [1]Pedidos!D:D, C129, [1]Pedidos!E:E, E129, [1]Pedidos!F:F, B129)</f>
        <v>2</v>
      </c>
    </row>
    <row r="130" spans="1:9" ht="15.75" thickBot="1">
      <c r="A130" s="4" t="s">
        <v>56</v>
      </c>
      <c r="B130" s="5" t="s">
        <v>195</v>
      </c>
      <c r="C130" s="10" t="s">
        <v>61</v>
      </c>
      <c r="D130" s="4"/>
      <c r="E130" s="11" t="s">
        <v>62</v>
      </c>
      <c r="F130" s="7">
        <v>6</v>
      </c>
      <c r="G130" s="8">
        <v>5.3</v>
      </c>
      <c r="H130" s="9">
        <f t="shared" si="0"/>
        <v>31.799999999999997</v>
      </c>
      <c r="I130" s="4">
        <f>F130-SUMIFS([1]Pedidos!G:G, [1]Pedidos!D:D, C130, [1]Pedidos!E:E, E130, [1]Pedidos!F:F, B130)</f>
        <v>6</v>
      </c>
    </row>
    <row r="131" spans="1:9" ht="15.75" thickBot="1">
      <c r="A131" s="4" t="s">
        <v>56</v>
      </c>
      <c r="B131" s="5" t="s">
        <v>196</v>
      </c>
      <c r="C131" s="10" t="s">
        <v>61</v>
      </c>
      <c r="D131" s="4"/>
      <c r="E131" s="11" t="s">
        <v>62</v>
      </c>
      <c r="F131" s="7">
        <v>8</v>
      </c>
      <c r="G131" s="8">
        <v>0.82</v>
      </c>
      <c r="H131" s="9">
        <f t="shared" si="0"/>
        <v>6.56</v>
      </c>
      <c r="I131" s="4">
        <f>F131-SUMIFS([1]Pedidos!G:G, [1]Pedidos!D:D, C131, [1]Pedidos!E:E, E131, [1]Pedidos!F:F, B131)</f>
        <v>8</v>
      </c>
    </row>
    <row r="132" spans="1:9" ht="15.75" thickBot="1">
      <c r="A132" s="4" t="s">
        <v>56</v>
      </c>
      <c r="B132" s="5" t="s">
        <v>197</v>
      </c>
      <c r="C132" s="10" t="s">
        <v>61</v>
      </c>
      <c r="D132" s="4"/>
      <c r="E132" s="11" t="s">
        <v>62</v>
      </c>
      <c r="F132" s="7">
        <v>8</v>
      </c>
      <c r="G132" s="8">
        <v>1.04</v>
      </c>
      <c r="H132" s="9">
        <f t="shared" si="0"/>
        <v>8.32</v>
      </c>
      <c r="I132" s="4">
        <f>F132-SUMIFS([1]Pedidos!G:G, [1]Pedidos!D:D, C132, [1]Pedidos!E:E, E132, [1]Pedidos!F:F, B132)</f>
        <v>8</v>
      </c>
    </row>
    <row r="133" spans="1:9" ht="15.75" thickBot="1">
      <c r="A133" s="4" t="s">
        <v>56</v>
      </c>
      <c r="B133" s="5" t="s">
        <v>198</v>
      </c>
      <c r="C133" s="10" t="s">
        <v>61</v>
      </c>
      <c r="D133" s="4"/>
      <c r="E133" s="11" t="s">
        <v>62</v>
      </c>
      <c r="F133" s="7">
        <v>18</v>
      </c>
      <c r="G133" s="8">
        <v>1.17</v>
      </c>
      <c r="H133" s="9">
        <f t="shared" si="0"/>
        <v>21.06</v>
      </c>
      <c r="I133" s="4">
        <f>F133-SUMIFS([1]Pedidos!G:G, [1]Pedidos!D:D, C133, [1]Pedidos!E:E, E133, [1]Pedidos!F:F, B133)</f>
        <v>18</v>
      </c>
    </row>
    <row r="134" spans="1:9" ht="15.75" thickBot="1">
      <c r="A134" s="4" t="s">
        <v>56</v>
      </c>
      <c r="B134" s="5" t="s">
        <v>199</v>
      </c>
      <c r="C134" s="10" t="s">
        <v>61</v>
      </c>
      <c r="D134" s="4"/>
      <c r="E134" s="11" t="s">
        <v>62</v>
      </c>
      <c r="F134" s="7">
        <v>17</v>
      </c>
      <c r="G134" s="8">
        <v>0.95</v>
      </c>
      <c r="H134" s="9">
        <f t="shared" si="0"/>
        <v>16.149999999999999</v>
      </c>
      <c r="I134" s="4">
        <f>F134-SUMIFS([1]Pedidos!G:G, [1]Pedidos!D:D, C134, [1]Pedidos!E:E, E134, [1]Pedidos!F:F, B134)</f>
        <v>17</v>
      </c>
    </row>
    <row r="135" spans="1:9" ht="15.75" thickBot="1">
      <c r="A135" s="4" t="s">
        <v>56</v>
      </c>
      <c r="B135" s="5" t="s">
        <v>200</v>
      </c>
      <c r="C135" s="10" t="s">
        <v>61</v>
      </c>
      <c r="D135" s="4"/>
      <c r="E135" s="11" t="s">
        <v>62</v>
      </c>
      <c r="F135" s="7">
        <v>28</v>
      </c>
      <c r="G135" s="8">
        <v>1.17</v>
      </c>
      <c r="H135" s="9">
        <f t="shared" si="0"/>
        <v>32.76</v>
      </c>
      <c r="I135" s="4">
        <f>F135-SUMIFS([1]Pedidos!G:G, [1]Pedidos!D:D, C135, [1]Pedidos!E:E, E135, [1]Pedidos!F:F, B135)</f>
        <v>28</v>
      </c>
    </row>
    <row r="136" spans="1:9" ht="15.75" thickBot="1">
      <c r="A136" s="4" t="s">
        <v>56</v>
      </c>
      <c r="B136" s="5" t="s">
        <v>201</v>
      </c>
      <c r="C136" s="10" t="s">
        <v>61</v>
      </c>
      <c r="D136" s="4"/>
      <c r="E136" s="11" t="s">
        <v>62</v>
      </c>
      <c r="F136" s="7">
        <v>19</v>
      </c>
      <c r="G136" s="8">
        <v>1.28</v>
      </c>
      <c r="H136" s="9">
        <f t="shared" si="0"/>
        <v>24.32</v>
      </c>
      <c r="I136" s="4">
        <f>F136-SUMIFS([1]Pedidos!G:G, [1]Pedidos!D:D, C136, [1]Pedidos!E:E, E136, [1]Pedidos!F:F, B136)</f>
        <v>19</v>
      </c>
    </row>
    <row r="137" spans="1:9" ht="15.75" thickBot="1">
      <c r="A137" s="4" t="s">
        <v>56</v>
      </c>
      <c r="B137" s="5" t="s">
        <v>202</v>
      </c>
      <c r="C137" s="10" t="s">
        <v>61</v>
      </c>
      <c r="D137" s="4"/>
      <c r="E137" s="11" t="s">
        <v>62</v>
      </c>
      <c r="F137" s="7">
        <v>20</v>
      </c>
      <c r="G137" s="8">
        <v>1.48</v>
      </c>
      <c r="H137" s="9">
        <f t="shared" si="0"/>
        <v>29.6</v>
      </c>
      <c r="I137" s="4">
        <f>F137-SUMIFS([1]Pedidos!G:G, [1]Pedidos!D:D, C137, [1]Pedidos!E:E, E137, [1]Pedidos!F:F, B137)</f>
        <v>20</v>
      </c>
    </row>
    <row r="138" spans="1:9" ht="15.75" thickBot="1">
      <c r="A138" s="4" t="s">
        <v>56</v>
      </c>
      <c r="B138" s="5" t="s">
        <v>203</v>
      </c>
      <c r="C138" s="10" t="s">
        <v>61</v>
      </c>
      <c r="D138" s="4"/>
      <c r="E138" s="11" t="s">
        <v>62</v>
      </c>
      <c r="F138" s="7">
        <v>8</v>
      </c>
      <c r="G138" s="8">
        <v>5.2</v>
      </c>
      <c r="H138" s="9">
        <f t="shared" si="0"/>
        <v>41.6</v>
      </c>
      <c r="I138" s="4">
        <f>F138-SUMIFS([1]Pedidos!G:G, [1]Pedidos!D:D, C138, [1]Pedidos!E:E, E138, [1]Pedidos!F:F, B138)</f>
        <v>8</v>
      </c>
    </row>
    <row r="139" spans="1:9" ht="15.75" thickBot="1">
      <c r="A139" s="4" t="s">
        <v>56</v>
      </c>
      <c r="B139" s="5" t="s">
        <v>204</v>
      </c>
      <c r="C139" s="10" t="s">
        <v>61</v>
      </c>
      <c r="D139" s="4"/>
      <c r="E139" s="11" t="s">
        <v>62</v>
      </c>
      <c r="F139" s="7">
        <v>9</v>
      </c>
      <c r="G139" s="8">
        <v>6.18</v>
      </c>
      <c r="H139" s="9">
        <f t="shared" si="0"/>
        <v>55.62</v>
      </c>
      <c r="I139" s="4">
        <f>F139-SUMIFS([1]Pedidos!G:G, [1]Pedidos!D:D, C139, [1]Pedidos!E:E, E139, [1]Pedidos!F:F, B139)</f>
        <v>9</v>
      </c>
    </row>
    <row r="140" spans="1:9" ht="15.75" thickBot="1">
      <c r="A140" s="4" t="s">
        <v>56</v>
      </c>
      <c r="B140" s="5" t="s">
        <v>205</v>
      </c>
      <c r="C140" s="10" t="s">
        <v>61</v>
      </c>
      <c r="D140" s="4"/>
      <c r="E140" s="11" t="s">
        <v>62</v>
      </c>
      <c r="F140" s="7">
        <v>6</v>
      </c>
      <c r="G140" s="8">
        <v>34200</v>
      </c>
      <c r="H140" s="9">
        <f t="shared" si="0"/>
        <v>205200</v>
      </c>
      <c r="I140" s="4">
        <f>F140-SUMIFS([1]Pedidos!G:G, [1]Pedidos!D:D, C140, [1]Pedidos!E:E, E140, [1]Pedidos!F:F, B140)</f>
        <v>5</v>
      </c>
    </row>
    <row r="141" spans="1:9" ht="15.75" thickBot="1">
      <c r="A141" s="4" t="s">
        <v>56</v>
      </c>
      <c r="B141" s="5" t="s">
        <v>206</v>
      </c>
      <c r="C141" s="4" t="s">
        <v>207</v>
      </c>
      <c r="D141" s="6" t="s">
        <v>109</v>
      </c>
      <c r="E141" s="4">
        <v>16</v>
      </c>
      <c r="F141" s="7">
        <v>10</v>
      </c>
      <c r="G141" s="8">
        <v>22395</v>
      </c>
      <c r="H141" s="9">
        <f t="shared" si="0"/>
        <v>223950</v>
      </c>
      <c r="I141" s="4">
        <f>F141-SUMIFS([1]Pedidos!G:G, [1]Pedidos!D:D, C141, [1]Pedidos!E:E, E141, [1]Pedidos!F:F, B141)</f>
        <v>10</v>
      </c>
    </row>
    <row r="142" spans="1:9" ht="15.75" thickBot="1">
      <c r="A142" s="4" t="s">
        <v>56</v>
      </c>
      <c r="B142" s="5" t="s">
        <v>208</v>
      </c>
      <c r="C142" s="10" t="s">
        <v>61</v>
      </c>
      <c r="D142" s="4"/>
      <c r="E142" s="11" t="s">
        <v>62</v>
      </c>
      <c r="F142" s="7">
        <v>4</v>
      </c>
      <c r="G142" s="8">
        <v>3.76</v>
      </c>
      <c r="H142" s="9">
        <f t="shared" si="0"/>
        <v>15.04</v>
      </c>
      <c r="I142" s="4">
        <f>F142-SUMIFS([1]Pedidos!G:G, [1]Pedidos!D:D, C142, [1]Pedidos!E:E, E142, [1]Pedidos!F:F, B142)</f>
        <v>4</v>
      </c>
    </row>
    <row r="143" spans="1:9" ht="15.75" thickBot="1">
      <c r="A143" s="4" t="s">
        <v>56</v>
      </c>
      <c r="B143" s="5" t="s">
        <v>208</v>
      </c>
      <c r="C143" s="10" t="s">
        <v>67</v>
      </c>
      <c r="D143" s="4"/>
      <c r="E143" s="11" t="s">
        <v>62</v>
      </c>
      <c r="F143" s="7">
        <v>25</v>
      </c>
      <c r="G143" s="8">
        <v>8.4</v>
      </c>
      <c r="H143" s="9">
        <f t="shared" si="0"/>
        <v>210</v>
      </c>
      <c r="I143" s="4">
        <f>F143-SUMIFS([1]Pedidos!G:G, [1]Pedidos!D:D, C143, [1]Pedidos!E:E, E143, [1]Pedidos!F:F, B143)</f>
        <v>25</v>
      </c>
    </row>
    <row r="144" spans="1:9" ht="15.75" thickBot="1">
      <c r="A144" s="4" t="s">
        <v>56</v>
      </c>
      <c r="B144" s="5" t="s">
        <v>209</v>
      </c>
      <c r="C144" s="10" t="s">
        <v>61</v>
      </c>
      <c r="D144" s="4"/>
      <c r="E144" s="11" t="s">
        <v>62</v>
      </c>
      <c r="F144" s="7">
        <v>1</v>
      </c>
      <c r="G144" s="8">
        <v>95</v>
      </c>
      <c r="H144" s="9">
        <f t="shared" si="0"/>
        <v>95</v>
      </c>
      <c r="I144" s="4">
        <f>F144-SUMIFS([1]Pedidos!G:G, [1]Pedidos!D:D, C144, [1]Pedidos!E:E, E144, [1]Pedidos!F:F, B144)</f>
        <v>0</v>
      </c>
    </row>
    <row r="145" spans="1:9" ht="15.75" thickBot="1">
      <c r="A145" s="4" t="s">
        <v>56</v>
      </c>
      <c r="B145" s="5" t="s">
        <v>210</v>
      </c>
      <c r="C145" s="10" t="s">
        <v>61</v>
      </c>
      <c r="D145" s="4"/>
      <c r="E145" s="11" t="s">
        <v>62</v>
      </c>
      <c r="F145" s="7">
        <v>1</v>
      </c>
      <c r="G145" s="8">
        <v>3.2</v>
      </c>
      <c r="H145" s="9">
        <f t="shared" si="0"/>
        <v>3.2</v>
      </c>
      <c r="I145" s="4">
        <f>F145-SUMIFS([1]Pedidos!G:G, [1]Pedidos!D:D, C145, [1]Pedidos!E:E, E145, [1]Pedidos!F:F, B145)</f>
        <v>1</v>
      </c>
    </row>
    <row r="146" spans="1:9" ht="15.75" thickBot="1">
      <c r="A146" s="4" t="s">
        <v>56</v>
      </c>
      <c r="B146" s="5" t="s">
        <v>211</v>
      </c>
      <c r="C146" s="10" t="s">
        <v>61</v>
      </c>
      <c r="D146" s="4"/>
      <c r="E146" s="11" t="s">
        <v>62</v>
      </c>
      <c r="F146" s="7">
        <v>5</v>
      </c>
      <c r="G146" s="8">
        <v>0.76</v>
      </c>
      <c r="H146" s="9">
        <f t="shared" si="0"/>
        <v>3.8</v>
      </c>
      <c r="I146" s="4">
        <f>F146-SUMIFS([1]Pedidos!G:G, [1]Pedidos!D:D, C146, [1]Pedidos!E:E, E146, [1]Pedidos!F:F, B146)</f>
        <v>5</v>
      </c>
    </row>
    <row r="147" spans="1:9" ht="15.75" thickBot="1">
      <c r="A147" s="4" t="s">
        <v>56</v>
      </c>
      <c r="B147" s="5" t="s">
        <v>211</v>
      </c>
      <c r="C147" s="10" t="s">
        <v>67</v>
      </c>
      <c r="D147" s="4"/>
      <c r="E147" s="11" t="s">
        <v>62</v>
      </c>
      <c r="F147" s="7">
        <v>20</v>
      </c>
      <c r="G147" s="8">
        <v>0.85</v>
      </c>
      <c r="H147" s="9">
        <f t="shared" si="0"/>
        <v>17</v>
      </c>
      <c r="I147" s="4">
        <f>F147-SUMIFS([1]Pedidos!G:G, [1]Pedidos!D:D, C147, [1]Pedidos!E:E, E147, [1]Pedidos!F:F, B147)</f>
        <v>20</v>
      </c>
    </row>
    <row r="148" spans="1:9" ht="15.75" thickBot="1">
      <c r="A148" s="4" t="s">
        <v>56</v>
      </c>
      <c r="B148" s="5" t="s">
        <v>212</v>
      </c>
      <c r="C148" s="10" t="s">
        <v>61</v>
      </c>
      <c r="D148" s="4"/>
      <c r="E148" s="11" t="s">
        <v>62</v>
      </c>
      <c r="F148" s="7">
        <v>3</v>
      </c>
      <c r="G148" s="8">
        <v>1.1000000000000001</v>
      </c>
      <c r="H148" s="9">
        <f t="shared" si="0"/>
        <v>3.3000000000000003</v>
      </c>
      <c r="I148" s="4">
        <f>F148-SUMIFS([1]Pedidos!G:G, [1]Pedidos!D:D, C148, [1]Pedidos!E:E, E148, [1]Pedidos!F:F, B148)</f>
        <v>3</v>
      </c>
    </row>
    <row r="149" spans="1:9" ht="15.75" thickBot="1">
      <c r="A149" s="4" t="s">
        <v>56</v>
      </c>
      <c r="B149" s="5" t="s">
        <v>212</v>
      </c>
      <c r="C149" s="10" t="s">
        <v>67</v>
      </c>
      <c r="D149" s="4"/>
      <c r="E149" s="11" t="s">
        <v>62</v>
      </c>
      <c r="F149" s="7">
        <v>20</v>
      </c>
      <c r="G149" s="8">
        <v>1.25</v>
      </c>
      <c r="H149" s="9">
        <f t="shared" si="0"/>
        <v>25</v>
      </c>
      <c r="I149" s="4">
        <f>F149-SUMIFS([1]Pedidos!G:G, [1]Pedidos!D:D, C149, [1]Pedidos!E:E, E149, [1]Pedidos!F:F, B149)</f>
        <v>20</v>
      </c>
    </row>
    <row r="150" spans="1:9" ht="15.75" thickBot="1">
      <c r="A150" s="4" t="s">
        <v>56</v>
      </c>
      <c r="B150" s="5" t="s">
        <v>213</v>
      </c>
      <c r="C150" s="4" t="s">
        <v>214</v>
      </c>
      <c r="D150" s="6" t="s">
        <v>173</v>
      </c>
      <c r="E150" s="4">
        <v>29</v>
      </c>
      <c r="F150" s="7">
        <v>50</v>
      </c>
      <c r="G150" s="8">
        <v>14500</v>
      </c>
      <c r="H150" s="9">
        <f t="shared" si="0"/>
        <v>725000</v>
      </c>
      <c r="I150" s="4">
        <f>F150-SUMIFS([1]Pedidos!G:G, [1]Pedidos!D:D, C150, [1]Pedidos!E:E, E150, [1]Pedidos!F:F, B150)</f>
        <v>50</v>
      </c>
    </row>
    <row r="151" spans="1:9" ht="27" thickBot="1">
      <c r="A151" s="4" t="s">
        <v>56</v>
      </c>
      <c r="B151" s="5" t="s">
        <v>215</v>
      </c>
      <c r="C151" s="4" t="s">
        <v>58</v>
      </c>
      <c r="D151" s="4" t="s">
        <v>106</v>
      </c>
      <c r="E151" s="4">
        <v>30</v>
      </c>
      <c r="F151" s="7">
        <v>50</v>
      </c>
      <c r="G151" s="8">
        <v>9000</v>
      </c>
      <c r="H151" s="9">
        <f t="shared" si="0"/>
        <v>450000</v>
      </c>
      <c r="I151" s="4">
        <f>F151-SUMIFS([1]Pedidos!G:G, [1]Pedidos!D:D, C151, [1]Pedidos!E:E, E151, [1]Pedidos!F:F, B151)</f>
        <v>48</v>
      </c>
    </row>
    <row r="152" spans="1:9" ht="15.75" thickBot="1">
      <c r="A152" s="4" t="s">
        <v>56</v>
      </c>
      <c r="B152" s="5" t="s">
        <v>216</v>
      </c>
      <c r="C152" s="10" t="s">
        <v>61</v>
      </c>
      <c r="D152" s="4"/>
      <c r="E152" s="11" t="s">
        <v>62</v>
      </c>
      <c r="F152" s="7">
        <v>18</v>
      </c>
      <c r="G152" s="8">
        <v>10.3</v>
      </c>
      <c r="H152" s="9">
        <f t="shared" si="0"/>
        <v>185.4</v>
      </c>
      <c r="I152" s="4">
        <f>F152-SUMIFS([1]Pedidos!G:G, [1]Pedidos!D:D, C152, [1]Pedidos!E:E, E152, [1]Pedidos!F:F, B152)</f>
        <v>18</v>
      </c>
    </row>
    <row r="153" spans="1:9" ht="15.75" thickBot="1">
      <c r="A153" s="4" t="s">
        <v>56</v>
      </c>
      <c r="B153" s="5" t="s">
        <v>216</v>
      </c>
      <c r="C153" s="10" t="s">
        <v>67</v>
      </c>
      <c r="D153" s="4"/>
      <c r="E153" s="11" t="s">
        <v>62</v>
      </c>
      <c r="F153" s="7">
        <v>10</v>
      </c>
      <c r="G153" s="8">
        <v>52.3</v>
      </c>
      <c r="H153" s="9">
        <f t="shared" si="0"/>
        <v>523</v>
      </c>
      <c r="I153" s="4">
        <f>F153-SUMIFS([1]Pedidos!G:G, [1]Pedidos!D:D, C153, [1]Pedidos!E:E, E153, [1]Pedidos!F:F, B153)</f>
        <v>10</v>
      </c>
    </row>
    <row r="154" spans="1:9" ht="15.75" thickBot="1">
      <c r="A154" s="4" t="s">
        <v>56</v>
      </c>
      <c r="B154" s="5" t="s">
        <v>216</v>
      </c>
      <c r="C154" s="10" t="s">
        <v>119</v>
      </c>
      <c r="D154" s="4"/>
      <c r="E154" s="11" t="s">
        <v>62</v>
      </c>
      <c r="F154" s="7">
        <v>12</v>
      </c>
      <c r="G154" s="8">
        <v>35.57</v>
      </c>
      <c r="H154" s="9">
        <f t="shared" si="0"/>
        <v>426.84000000000003</v>
      </c>
      <c r="I154" s="4">
        <f>F154-SUMIFS([1]Pedidos!G:G, [1]Pedidos!D:D, C154, [1]Pedidos!E:E, E154, [1]Pedidos!F:F, B154)</f>
        <v>12</v>
      </c>
    </row>
    <row r="155" spans="1:9" ht="15.75" thickBot="1">
      <c r="A155" s="4" t="s">
        <v>56</v>
      </c>
      <c r="B155" s="5" t="s">
        <v>217</v>
      </c>
      <c r="C155" s="10" t="s">
        <v>61</v>
      </c>
      <c r="D155" s="4"/>
      <c r="E155" s="11" t="s">
        <v>62</v>
      </c>
      <c r="F155" s="7">
        <v>2</v>
      </c>
      <c r="G155" s="8">
        <v>66.849999999999994</v>
      </c>
      <c r="H155" s="9">
        <f t="shared" si="0"/>
        <v>133.69999999999999</v>
      </c>
      <c r="I155" s="4">
        <f>F155-SUMIFS([1]Pedidos!G:G, [1]Pedidos!D:D, C155, [1]Pedidos!E:E, E155, [1]Pedidos!F:F, B155)</f>
        <v>2</v>
      </c>
    </row>
    <row r="156" spans="1:9" ht="15.75" thickBot="1">
      <c r="A156" s="4" t="s">
        <v>56</v>
      </c>
      <c r="B156" s="5" t="s">
        <v>218</v>
      </c>
      <c r="C156" s="10" t="s">
        <v>61</v>
      </c>
      <c r="D156" s="4"/>
      <c r="E156" s="11" t="s">
        <v>62</v>
      </c>
      <c r="F156" s="7">
        <v>93</v>
      </c>
      <c r="G156" s="8">
        <v>7250</v>
      </c>
      <c r="H156" s="9">
        <f t="shared" si="0"/>
        <v>674250</v>
      </c>
      <c r="I156" s="4">
        <f>F156-SUMIFS([1]Pedidos!G:G, [1]Pedidos!D:D, C156, [1]Pedidos!E:E, E156, [1]Pedidos!F:F, B156)</f>
        <v>93</v>
      </c>
    </row>
    <row r="157" spans="1:9" ht="15.75" thickBot="1">
      <c r="A157" s="4" t="s">
        <v>56</v>
      </c>
      <c r="B157" s="5" t="s">
        <v>219</v>
      </c>
      <c r="C157" s="10" t="s">
        <v>61</v>
      </c>
      <c r="D157" s="4"/>
      <c r="E157" s="11" t="s">
        <v>62</v>
      </c>
      <c r="F157" s="7">
        <v>21</v>
      </c>
      <c r="G157" s="8">
        <v>50</v>
      </c>
      <c r="H157" s="9">
        <f t="shared" si="0"/>
        <v>1050</v>
      </c>
      <c r="I157" s="4">
        <f>F157-SUMIFS([1]Pedidos!G:G, [1]Pedidos!D:D, C157, [1]Pedidos!E:E, E157, [1]Pedidos!F:F, B157)</f>
        <v>21</v>
      </c>
    </row>
    <row r="158" spans="1:9" ht="15.75" thickBot="1">
      <c r="A158" s="4" t="s">
        <v>56</v>
      </c>
      <c r="B158" s="5" t="s">
        <v>220</v>
      </c>
      <c r="C158" s="10" t="s">
        <v>61</v>
      </c>
      <c r="D158" s="4"/>
      <c r="E158" s="11" t="s">
        <v>62</v>
      </c>
      <c r="F158" s="7">
        <v>26</v>
      </c>
      <c r="G158" s="8">
        <v>20</v>
      </c>
      <c r="H158" s="9">
        <f t="shared" si="0"/>
        <v>520</v>
      </c>
      <c r="I158" s="4">
        <f>F158-SUMIFS([1]Pedidos!G:G, [1]Pedidos!D:D, C158, [1]Pedidos!E:E, E158, [1]Pedidos!F:F, B158)</f>
        <v>26</v>
      </c>
    </row>
    <row r="159" spans="1:9" ht="27" thickBot="1">
      <c r="A159" s="4" t="s">
        <v>56</v>
      </c>
      <c r="B159" s="5" t="s">
        <v>221</v>
      </c>
      <c r="C159" s="4" t="s">
        <v>108</v>
      </c>
      <c r="D159" s="6" t="s">
        <v>222</v>
      </c>
      <c r="E159" s="4">
        <v>10</v>
      </c>
      <c r="F159" s="7">
        <v>100</v>
      </c>
      <c r="G159" s="8">
        <v>7250</v>
      </c>
      <c r="H159" s="9">
        <f t="shared" si="0"/>
        <v>725000</v>
      </c>
      <c r="I159" s="4">
        <f>F159-SUMIFS([1]Pedidos!G:G, [1]Pedidos!D:D, C159, [1]Pedidos!E:E, E159, [1]Pedidos!F:F, B159)</f>
        <v>100</v>
      </c>
    </row>
    <row r="160" spans="1:9" ht="27" thickBot="1">
      <c r="A160" s="4" t="s">
        <v>56</v>
      </c>
      <c r="B160" s="5" t="s">
        <v>223</v>
      </c>
      <c r="C160" s="4" t="s">
        <v>105</v>
      </c>
      <c r="D160" s="4" t="s">
        <v>224</v>
      </c>
      <c r="E160" s="4">
        <v>12</v>
      </c>
      <c r="F160" s="7">
        <v>20</v>
      </c>
      <c r="G160" s="8">
        <v>131960</v>
      </c>
      <c r="H160" s="9">
        <f t="shared" si="0"/>
        <v>2639200</v>
      </c>
      <c r="I160" s="4">
        <f>F160-SUMIFS([1]Pedidos!G:G, [1]Pedidos!D:D, C160, [1]Pedidos!E:E, E160, [1]Pedidos!F:F, B160)</f>
        <v>14</v>
      </c>
    </row>
    <row r="161" spans="1:9" ht="27" thickBot="1">
      <c r="A161" s="4" t="s">
        <v>56</v>
      </c>
      <c r="B161" s="5" t="s">
        <v>223</v>
      </c>
      <c r="C161" s="4" t="s">
        <v>61</v>
      </c>
      <c r="D161" s="4" t="s">
        <v>224</v>
      </c>
      <c r="E161" s="4">
        <v>12</v>
      </c>
      <c r="F161" s="7">
        <v>19</v>
      </c>
      <c r="G161" s="8">
        <v>6598</v>
      </c>
      <c r="H161" s="9">
        <f t="shared" si="0"/>
        <v>125362</v>
      </c>
      <c r="I161" s="4">
        <f>F161-SUMIFS([1]Pedidos!G:G, [1]Pedidos!D:D, C161, [1]Pedidos!E:E, E161, [1]Pedidos!F:F, B161)</f>
        <v>19</v>
      </c>
    </row>
    <row r="162" spans="1:9" ht="15.75" thickBot="1">
      <c r="A162" s="4" t="s">
        <v>56</v>
      </c>
      <c r="B162" s="5" t="s">
        <v>225</v>
      </c>
      <c r="C162" s="4" t="s">
        <v>105</v>
      </c>
      <c r="D162" s="4" t="s">
        <v>226</v>
      </c>
      <c r="E162" s="4">
        <v>13</v>
      </c>
      <c r="F162" s="7">
        <v>100</v>
      </c>
      <c r="G162" s="8">
        <v>936</v>
      </c>
      <c r="H162" s="9">
        <f t="shared" si="0"/>
        <v>93600</v>
      </c>
      <c r="I162" s="4">
        <f>F162-SUMIFS([1]Pedidos!G:G, [1]Pedidos!D:D, C162, [1]Pedidos!E:E, E162, [1]Pedidos!F:F, B162)</f>
        <v>100</v>
      </c>
    </row>
    <row r="163" spans="1:9" ht="27" thickBot="1">
      <c r="A163" s="4" t="s">
        <v>56</v>
      </c>
      <c r="B163" s="5" t="s">
        <v>227</v>
      </c>
      <c r="C163" s="4" t="s">
        <v>207</v>
      </c>
      <c r="D163" s="4" t="s">
        <v>228</v>
      </c>
      <c r="E163" s="4">
        <v>4</v>
      </c>
      <c r="F163" s="7">
        <v>100</v>
      </c>
      <c r="G163" s="8">
        <v>14849</v>
      </c>
      <c r="H163" s="9">
        <f t="shared" si="0"/>
        <v>1484900</v>
      </c>
      <c r="I163" s="4">
        <f>F163-SUMIFS([1]Pedidos!G:G, [1]Pedidos!D:D, C163, [1]Pedidos!E:E, E163, [1]Pedidos!F:F, B163)</f>
        <v>72</v>
      </c>
    </row>
    <row r="164" spans="1:9" ht="52.5" thickBot="1">
      <c r="A164" s="4" t="s">
        <v>56</v>
      </c>
      <c r="B164" s="5" t="s">
        <v>229</v>
      </c>
      <c r="C164" s="4" t="s">
        <v>108</v>
      </c>
      <c r="D164" s="4" t="s">
        <v>230</v>
      </c>
      <c r="E164" s="4">
        <v>6</v>
      </c>
      <c r="F164" s="7">
        <v>30</v>
      </c>
      <c r="G164" s="8">
        <v>25890</v>
      </c>
      <c r="H164" s="9">
        <f t="shared" si="0"/>
        <v>776700</v>
      </c>
      <c r="I164" s="4">
        <f>F164-SUMIFS([1]Pedidos!G:G, [1]Pedidos!D:D, C164, [1]Pedidos!E:E, E164, [1]Pedidos!F:F, B164)</f>
        <v>26</v>
      </c>
    </row>
    <row r="165" spans="1:9" ht="15.75" thickBot="1">
      <c r="A165" s="4" t="s">
        <v>56</v>
      </c>
      <c r="B165" s="5" t="s">
        <v>231</v>
      </c>
      <c r="C165" s="10" t="s">
        <v>61</v>
      </c>
      <c r="D165" s="4"/>
      <c r="E165" s="11" t="s">
        <v>62</v>
      </c>
      <c r="F165" s="7">
        <v>5</v>
      </c>
      <c r="G165" s="8">
        <v>249</v>
      </c>
      <c r="H165" s="9">
        <f t="shared" si="0"/>
        <v>1245</v>
      </c>
      <c r="I165" s="4">
        <f>F165-SUMIFS([1]Pedidos!G:G, [1]Pedidos!D:D, C165, [1]Pedidos!E:E, E165, [1]Pedidos!F:F, B165)</f>
        <v>5</v>
      </c>
    </row>
    <row r="166" spans="1:9" ht="15.75" thickBot="1">
      <c r="A166" s="4" t="s">
        <v>56</v>
      </c>
      <c r="B166" s="5" t="s">
        <v>232</v>
      </c>
      <c r="C166" s="10" t="s">
        <v>61</v>
      </c>
      <c r="D166" s="4"/>
      <c r="E166" s="11" t="s">
        <v>62</v>
      </c>
      <c r="F166" s="7">
        <v>20</v>
      </c>
      <c r="G166" s="8">
        <v>0.41</v>
      </c>
      <c r="H166" s="9">
        <f t="shared" si="0"/>
        <v>8.1999999999999993</v>
      </c>
      <c r="I166" s="4">
        <f>F166-SUMIFS([1]Pedidos!G:G, [1]Pedidos!D:D, C166, [1]Pedidos!E:E, E166, [1]Pedidos!F:F, B166)</f>
        <v>20</v>
      </c>
    </row>
    <row r="167" spans="1:9" ht="15.75" thickBot="1">
      <c r="A167" s="4" t="s">
        <v>56</v>
      </c>
      <c r="B167" s="5" t="s">
        <v>233</v>
      </c>
      <c r="C167" s="10" t="s">
        <v>61</v>
      </c>
      <c r="D167" s="4"/>
      <c r="E167" s="11" t="s">
        <v>62</v>
      </c>
      <c r="F167" s="7">
        <v>32</v>
      </c>
      <c r="G167" s="8">
        <v>0.6</v>
      </c>
      <c r="H167" s="9">
        <f t="shared" si="0"/>
        <v>19.2</v>
      </c>
      <c r="I167" s="4">
        <f>F167-SUMIFS([1]Pedidos!G:G, [1]Pedidos!D:D, C167, [1]Pedidos!E:E, E167, [1]Pedidos!F:F, B167)</f>
        <v>32</v>
      </c>
    </row>
    <row r="168" spans="1:9" ht="15.75" thickBot="1">
      <c r="A168" s="4" t="s">
        <v>56</v>
      </c>
      <c r="B168" s="5" t="s">
        <v>234</v>
      </c>
      <c r="C168" s="10" t="s">
        <v>61</v>
      </c>
      <c r="D168" s="4"/>
      <c r="E168" s="11" t="s">
        <v>62</v>
      </c>
      <c r="F168" s="7">
        <v>4</v>
      </c>
      <c r="G168" s="8">
        <v>0.71</v>
      </c>
      <c r="H168" s="9">
        <f t="shared" si="0"/>
        <v>2.84</v>
      </c>
      <c r="I168" s="4">
        <f>F168-SUMIFS([1]Pedidos!G:G, [1]Pedidos!D:D, C168, [1]Pedidos!E:E, E168, [1]Pedidos!F:F, B168)</f>
        <v>4</v>
      </c>
    </row>
    <row r="169" spans="1:9" ht="15.75" thickBot="1">
      <c r="A169" s="4" t="s">
        <v>56</v>
      </c>
      <c r="B169" s="5" t="s">
        <v>235</v>
      </c>
      <c r="C169" s="10" t="s">
        <v>61</v>
      </c>
      <c r="D169" s="4"/>
      <c r="E169" s="11" t="s">
        <v>62</v>
      </c>
      <c r="F169" s="7">
        <v>8</v>
      </c>
      <c r="G169" s="8">
        <v>0.6</v>
      </c>
      <c r="H169" s="9">
        <f t="shared" si="0"/>
        <v>4.8</v>
      </c>
      <c r="I169" s="4">
        <f>F169-SUMIFS([1]Pedidos!G:G, [1]Pedidos!D:D, C169, [1]Pedidos!E:E, E169, [1]Pedidos!F:F, B169)</f>
        <v>8</v>
      </c>
    </row>
    <row r="170" spans="1:9" ht="15.75" thickBot="1">
      <c r="A170" s="4" t="s">
        <v>56</v>
      </c>
      <c r="B170" s="5" t="s">
        <v>236</v>
      </c>
      <c r="C170" s="10" t="s">
        <v>61</v>
      </c>
      <c r="D170" s="4"/>
      <c r="E170" s="11" t="s">
        <v>62</v>
      </c>
      <c r="F170" s="7">
        <v>5</v>
      </c>
      <c r="G170" s="8">
        <v>0.77</v>
      </c>
      <c r="H170" s="9">
        <f t="shared" si="0"/>
        <v>3.85</v>
      </c>
      <c r="I170" s="4">
        <f>F170-SUMIFS([1]Pedidos!G:G, [1]Pedidos!D:D, C170, [1]Pedidos!E:E, E170, [1]Pedidos!F:F, B170)</f>
        <v>5</v>
      </c>
    </row>
    <row r="171" spans="1:9" ht="15.75" thickBot="1">
      <c r="A171" s="4" t="s">
        <v>56</v>
      </c>
      <c r="B171" s="5" t="s">
        <v>237</v>
      </c>
      <c r="C171" s="10" t="s">
        <v>61</v>
      </c>
      <c r="D171" s="4"/>
      <c r="E171" s="11" t="s">
        <v>62</v>
      </c>
      <c r="F171" s="7">
        <v>3</v>
      </c>
      <c r="G171" s="8">
        <v>1.5</v>
      </c>
      <c r="H171" s="9">
        <f t="shared" si="0"/>
        <v>4.5</v>
      </c>
      <c r="I171" s="4">
        <f>F171-SUMIFS([1]Pedidos!G:G, [1]Pedidos!D:D, C171, [1]Pedidos!E:E, E171, [1]Pedidos!F:F, B171)</f>
        <v>3</v>
      </c>
    </row>
    <row r="172" spans="1:9" ht="15.75" thickBot="1">
      <c r="A172" s="4" t="s">
        <v>56</v>
      </c>
      <c r="B172" s="5" t="s">
        <v>238</v>
      </c>
      <c r="C172" s="4" t="s">
        <v>108</v>
      </c>
      <c r="D172" s="6" t="s">
        <v>239</v>
      </c>
      <c r="E172" s="4">
        <v>20</v>
      </c>
      <c r="F172" s="7">
        <v>1000</v>
      </c>
      <c r="G172" s="8">
        <v>27</v>
      </c>
      <c r="H172" s="9">
        <f t="shared" si="0"/>
        <v>27000</v>
      </c>
      <c r="I172" s="4">
        <f>F172-SUMIFS([1]Pedidos!G:G, [1]Pedidos!D:D, C172, [1]Pedidos!E:E, E172, [1]Pedidos!F:F, B172)</f>
        <v>1000</v>
      </c>
    </row>
    <row r="173" spans="1:9" ht="15.75" thickBot="1">
      <c r="A173" s="4" t="s">
        <v>56</v>
      </c>
      <c r="B173" s="5" t="s">
        <v>240</v>
      </c>
      <c r="C173" s="4" t="s">
        <v>58</v>
      </c>
      <c r="D173" s="4" t="s">
        <v>241</v>
      </c>
      <c r="E173" s="4">
        <v>21</v>
      </c>
      <c r="F173" s="7">
        <v>1000</v>
      </c>
      <c r="G173" s="8">
        <v>28</v>
      </c>
      <c r="H173" s="9">
        <f t="shared" si="0"/>
        <v>28000</v>
      </c>
      <c r="I173" s="4">
        <f>F173-SUMIFS([1]Pedidos!G:G, [1]Pedidos!D:D, C173, [1]Pedidos!E:E, E173, [1]Pedidos!F:F, B173)</f>
        <v>1000</v>
      </c>
    </row>
    <row r="174" spans="1:9" ht="15.75" thickBot="1">
      <c r="A174" s="4" t="s">
        <v>56</v>
      </c>
      <c r="B174" s="5" t="s">
        <v>242</v>
      </c>
      <c r="C174" s="4" t="s">
        <v>108</v>
      </c>
      <c r="D174" s="4" t="s">
        <v>243</v>
      </c>
      <c r="E174" s="4">
        <v>22</v>
      </c>
      <c r="F174" s="7">
        <v>500</v>
      </c>
      <c r="G174" s="8">
        <v>50</v>
      </c>
      <c r="H174" s="9">
        <f t="shared" si="0"/>
        <v>25000</v>
      </c>
      <c r="I174" s="4">
        <f>F174-SUMIFS([1]Pedidos!G:G, [1]Pedidos!D:D, C174, [1]Pedidos!E:E, E174, [1]Pedidos!F:F, B174)</f>
        <v>500</v>
      </c>
    </row>
    <row r="175" spans="1:9" ht="15.75" thickBot="1">
      <c r="A175" s="4" t="s">
        <v>56</v>
      </c>
      <c r="B175" s="5" t="s">
        <v>244</v>
      </c>
      <c r="C175" s="4" t="s">
        <v>108</v>
      </c>
      <c r="D175" s="4" t="s">
        <v>245</v>
      </c>
      <c r="E175" s="4">
        <v>23</v>
      </c>
      <c r="F175" s="7">
        <v>300</v>
      </c>
      <c r="G175" s="8">
        <v>125</v>
      </c>
      <c r="H175" s="9">
        <f t="shared" si="0"/>
        <v>37500</v>
      </c>
      <c r="I175" s="4">
        <f>F175-SUMIFS([1]Pedidos!G:G, [1]Pedidos!D:D, C175, [1]Pedidos!E:E, E175, [1]Pedidos!F:F, B175)</f>
        <v>270</v>
      </c>
    </row>
    <row r="176" spans="1:9" ht="15.75" thickBot="1">
      <c r="A176" s="4" t="s">
        <v>56</v>
      </c>
      <c r="B176" s="5" t="s">
        <v>246</v>
      </c>
      <c r="C176" s="10" t="s">
        <v>61</v>
      </c>
      <c r="D176" s="4"/>
      <c r="E176" s="11" t="s">
        <v>62</v>
      </c>
      <c r="F176" s="7">
        <v>7</v>
      </c>
      <c r="G176" s="8">
        <v>3.55</v>
      </c>
      <c r="H176" s="9">
        <f t="shared" si="0"/>
        <v>24.849999999999998</v>
      </c>
      <c r="I176" s="4">
        <f>F176-SUMIFS([1]Pedidos!G:G, [1]Pedidos!D:D, C176, [1]Pedidos!E:E, E176, [1]Pedidos!F:F, B176)</f>
        <v>7</v>
      </c>
    </row>
    <row r="177" spans="1:9" ht="15.75" thickBot="1">
      <c r="A177" s="4" t="s">
        <v>56</v>
      </c>
      <c r="B177" s="5" t="s">
        <v>247</v>
      </c>
      <c r="C177" s="10" t="s">
        <v>61</v>
      </c>
      <c r="D177" s="4"/>
      <c r="E177" s="11" t="s">
        <v>62</v>
      </c>
      <c r="F177" s="7">
        <v>28</v>
      </c>
      <c r="G177" s="8">
        <v>4.4000000000000004</v>
      </c>
      <c r="H177" s="9">
        <f t="shared" si="0"/>
        <v>123.20000000000002</v>
      </c>
      <c r="I177" s="4">
        <f>F177-SUMIFS([1]Pedidos!G:G, [1]Pedidos!D:D, C177, [1]Pedidos!E:E, E177, [1]Pedidos!F:F, B177)</f>
        <v>28</v>
      </c>
    </row>
    <row r="178" spans="1:9" ht="15.75" thickBot="1">
      <c r="A178" s="4" t="s">
        <v>56</v>
      </c>
      <c r="B178" s="5" t="s">
        <v>248</v>
      </c>
      <c r="C178" s="10" t="s">
        <v>61</v>
      </c>
      <c r="D178" s="4"/>
      <c r="E178" s="11" t="s">
        <v>62</v>
      </c>
      <c r="F178" s="7">
        <v>39</v>
      </c>
      <c r="G178" s="8">
        <v>1.19</v>
      </c>
      <c r="H178" s="9">
        <f t="shared" si="0"/>
        <v>46.41</v>
      </c>
      <c r="I178" s="4">
        <f>F178-SUMIFS([1]Pedidos!G:G, [1]Pedidos!D:D, C178, [1]Pedidos!E:E, E178, [1]Pedidos!F:F, B178)</f>
        <v>39</v>
      </c>
    </row>
    <row r="179" spans="1:9" ht="15.75" thickBot="1">
      <c r="A179" s="4" t="s">
        <v>56</v>
      </c>
      <c r="B179" s="5" t="s">
        <v>248</v>
      </c>
      <c r="C179" s="10" t="s">
        <v>67</v>
      </c>
      <c r="D179" s="4"/>
      <c r="E179" s="11" t="s">
        <v>62</v>
      </c>
      <c r="F179" s="7">
        <v>50</v>
      </c>
      <c r="G179" s="8">
        <v>2.2200000000000002</v>
      </c>
      <c r="H179" s="9">
        <f t="shared" si="0"/>
        <v>111.00000000000001</v>
      </c>
      <c r="I179" s="4">
        <f>F179-SUMIFS([1]Pedidos!G:G, [1]Pedidos!D:D, C179, [1]Pedidos!E:E, E179, [1]Pedidos!F:F, B179)</f>
        <v>50</v>
      </c>
    </row>
    <row r="180" spans="1:9" ht="15.75" thickBot="1">
      <c r="A180" s="4" t="s">
        <v>56</v>
      </c>
      <c r="B180" s="5" t="s">
        <v>249</v>
      </c>
      <c r="C180" s="10" t="s">
        <v>61</v>
      </c>
      <c r="D180" s="4"/>
      <c r="E180" s="11" t="s">
        <v>62</v>
      </c>
      <c r="F180" s="7">
        <v>23</v>
      </c>
      <c r="G180" s="8">
        <v>2.82</v>
      </c>
      <c r="H180" s="9">
        <f t="shared" si="0"/>
        <v>64.86</v>
      </c>
      <c r="I180" s="4">
        <f>F180-SUMIFS([1]Pedidos!G:G, [1]Pedidos!D:D, C180, [1]Pedidos!E:E, E180, [1]Pedidos!F:F, B180)</f>
        <v>23</v>
      </c>
    </row>
    <row r="181" spans="1:9" ht="15.75" thickBot="1">
      <c r="A181" s="4" t="s">
        <v>56</v>
      </c>
      <c r="B181" s="5" t="s">
        <v>250</v>
      </c>
      <c r="C181" s="10" t="s">
        <v>61</v>
      </c>
      <c r="D181" s="4"/>
      <c r="E181" s="11" t="s">
        <v>62</v>
      </c>
      <c r="F181" s="7">
        <v>35</v>
      </c>
      <c r="G181" s="8">
        <v>2.25</v>
      </c>
      <c r="H181" s="9">
        <f t="shared" si="0"/>
        <v>78.75</v>
      </c>
      <c r="I181" s="4">
        <f>F181-SUMIFS([1]Pedidos!G:G, [1]Pedidos!D:D, C181, [1]Pedidos!E:E, E181, [1]Pedidos!F:F, B181)</f>
        <v>35</v>
      </c>
    </row>
    <row r="182" spans="1:9" ht="15.75" thickBot="1">
      <c r="A182" s="4" t="s">
        <v>56</v>
      </c>
      <c r="B182" s="5" t="s">
        <v>250</v>
      </c>
      <c r="C182" s="10" t="s">
        <v>67</v>
      </c>
      <c r="D182" s="4"/>
      <c r="E182" s="11" t="s">
        <v>62</v>
      </c>
      <c r="F182" s="7">
        <v>10</v>
      </c>
      <c r="G182" s="8">
        <v>3.22</v>
      </c>
      <c r="H182" s="9">
        <f t="shared" si="0"/>
        <v>32.200000000000003</v>
      </c>
      <c r="I182" s="4">
        <f>F182-SUMIFS([1]Pedidos!G:G, [1]Pedidos!D:D, C182, [1]Pedidos!E:E, E182, [1]Pedidos!F:F, B182)</f>
        <v>10</v>
      </c>
    </row>
    <row r="183" spans="1:9" ht="15.75" thickBot="1">
      <c r="A183" s="4" t="s">
        <v>56</v>
      </c>
      <c r="B183" s="5" t="s">
        <v>250</v>
      </c>
      <c r="C183" s="10" t="s">
        <v>119</v>
      </c>
      <c r="D183" s="4"/>
      <c r="E183" s="11" t="s">
        <v>62</v>
      </c>
      <c r="F183" s="7">
        <v>40</v>
      </c>
      <c r="G183" s="8">
        <v>3.12</v>
      </c>
      <c r="H183" s="9">
        <f t="shared" si="0"/>
        <v>124.80000000000001</v>
      </c>
      <c r="I183" s="4">
        <f>F183-SUMIFS([1]Pedidos!G:G, [1]Pedidos!D:D, C183, [1]Pedidos!E:E, E183, [1]Pedidos!F:F, B183)</f>
        <v>40</v>
      </c>
    </row>
    <row r="184" spans="1:9" ht="15.75" thickBot="1">
      <c r="A184" s="4" t="s">
        <v>56</v>
      </c>
      <c r="B184" s="5" t="s">
        <v>251</v>
      </c>
      <c r="C184" s="10" t="s">
        <v>61</v>
      </c>
      <c r="D184" s="4"/>
      <c r="E184" s="11" t="s">
        <v>62</v>
      </c>
      <c r="F184" s="7">
        <v>7</v>
      </c>
      <c r="G184" s="8">
        <v>4.97</v>
      </c>
      <c r="H184" s="9">
        <f t="shared" si="0"/>
        <v>34.79</v>
      </c>
      <c r="I184" s="4">
        <f>F184-SUMIFS([1]Pedidos!G:G, [1]Pedidos!D:D, C184, [1]Pedidos!E:E, E184, [1]Pedidos!F:F, B184)</f>
        <v>7</v>
      </c>
    </row>
    <row r="185" spans="1:9" ht="15.75" thickBot="1">
      <c r="A185" s="4" t="s">
        <v>56</v>
      </c>
      <c r="B185" s="5" t="s">
        <v>252</v>
      </c>
      <c r="C185" s="10" t="s">
        <v>61</v>
      </c>
      <c r="D185" s="4"/>
      <c r="E185" s="11" t="s">
        <v>62</v>
      </c>
      <c r="F185" s="7">
        <v>1</v>
      </c>
      <c r="G185" s="8">
        <v>1.2</v>
      </c>
      <c r="H185" s="9">
        <f t="shared" si="0"/>
        <v>1.2</v>
      </c>
      <c r="I185" s="4">
        <f>F185-SUMIFS([1]Pedidos!G:G, [1]Pedidos!D:D, C185, [1]Pedidos!E:E, E185, [1]Pedidos!F:F, B185)</f>
        <v>1</v>
      </c>
    </row>
    <row r="186" spans="1:9" ht="15.75" thickBot="1">
      <c r="A186" s="4" t="s">
        <v>56</v>
      </c>
      <c r="B186" s="5" t="s">
        <v>253</v>
      </c>
      <c r="C186" s="10" t="s">
        <v>61</v>
      </c>
      <c r="D186" s="4"/>
      <c r="E186" s="11" t="s">
        <v>62</v>
      </c>
      <c r="F186" s="7">
        <v>3</v>
      </c>
      <c r="G186" s="8">
        <v>1.05</v>
      </c>
      <c r="H186" s="9">
        <f t="shared" si="0"/>
        <v>3.1500000000000004</v>
      </c>
      <c r="I186" s="4">
        <f>F186-SUMIFS([1]Pedidos!G:G, [1]Pedidos!D:D, C186, [1]Pedidos!E:E, E186, [1]Pedidos!F:F, B186)</f>
        <v>3</v>
      </c>
    </row>
    <row r="187" spans="1:9" ht="15.75" thickBot="1">
      <c r="A187" s="4" t="s">
        <v>56</v>
      </c>
      <c r="B187" s="5" t="s">
        <v>254</v>
      </c>
      <c r="C187" s="10" t="s">
        <v>61</v>
      </c>
      <c r="D187" s="4"/>
      <c r="E187" s="11" t="s">
        <v>62</v>
      </c>
      <c r="F187" s="7">
        <v>8</v>
      </c>
      <c r="G187" s="8">
        <v>1.59</v>
      </c>
      <c r="H187" s="9">
        <f t="shared" si="0"/>
        <v>12.72</v>
      </c>
      <c r="I187" s="4">
        <f>F187-SUMIFS([1]Pedidos!G:G, [1]Pedidos!D:D, C187, [1]Pedidos!E:E, E187, [1]Pedidos!F:F, B187)</f>
        <v>8</v>
      </c>
    </row>
    <row r="188" spans="1:9" ht="15.75" thickBot="1">
      <c r="A188" s="4" t="s">
        <v>56</v>
      </c>
      <c r="B188" s="5" t="s">
        <v>255</v>
      </c>
      <c r="C188" s="10" t="s">
        <v>61</v>
      </c>
      <c r="D188" s="4"/>
      <c r="E188" s="11" t="s">
        <v>62</v>
      </c>
      <c r="F188" s="7">
        <v>6</v>
      </c>
      <c r="G188" s="8">
        <v>2.13</v>
      </c>
      <c r="H188" s="9">
        <f t="shared" si="0"/>
        <v>12.78</v>
      </c>
      <c r="I188" s="4">
        <f>F188-SUMIFS([1]Pedidos!G:G, [1]Pedidos!D:D, C188, [1]Pedidos!E:E, E188, [1]Pedidos!F:F, B188)</f>
        <v>6</v>
      </c>
    </row>
    <row r="189" spans="1:9" ht="15.75" thickBot="1">
      <c r="A189" s="4" t="s">
        <v>56</v>
      </c>
      <c r="B189" s="5" t="s">
        <v>256</v>
      </c>
      <c r="C189" s="10" t="s">
        <v>61</v>
      </c>
      <c r="D189" s="4"/>
      <c r="E189" s="11" t="s">
        <v>62</v>
      </c>
      <c r="F189" s="7">
        <v>20</v>
      </c>
      <c r="G189" s="8">
        <v>2.81</v>
      </c>
      <c r="H189" s="9">
        <f t="shared" si="0"/>
        <v>56.2</v>
      </c>
      <c r="I189" s="4">
        <f>F189-SUMIFS([1]Pedidos!G:G, [1]Pedidos!D:D, C189, [1]Pedidos!E:E, E189, [1]Pedidos!F:F, B189)</f>
        <v>20</v>
      </c>
    </row>
    <row r="190" spans="1:9" ht="15.75" thickBot="1">
      <c r="A190" s="4" t="s">
        <v>56</v>
      </c>
      <c r="B190" s="5" t="s">
        <v>257</v>
      </c>
      <c r="C190" s="10" t="s">
        <v>61</v>
      </c>
      <c r="D190" s="4"/>
      <c r="E190" s="11" t="s">
        <v>62</v>
      </c>
      <c r="F190" s="7">
        <v>8</v>
      </c>
      <c r="G190" s="8">
        <v>1.53</v>
      </c>
      <c r="H190" s="9">
        <f t="shared" si="0"/>
        <v>12.24</v>
      </c>
      <c r="I190" s="4">
        <f>F190-SUMIFS([1]Pedidos!G:G, [1]Pedidos!D:D, C190, [1]Pedidos!E:E, E190, [1]Pedidos!F:F, B190)</f>
        <v>8</v>
      </c>
    </row>
    <row r="191" spans="1:9" ht="15.75" thickBot="1">
      <c r="A191" s="4" t="s">
        <v>56</v>
      </c>
      <c r="B191" s="5" t="s">
        <v>258</v>
      </c>
      <c r="C191" s="10" t="s">
        <v>61</v>
      </c>
      <c r="D191" s="4"/>
      <c r="E191" s="11" t="s">
        <v>62</v>
      </c>
      <c r="F191" s="7">
        <v>11</v>
      </c>
      <c r="G191" s="8">
        <v>9.1300000000000008</v>
      </c>
      <c r="H191" s="9">
        <f t="shared" si="0"/>
        <v>100.43</v>
      </c>
      <c r="I191" s="4">
        <f>F191-SUMIFS([1]Pedidos!G:G, [1]Pedidos!D:D, C191, [1]Pedidos!E:E, E191, [1]Pedidos!F:F, B191)</f>
        <v>11</v>
      </c>
    </row>
    <row r="192" spans="1:9" ht="15.75" thickBot="1">
      <c r="A192" s="4" t="s">
        <v>56</v>
      </c>
      <c r="B192" s="5" t="s">
        <v>259</v>
      </c>
      <c r="C192" s="10" t="s">
        <v>61</v>
      </c>
      <c r="D192" s="4"/>
      <c r="E192" s="11" t="s">
        <v>62</v>
      </c>
      <c r="F192" s="7">
        <v>8</v>
      </c>
      <c r="G192" s="8">
        <v>1</v>
      </c>
      <c r="H192" s="9">
        <f t="shared" si="0"/>
        <v>8</v>
      </c>
      <c r="I192" s="4">
        <f>F192-SUMIFS([1]Pedidos!G:G, [1]Pedidos!D:D, C192, [1]Pedidos!E:E, E192, [1]Pedidos!F:F, B192)</f>
        <v>8</v>
      </c>
    </row>
    <row r="193" spans="1:9" ht="27" thickBot="1">
      <c r="A193" s="4" t="s">
        <v>56</v>
      </c>
      <c r="B193" s="5" t="s">
        <v>260</v>
      </c>
      <c r="C193" s="4" t="s">
        <v>58</v>
      </c>
      <c r="D193" s="6" t="s">
        <v>261</v>
      </c>
      <c r="E193" s="4">
        <v>24</v>
      </c>
      <c r="F193" s="7">
        <v>1000</v>
      </c>
      <c r="G193" s="8">
        <v>38.200000000000003</v>
      </c>
      <c r="H193" s="9">
        <f t="shared" si="0"/>
        <v>38200</v>
      </c>
      <c r="I193" s="4">
        <f>F193-SUMIFS([1]Pedidos!G:G, [1]Pedidos!D:D, C193, [1]Pedidos!E:E, E193, [1]Pedidos!F:F, B193)</f>
        <v>0</v>
      </c>
    </row>
    <row r="194" spans="1:9" ht="27" thickBot="1">
      <c r="A194" s="4" t="s">
        <v>56</v>
      </c>
      <c r="B194" s="5" t="s">
        <v>262</v>
      </c>
      <c r="C194" s="4" t="s">
        <v>58</v>
      </c>
      <c r="D194" s="4" t="s">
        <v>263</v>
      </c>
      <c r="E194" s="4">
        <v>25</v>
      </c>
      <c r="F194" s="7">
        <v>1000</v>
      </c>
      <c r="G194" s="8">
        <v>56.2</v>
      </c>
      <c r="H194" s="9">
        <f t="shared" si="0"/>
        <v>56200</v>
      </c>
      <c r="I194" s="4">
        <f>F194-SUMIFS([1]Pedidos!G:G, [1]Pedidos!D:D, C194, [1]Pedidos!E:E, E194, [1]Pedidos!F:F, B194)</f>
        <v>980</v>
      </c>
    </row>
    <row r="195" spans="1:9" ht="27" thickBot="1">
      <c r="A195" s="4" t="s">
        <v>56</v>
      </c>
      <c r="B195" s="5" t="s">
        <v>264</v>
      </c>
      <c r="C195" s="4" t="s">
        <v>58</v>
      </c>
      <c r="D195" s="4" t="s">
        <v>265</v>
      </c>
      <c r="E195" s="4">
        <v>26</v>
      </c>
      <c r="F195" s="7">
        <v>1000</v>
      </c>
      <c r="G195" s="8">
        <v>138.42400000000001</v>
      </c>
      <c r="H195" s="9">
        <f t="shared" si="0"/>
        <v>138424</v>
      </c>
      <c r="I195" s="4">
        <f>F195-SUMIFS([1]Pedidos!G:G, [1]Pedidos!D:D, C195, [1]Pedidos!E:E, E195, [1]Pedidos!F:F, B195)</f>
        <v>939</v>
      </c>
    </row>
    <row r="196" spans="1:9" ht="15.75" thickBot="1">
      <c r="A196" s="4" t="s">
        <v>56</v>
      </c>
      <c r="B196" s="5" t="s">
        <v>266</v>
      </c>
      <c r="C196" s="10" t="s">
        <v>61</v>
      </c>
      <c r="D196" s="4"/>
      <c r="E196" s="11" t="s">
        <v>62</v>
      </c>
      <c r="F196" s="7">
        <v>6</v>
      </c>
      <c r="G196" s="8">
        <v>5.2</v>
      </c>
      <c r="H196" s="9">
        <f t="shared" si="0"/>
        <v>31.200000000000003</v>
      </c>
      <c r="I196" s="4">
        <f>F196-SUMIFS([1]Pedidos!G:G, [1]Pedidos!D:D, C196, [1]Pedidos!E:E, E196, [1]Pedidos!F:F, B196)</f>
        <v>6</v>
      </c>
    </row>
    <row r="197" spans="1:9" ht="15.75" thickBot="1">
      <c r="A197" s="4" t="s">
        <v>56</v>
      </c>
      <c r="B197" s="5" t="s">
        <v>267</v>
      </c>
      <c r="C197" s="10" t="s">
        <v>61</v>
      </c>
      <c r="D197" s="4"/>
      <c r="E197" s="11" t="s">
        <v>62</v>
      </c>
      <c r="F197" s="7">
        <v>33</v>
      </c>
      <c r="G197" s="8">
        <v>1.86</v>
      </c>
      <c r="H197" s="9">
        <f t="shared" si="0"/>
        <v>61.38</v>
      </c>
      <c r="I197" s="4">
        <f>F197-SUMIFS([1]Pedidos!G:G, [1]Pedidos!D:D, C197, [1]Pedidos!E:E, E197, [1]Pedidos!F:F, B197)</f>
        <v>33</v>
      </c>
    </row>
    <row r="198" spans="1:9" ht="15.75" thickBot="1">
      <c r="A198" s="4" t="s">
        <v>56</v>
      </c>
      <c r="B198" s="5" t="s">
        <v>268</v>
      </c>
      <c r="C198" s="10" t="s">
        <v>61</v>
      </c>
      <c r="D198" s="4"/>
      <c r="E198" s="11" t="s">
        <v>62</v>
      </c>
      <c r="F198" s="7">
        <v>37</v>
      </c>
      <c r="G198" s="8">
        <v>1.3</v>
      </c>
      <c r="H198" s="9">
        <f t="shared" si="0"/>
        <v>48.1</v>
      </c>
      <c r="I198" s="4">
        <f>F198-SUMIFS([1]Pedidos!G:G, [1]Pedidos!D:D, C198, [1]Pedidos!E:E, E198, [1]Pedidos!F:F, B198)</f>
        <v>37</v>
      </c>
    </row>
    <row r="199" spans="1:9" ht="15.75" thickBot="1">
      <c r="A199" s="4" t="s">
        <v>56</v>
      </c>
      <c r="B199" s="5" t="s">
        <v>269</v>
      </c>
      <c r="C199" s="10" t="s">
        <v>61</v>
      </c>
      <c r="D199" s="4"/>
      <c r="E199" s="11" t="s">
        <v>62</v>
      </c>
      <c r="F199" s="7">
        <v>23</v>
      </c>
      <c r="G199" s="8">
        <v>2.0299999999999998</v>
      </c>
      <c r="H199" s="9">
        <f t="shared" si="0"/>
        <v>46.69</v>
      </c>
      <c r="I199" s="4">
        <f>F199-SUMIFS([1]Pedidos!G:G, [1]Pedidos!D:D, C199, [1]Pedidos!E:E, E199, [1]Pedidos!F:F, B199)</f>
        <v>23</v>
      </c>
    </row>
    <row r="200" spans="1:9" ht="15.75" thickBot="1">
      <c r="A200" s="4" t="s">
        <v>56</v>
      </c>
      <c r="B200" s="5" t="s">
        <v>270</v>
      </c>
      <c r="C200" s="10" t="s">
        <v>61</v>
      </c>
      <c r="D200" s="4"/>
      <c r="E200" s="11" t="s">
        <v>62</v>
      </c>
      <c r="F200" s="7">
        <v>7</v>
      </c>
      <c r="G200" s="8">
        <v>2.67</v>
      </c>
      <c r="H200" s="9">
        <f t="shared" si="0"/>
        <v>18.689999999999998</v>
      </c>
      <c r="I200" s="4">
        <f>F200-SUMIFS([1]Pedidos!G:G, [1]Pedidos!D:D, C200, [1]Pedidos!E:E, E200, [1]Pedidos!F:F, B200)</f>
        <v>7</v>
      </c>
    </row>
    <row r="201" spans="1:9" ht="15.75" thickBot="1">
      <c r="A201" s="4" t="s">
        <v>56</v>
      </c>
      <c r="B201" s="5" t="s">
        <v>271</v>
      </c>
      <c r="C201" s="10" t="s">
        <v>61</v>
      </c>
      <c r="D201" s="4"/>
      <c r="E201" s="11" t="s">
        <v>62</v>
      </c>
      <c r="F201" s="7">
        <v>8</v>
      </c>
      <c r="G201" s="8">
        <v>15.4</v>
      </c>
      <c r="H201" s="9">
        <f t="shared" si="0"/>
        <v>123.2</v>
      </c>
      <c r="I201" s="4">
        <f>F201-SUMIFS([1]Pedidos!G:G, [1]Pedidos!D:D, C201, [1]Pedidos!E:E, E201, [1]Pedidos!F:F, B201)</f>
        <v>8</v>
      </c>
    </row>
    <row r="202" spans="1:9" ht="15.75" thickBot="1">
      <c r="A202" s="4" t="s">
        <v>56</v>
      </c>
      <c r="B202" s="5" t="s">
        <v>272</v>
      </c>
      <c r="C202" s="10" t="s">
        <v>61</v>
      </c>
      <c r="D202" s="4"/>
      <c r="E202" s="11" t="s">
        <v>62</v>
      </c>
      <c r="F202" s="7">
        <v>6</v>
      </c>
      <c r="G202" s="8">
        <v>25.3</v>
      </c>
      <c r="H202" s="9">
        <f t="shared" si="0"/>
        <v>151.80000000000001</v>
      </c>
      <c r="I202" s="4">
        <f>F202-SUMIFS([1]Pedidos!G:G, [1]Pedidos!D:D, C202, [1]Pedidos!E:E, E202, [1]Pedidos!F:F, B202)</f>
        <v>6</v>
      </c>
    </row>
    <row r="203" spans="1:9" ht="15.75" thickBot="1">
      <c r="A203" s="4" t="s">
        <v>56</v>
      </c>
      <c r="B203" s="5" t="s">
        <v>273</v>
      </c>
      <c r="C203" s="10" t="s">
        <v>61</v>
      </c>
      <c r="D203" s="4"/>
      <c r="E203" s="11" t="s">
        <v>62</v>
      </c>
      <c r="F203" s="7">
        <v>7</v>
      </c>
      <c r="G203" s="8">
        <v>56.1</v>
      </c>
      <c r="H203" s="9">
        <f t="shared" si="0"/>
        <v>392.7</v>
      </c>
      <c r="I203" s="4">
        <f>F203-SUMIFS([1]Pedidos!G:G, [1]Pedidos!D:D, C203, [1]Pedidos!E:E, E203, [1]Pedidos!F:F, B203)</f>
        <v>7</v>
      </c>
    </row>
    <row r="204" spans="1:9" ht="15.75" thickBot="1">
      <c r="A204" s="4" t="s">
        <v>56</v>
      </c>
      <c r="B204" s="5" t="s">
        <v>274</v>
      </c>
      <c r="C204" s="10" t="s">
        <v>61</v>
      </c>
      <c r="D204" s="4"/>
      <c r="E204" s="11" t="s">
        <v>62</v>
      </c>
      <c r="F204" s="7">
        <v>7</v>
      </c>
      <c r="G204" s="8">
        <v>215</v>
      </c>
      <c r="H204" s="9">
        <f t="shared" si="0"/>
        <v>1505</v>
      </c>
      <c r="I204" s="4">
        <f>F204-SUMIFS([1]Pedidos!G:G, [1]Pedidos!D:D, C204, [1]Pedidos!E:E, E204, [1]Pedidos!F:F, B204)</f>
        <v>7</v>
      </c>
    </row>
    <row r="205" spans="1:9" ht="15.75" thickBot="1">
      <c r="A205" s="4" t="s">
        <v>56</v>
      </c>
      <c r="B205" s="5" t="s">
        <v>275</v>
      </c>
      <c r="C205" s="4" t="s">
        <v>105</v>
      </c>
      <c r="D205" s="6" t="s">
        <v>173</v>
      </c>
      <c r="E205" s="4">
        <v>28</v>
      </c>
      <c r="F205" s="7">
        <v>50</v>
      </c>
      <c r="G205" s="8">
        <v>12031</v>
      </c>
      <c r="H205" s="9">
        <f t="shared" si="0"/>
        <v>601550</v>
      </c>
      <c r="I205" s="4">
        <f>F205-SUMIFS([1]Pedidos!G:G, [1]Pedidos!D:D, C205, [1]Pedidos!E:E, E205, [1]Pedidos!F:F, B205)</f>
        <v>47</v>
      </c>
    </row>
    <row r="206" spans="1:9" ht="15.75" thickBot="1">
      <c r="A206" s="4" t="s">
        <v>56</v>
      </c>
      <c r="B206" s="5" t="s">
        <v>276</v>
      </c>
      <c r="C206" s="10" t="s">
        <v>61</v>
      </c>
      <c r="D206" s="4"/>
      <c r="E206" s="11" t="s">
        <v>62</v>
      </c>
      <c r="F206" s="7">
        <v>30</v>
      </c>
      <c r="G206" s="8">
        <v>0.5</v>
      </c>
      <c r="H206" s="9">
        <f t="shared" si="0"/>
        <v>15</v>
      </c>
      <c r="I206" s="4">
        <f>F206-SUMIFS([1]Pedidos!G:G, [1]Pedidos!D:D, C206, [1]Pedidos!E:E, E206, [1]Pedidos!F:F, B206)</f>
        <v>30</v>
      </c>
    </row>
    <row r="207" spans="1:9" ht="15.75" thickBot="1">
      <c r="A207" s="4" t="s">
        <v>56</v>
      </c>
      <c r="B207" s="5" t="s">
        <v>277</v>
      </c>
      <c r="C207" s="10" t="s">
        <v>61</v>
      </c>
      <c r="D207" s="4"/>
      <c r="E207" s="11" t="s">
        <v>62</v>
      </c>
      <c r="F207" s="7">
        <v>5</v>
      </c>
      <c r="G207" s="8">
        <v>0.4</v>
      </c>
      <c r="H207" s="9">
        <f t="shared" si="0"/>
        <v>2</v>
      </c>
      <c r="I207" s="4">
        <f>F207-SUMIFS([1]Pedidos!G:G, [1]Pedidos!D:D, C207, [1]Pedidos!E:E, E207, [1]Pedidos!F:F, B207)</f>
        <v>5</v>
      </c>
    </row>
    <row r="208" spans="1:9" ht="15.75" thickBot="1">
      <c r="A208" s="4" t="s">
        <v>56</v>
      </c>
      <c r="B208" s="5" t="s">
        <v>278</v>
      </c>
      <c r="C208" s="10" t="s">
        <v>61</v>
      </c>
      <c r="D208" s="4"/>
      <c r="E208" s="11" t="s">
        <v>62</v>
      </c>
      <c r="F208" s="7">
        <v>73</v>
      </c>
      <c r="G208" s="8">
        <v>0.8</v>
      </c>
      <c r="H208" s="9">
        <f t="shared" si="0"/>
        <v>58.400000000000006</v>
      </c>
      <c r="I208" s="4">
        <f>F208-SUMIFS([1]Pedidos!G:G, [1]Pedidos!D:D, C208, [1]Pedidos!E:E, E208, [1]Pedidos!F:F, B208)</f>
        <v>73</v>
      </c>
    </row>
    <row r="209" spans="1:9" ht="15.75" thickBot="1">
      <c r="A209" s="4" t="s">
        <v>56</v>
      </c>
      <c r="B209" s="5" t="s">
        <v>279</v>
      </c>
      <c r="C209" s="10" t="s">
        <v>61</v>
      </c>
      <c r="D209" s="4"/>
      <c r="E209" s="11" t="s">
        <v>62</v>
      </c>
      <c r="F209" s="7">
        <v>3</v>
      </c>
      <c r="G209" s="8">
        <v>8.5</v>
      </c>
      <c r="H209" s="9">
        <f t="shared" si="0"/>
        <v>25.5</v>
      </c>
      <c r="I209" s="4">
        <f>F209-SUMIFS([1]Pedidos!G:G, [1]Pedidos!D:D, C209, [1]Pedidos!E:E, E209, [1]Pedidos!F:F, B209)</f>
        <v>3</v>
      </c>
    </row>
    <row r="210" spans="1:9" ht="15.75" thickBot="1">
      <c r="A210" s="4" t="s">
        <v>56</v>
      </c>
      <c r="B210" s="5" t="s">
        <v>280</v>
      </c>
      <c r="C210" s="10" t="s">
        <v>61</v>
      </c>
      <c r="D210" s="4"/>
      <c r="E210" s="11" t="s">
        <v>62</v>
      </c>
      <c r="F210" s="7">
        <v>28</v>
      </c>
      <c r="G210" s="8">
        <v>8</v>
      </c>
      <c r="H210" s="9">
        <f t="shared" si="0"/>
        <v>224</v>
      </c>
      <c r="I210" s="4">
        <f>F210-SUMIFS([1]Pedidos!G:G, [1]Pedidos!D:D, C210, [1]Pedidos!E:E, E210, [1]Pedidos!F:F, B210)</f>
        <v>28</v>
      </c>
    </row>
    <row r="211" spans="1:9" ht="15.75" thickBot="1">
      <c r="A211" s="4" t="s">
        <v>56</v>
      </c>
      <c r="B211" s="5" t="s">
        <v>281</v>
      </c>
      <c r="C211" s="10" t="s">
        <v>61</v>
      </c>
      <c r="D211" s="4"/>
      <c r="E211" s="11" t="s">
        <v>62</v>
      </c>
      <c r="F211" s="7">
        <v>3</v>
      </c>
      <c r="G211" s="8">
        <v>0.53</v>
      </c>
      <c r="H211" s="9">
        <f t="shared" si="0"/>
        <v>1.59</v>
      </c>
      <c r="I211" s="4">
        <f>F211-SUMIFS([1]Pedidos!G:G, [1]Pedidos!D:D, C211, [1]Pedidos!E:E, E211, [1]Pedidos!F:F, B211)</f>
        <v>3</v>
      </c>
    </row>
    <row r="212" spans="1:9" ht="15.75" thickBot="1">
      <c r="A212" s="4" t="s">
        <v>56</v>
      </c>
      <c r="B212" s="5" t="s">
        <v>282</v>
      </c>
      <c r="C212" s="10" t="s">
        <v>61</v>
      </c>
      <c r="D212" s="4"/>
      <c r="E212" s="11" t="s">
        <v>62</v>
      </c>
      <c r="F212" s="7">
        <v>14</v>
      </c>
      <c r="G212" s="8">
        <v>5.78</v>
      </c>
      <c r="H212" s="9">
        <f t="shared" si="0"/>
        <v>80.92</v>
      </c>
      <c r="I212" s="4">
        <f>F212-SUMIFS([1]Pedidos!G:G, [1]Pedidos!D:D, C212, [1]Pedidos!E:E, E212, [1]Pedidos!F:F, B212)</f>
        <v>14</v>
      </c>
    </row>
    <row r="213" spans="1:9" ht="15.75" thickBot="1">
      <c r="A213" s="4" t="s">
        <v>56</v>
      </c>
      <c r="B213" s="5" t="s">
        <v>282</v>
      </c>
      <c r="C213" s="10" t="s">
        <v>67</v>
      </c>
      <c r="D213" s="4"/>
      <c r="E213" s="11" t="s">
        <v>62</v>
      </c>
      <c r="F213" s="7">
        <v>12</v>
      </c>
      <c r="G213" s="8">
        <v>23</v>
      </c>
      <c r="H213" s="9">
        <f t="shared" si="0"/>
        <v>276</v>
      </c>
      <c r="I213" s="4">
        <f>F213-SUMIFS([1]Pedidos!G:G, [1]Pedidos!D:D, C213, [1]Pedidos!E:E, E213, [1]Pedidos!F:F, B213)</f>
        <v>12</v>
      </c>
    </row>
    <row r="214" spans="1:9" ht="15.75" thickBot="1">
      <c r="A214" s="4" t="s">
        <v>56</v>
      </c>
      <c r="B214" s="5" t="s">
        <v>283</v>
      </c>
      <c r="C214" s="10" t="s">
        <v>61</v>
      </c>
      <c r="D214" s="4"/>
      <c r="E214" s="11" t="s">
        <v>62</v>
      </c>
      <c r="F214" s="7">
        <v>7</v>
      </c>
      <c r="G214" s="8">
        <v>56.4</v>
      </c>
      <c r="H214" s="9">
        <f t="shared" si="0"/>
        <v>394.8</v>
      </c>
      <c r="I214" s="4">
        <f>F214-SUMIFS([1]Pedidos!G:G, [1]Pedidos!D:D, C214, [1]Pedidos!E:E, E214, [1]Pedidos!F:F, B214)</f>
        <v>7</v>
      </c>
    </row>
    <row r="215" spans="1:9" ht="15.75" thickBot="1">
      <c r="A215" s="4" t="s">
        <v>56</v>
      </c>
      <c r="B215" s="5" t="s">
        <v>284</v>
      </c>
      <c r="C215" s="10" t="s">
        <v>61</v>
      </c>
      <c r="D215" s="4"/>
      <c r="E215" s="11" t="s">
        <v>62</v>
      </c>
      <c r="F215" s="7">
        <v>13</v>
      </c>
      <c r="G215" s="8">
        <v>19</v>
      </c>
      <c r="H215" s="9">
        <f t="shared" si="0"/>
        <v>247</v>
      </c>
      <c r="I215" s="4">
        <f>F215-SUMIFS([1]Pedidos!G:G, [1]Pedidos!D:D, C215, [1]Pedidos!E:E, E215, [1]Pedidos!F:F, B215)</f>
        <v>13</v>
      </c>
    </row>
    <row r="216" spans="1:9" ht="27" thickBot="1">
      <c r="A216" s="4" t="s">
        <v>56</v>
      </c>
      <c r="B216" s="5" t="s">
        <v>285</v>
      </c>
      <c r="C216" s="4" t="s">
        <v>207</v>
      </c>
      <c r="D216" s="6" t="s">
        <v>286</v>
      </c>
      <c r="E216" s="4">
        <v>32</v>
      </c>
      <c r="F216" s="7">
        <v>30</v>
      </c>
      <c r="G216" s="8">
        <v>109847</v>
      </c>
      <c r="H216" s="9">
        <f t="shared" si="0"/>
        <v>3295410</v>
      </c>
      <c r="I216" s="4">
        <f>F216-SUMIFS([1]Pedidos!G:G, [1]Pedidos!D:D, C216, [1]Pedidos!E:E, E216, [1]Pedidos!F:F, B216)</f>
        <v>25</v>
      </c>
    </row>
    <row r="217" spans="1:9" ht="52.5" thickBot="1">
      <c r="A217" s="4" t="s">
        <v>56</v>
      </c>
      <c r="B217" s="5" t="s">
        <v>287</v>
      </c>
      <c r="C217" s="4" t="s">
        <v>207</v>
      </c>
      <c r="D217" s="4" t="s">
        <v>288</v>
      </c>
      <c r="E217" s="4">
        <v>14</v>
      </c>
      <c r="F217" s="7">
        <v>20</v>
      </c>
      <c r="G217" s="8">
        <v>41950</v>
      </c>
      <c r="H217" s="9">
        <f t="shared" si="0"/>
        <v>839000</v>
      </c>
      <c r="I217" s="4">
        <f>F217-SUMIFS([1]Pedidos!G:G, [1]Pedidos!D:D, C217, [1]Pedidos!E:E, E217, [1]Pedidos!F:F, B217)</f>
        <v>13</v>
      </c>
    </row>
    <row r="218" spans="1:9" ht="15.75" thickBot="1">
      <c r="A218" s="4" t="s">
        <v>289</v>
      </c>
      <c r="B218" s="5" t="s">
        <v>290</v>
      </c>
      <c r="C218" s="10" t="s">
        <v>61</v>
      </c>
      <c r="D218" s="4"/>
      <c r="E218" s="11" t="s">
        <v>62</v>
      </c>
      <c r="F218" s="7">
        <v>15</v>
      </c>
      <c r="G218" s="8">
        <v>7.9</v>
      </c>
      <c r="H218" s="9">
        <f t="shared" si="0"/>
        <v>118.5</v>
      </c>
      <c r="I218" s="4">
        <f>F218-SUMIFS([1]Pedidos!G:G, [1]Pedidos!D:D, C218, [1]Pedidos!E:E, E218, [1]Pedidos!F:F, B218)</f>
        <v>15</v>
      </c>
    </row>
    <row r="219" spans="1:9" ht="15.75" thickBot="1">
      <c r="A219" s="4" t="s">
        <v>289</v>
      </c>
      <c r="B219" s="5" t="s">
        <v>291</v>
      </c>
      <c r="C219" s="10" t="s">
        <v>61</v>
      </c>
      <c r="D219" s="4"/>
      <c r="E219" s="11" t="s">
        <v>62</v>
      </c>
      <c r="F219" s="7">
        <v>29</v>
      </c>
      <c r="G219" s="8">
        <v>8.8000000000000007</v>
      </c>
      <c r="H219" s="9">
        <f t="shared" si="0"/>
        <v>255.20000000000002</v>
      </c>
      <c r="I219" s="4">
        <f>F219-SUMIFS([1]Pedidos!G:G, [1]Pedidos!D:D, C219, [1]Pedidos!E:E, E219, [1]Pedidos!F:F, B219)</f>
        <v>29</v>
      </c>
    </row>
    <row r="220" spans="1:9" ht="15.75" thickBot="1">
      <c r="A220" s="4" t="s">
        <v>289</v>
      </c>
      <c r="B220" s="5" t="s">
        <v>292</v>
      </c>
      <c r="C220" s="10" t="s">
        <v>61</v>
      </c>
      <c r="D220" s="4"/>
      <c r="E220" s="11" t="s">
        <v>62</v>
      </c>
      <c r="F220" s="7">
        <v>2</v>
      </c>
      <c r="G220" s="8">
        <v>38</v>
      </c>
      <c r="H220" s="9">
        <f t="shared" si="0"/>
        <v>76</v>
      </c>
      <c r="I220" s="4">
        <f>F220-SUMIFS([1]Pedidos!G:G, [1]Pedidos!D:D, C220, [1]Pedidos!E:E, E220, [1]Pedidos!F:F, B220)</f>
        <v>2</v>
      </c>
    </row>
    <row r="221" spans="1:9" ht="15.75" thickBot="1">
      <c r="A221" s="4" t="s">
        <v>289</v>
      </c>
      <c r="B221" s="5" t="s">
        <v>293</v>
      </c>
      <c r="C221" s="10" t="s">
        <v>61</v>
      </c>
      <c r="D221" s="4"/>
      <c r="E221" s="11" t="s">
        <v>62</v>
      </c>
      <c r="F221" s="7">
        <v>153</v>
      </c>
      <c r="G221" s="8">
        <v>0.12</v>
      </c>
      <c r="H221" s="9">
        <f t="shared" si="0"/>
        <v>18.36</v>
      </c>
      <c r="I221" s="4">
        <f>F221-SUMIFS([1]Pedidos!G:G, [1]Pedidos!D:D, C221, [1]Pedidos!E:E, E221, [1]Pedidos!F:F, B221)</f>
        <v>153</v>
      </c>
    </row>
    <row r="222" spans="1:9" ht="15.75" thickBot="1">
      <c r="A222" s="4" t="s">
        <v>289</v>
      </c>
      <c r="B222" s="5" t="s">
        <v>294</v>
      </c>
      <c r="C222" s="4" t="s">
        <v>295</v>
      </c>
      <c r="D222" s="6" t="s">
        <v>296</v>
      </c>
      <c r="E222" s="4">
        <v>10</v>
      </c>
      <c r="F222" s="7">
        <v>300</v>
      </c>
      <c r="G222" s="8">
        <v>310</v>
      </c>
      <c r="H222" s="9">
        <f t="shared" si="0"/>
        <v>93000</v>
      </c>
      <c r="I222" s="4">
        <f>F222-SUMIFS([1]Pedidos!G:G, [1]Pedidos!D:D, C222, [1]Pedidos!E:E, E222, [1]Pedidos!F:F, B222)</f>
        <v>189</v>
      </c>
    </row>
    <row r="223" spans="1:9" ht="15.75" thickBot="1">
      <c r="A223" s="4" t="s">
        <v>289</v>
      </c>
      <c r="B223" s="5" t="s">
        <v>297</v>
      </c>
      <c r="C223" s="10" t="s">
        <v>61</v>
      </c>
      <c r="D223" s="4"/>
      <c r="E223" s="11" t="s">
        <v>62</v>
      </c>
      <c r="F223" s="7">
        <v>90</v>
      </c>
      <c r="G223" s="8">
        <v>687</v>
      </c>
      <c r="H223" s="9">
        <f t="shared" si="0"/>
        <v>61830</v>
      </c>
      <c r="I223" s="4">
        <f>F223-SUMIFS([1]Pedidos!G:G, [1]Pedidos!D:D, C223, [1]Pedidos!E:E, E223, [1]Pedidos!F:F, B223)</f>
        <v>90</v>
      </c>
    </row>
    <row r="224" spans="1:9" ht="15.75" thickBot="1">
      <c r="A224" s="4" t="s">
        <v>289</v>
      </c>
      <c r="B224" s="5" t="s">
        <v>298</v>
      </c>
      <c r="C224" s="10" t="s">
        <v>61</v>
      </c>
      <c r="D224" s="4"/>
      <c r="E224" s="11" t="s">
        <v>62</v>
      </c>
      <c r="F224" s="7">
        <v>1300</v>
      </c>
      <c r="G224" s="8">
        <v>3.2</v>
      </c>
      <c r="H224" s="9">
        <f t="shared" si="0"/>
        <v>4160</v>
      </c>
      <c r="I224" s="4">
        <f>F224-SUMIFS([1]Pedidos!G:G, [1]Pedidos!D:D, C224, [1]Pedidos!E:E, E224, [1]Pedidos!F:F, B224)</f>
        <v>1300</v>
      </c>
    </row>
    <row r="225" spans="1:9" ht="15.75" thickBot="1">
      <c r="A225" s="4" t="s">
        <v>289</v>
      </c>
      <c r="B225" s="5" t="s">
        <v>299</v>
      </c>
      <c r="C225" s="10" t="s">
        <v>61</v>
      </c>
      <c r="D225" s="4"/>
      <c r="E225" s="11" t="s">
        <v>62</v>
      </c>
      <c r="F225" s="7">
        <v>200</v>
      </c>
      <c r="G225" s="8">
        <v>5.1100000000000003</v>
      </c>
      <c r="H225" s="9">
        <f t="shared" si="0"/>
        <v>1022.0000000000001</v>
      </c>
      <c r="I225" s="4">
        <f>F225-SUMIFS([1]Pedidos!G:G, [1]Pedidos!D:D, C225, [1]Pedidos!E:E, E225, [1]Pedidos!F:F, B225)</f>
        <v>200</v>
      </c>
    </row>
    <row r="226" spans="1:9" ht="15.75" thickBot="1">
      <c r="A226" s="4" t="s">
        <v>289</v>
      </c>
      <c r="B226" s="5" t="s">
        <v>300</v>
      </c>
      <c r="C226" s="10" t="s">
        <v>61</v>
      </c>
      <c r="D226" s="4"/>
      <c r="E226" s="11" t="s">
        <v>62</v>
      </c>
      <c r="F226" s="7">
        <v>1400</v>
      </c>
      <c r="G226" s="8">
        <v>7.94</v>
      </c>
      <c r="H226" s="9">
        <f t="shared" si="0"/>
        <v>11116</v>
      </c>
      <c r="I226" s="4">
        <f>F226-SUMIFS([1]Pedidos!G:G, [1]Pedidos!D:D, C226, [1]Pedidos!E:E, E226, [1]Pedidos!F:F, B226)</f>
        <v>1400</v>
      </c>
    </row>
    <row r="227" spans="1:9" ht="15.75" thickBot="1">
      <c r="A227" s="4" t="s">
        <v>289</v>
      </c>
      <c r="B227" s="5" t="s">
        <v>301</v>
      </c>
      <c r="C227" s="10" t="s">
        <v>61</v>
      </c>
      <c r="D227" s="4"/>
      <c r="E227" s="11" t="s">
        <v>62</v>
      </c>
      <c r="F227" s="7">
        <v>4500</v>
      </c>
      <c r="G227" s="8">
        <v>11.708299999999999</v>
      </c>
      <c r="H227" s="9">
        <f t="shared" si="0"/>
        <v>52687.35</v>
      </c>
      <c r="I227" s="4">
        <f>F227-SUMIFS([1]Pedidos!G:G, [1]Pedidos!D:D, C227, [1]Pedidos!E:E, E227, [1]Pedidos!F:F, B227)</f>
        <v>4500</v>
      </c>
    </row>
    <row r="228" spans="1:9" ht="27" thickBot="1">
      <c r="A228" s="4" t="s">
        <v>289</v>
      </c>
      <c r="B228" s="5" t="s">
        <v>302</v>
      </c>
      <c r="C228" s="10" t="s">
        <v>61</v>
      </c>
      <c r="D228" s="4"/>
      <c r="E228" s="11" t="s">
        <v>62</v>
      </c>
      <c r="F228" s="7">
        <v>300</v>
      </c>
      <c r="G228" s="8">
        <v>8.4700000000000006</v>
      </c>
      <c r="H228" s="9">
        <f t="shared" si="0"/>
        <v>2541</v>
      </c>
      <c r="I228" s="4">
        <f>F228-SUMIFS([1]Pedidos!G:G, [1]Pedidos!D:D, C228, [1]Pedidos!E:E, E228, [1]Pedidos!F:F, B228)</f>
        <v>300</v>
      </c>
    </row>
    <row r="229" spans="1:9" ht="27" thickBot="1">
      <c r="A229" s="4" t="s">
        <v>289</v>
      </c>
      <c r="B229" s="5" t="s">
        <v>303</v>
      </c>
      <c r="C229" s="10" t="s">
        <v>61</v>
      </c>
      <c r="D229" s="4"/>
      <c r="E229" s="11" t="s">
        <v>62</v>
      </c>
      <c r="F229" s="7">
        <v>200</v>
      </c>
      <c r="G229" s="8">
        <v>143.15</v>
      </c>
      <c r="H229" s="9">
        <f t="shared" si="0"/>
        <v>28630</v>
      </c>
      <c r="I229" s="4">
        <f>F229-SUMIFS([1]Pedidos!G:G, [1]Pedidos!D:D, C229, [1]Pedidos!E:E, E229, [1]Pedidos!F:F, B229)</f>
        <v>200</v>
      </c>
    </row>
    <row r="230" spans="1:9" ht="15.75" thickBot="1">
      <c r="A230" s="4" t="s">
        <v>289</v>
      </c>
      <c r="B230" s="5" t="s">
        <v>304</v>
      </c>
      <c r="C230" s="10" t="s">
        <v>61</v>
      </c>
      <c r="D230" s="4"/>
      <c r="E230" s="11" t="s">
        <v>62</v>
      </c>
      <c r="F230" s="7">
        <v>35</v>
      </c>
      <c r="G230" s="8">
        <v>464.01</v>
      </c>
      <c r="H230" s="9">
        <f t="shared" si="0"/>
        <v>16240.35</v>
      </c>
      <c r="I230" s="4">
        <f>F230-SUMIFS([1]Pedidos!G:G, [1]Pedidos!D:D, C230, [1]Pedidos!E:E, E230, [1]Pedidos!F:F, B230)</f>
        <v>35</v>
      </c>
    </row>
    <row r="231" spans="1:9" ht="15.75" thickBot="1">
      <c r="A231" s="4" t="s">
        <v>289</v>
      </c>
      <c r="B231" s="5" t="s">
        <v>305</v>
      </c>
      <c r="C231" s="10" t="s">
        <v>61</v>
      </c>
      <c r="D231" s="4"/>
      <c r="E231" s="11" t="s">
        <v>62</v>
      </c>
      <c r="F231" s="7">
        <v>48</v>
      </c>
      <c r="G231" s="8">
        <v>0.2</v>
      </c>
      <c r="H231" s="9">
        <f t="shared" si="0"/>
        <v>9.6000000000000014</v>
      </c>
      <c r="I231" s="4">
        <f>F231-SUMIFS([1]Pedidos!G:G, [1]Pedidos!D:D, C231, [1]Pedidos!E:E, E231, [1]Pedidos!F:F, B231)</f>
        <v>48</v>
      </c>
    </row>
    <row r="232" spans="1:9" ht="15.75" thickBot="1">
      <c r="A232" s="4" t="s">
        <v>289</v>
      </c>
      <c r="B232" s="5" t="s">
        <v>306</v>
      </c>
      <c r="C232" s="10" t="s">
        <v>61</v>
      </c>
      <c r="D232" s="4"/>
      <c r="E232" s="11" t="s">
        <v>62</v>
      </c>
      <c r="F232" s="7">
        <v>2</v>
      </c>
      <c r="G232" s="8">
        <v>71.75</v>
      </c>
      <c r="H232" s="9">
        <f t="shared" si="0"/>
        <v>143.5</v>
      </c>
      <c r="I232" s="4">
        <f>F232-SUMIFS([1]Pedidos!G:G, [1]Pedidos!D:D, C232, [1]Pedidos!E:E, E232, [1]Pedidos!F:F, B232)</f>
        <v>2</v>
      </c>
    </row>
    <row r="233" spans="1:9" ht="15.75" thickBot="1">
      <c r="A233" s="4" t="s">
        <v>289</v>
      </c>
      <c r="B233" s="5" t="s">
        <v>307</v>
      </c>
      <c r="C233" s="10" t="s">
        <v>61</v>
      </c>
      <c r="D233" s="4"/>
      <c r="E233" s="11" t="s">
        <v>62</v>
      </c>
      <c r="F233" s="7">
        <v>2</v>
      </c>
      <c r="G233" s="8">
        <v>5778</v>
      </c>
      <c r="H233" s="9">
        <f t="shared" si="0"/>
        <v>11556</v>
      </c>
      <c r="I233" s="4">
        <f>F233-SUMIFS([1]Pedidos!G:G, [1]Pedidos!D:D, C233, [1]Pedidos!E:E, E233, [1]Pedidos!F:F, B233)</f>
        <v>0</v>
      </c>
    </row>
    <row r="234" spans="1:9" ht="15.75" thickBot="1">
      <c r="A234" s="4" t="s">
        <v>289</v>
      </c>
      <c r="B234" s="5" t="s">
        <v>308</v>
      </c>
      <c r="C234" s="10" t="s">
        <v>61</v>
      </c>
      <c r="D234" s="4"/>
      <c r="E234" s="11" t="s">
        <v>62</v>
      </c>
      <c r="F234" s="7">
        <v>3</v>
      </c>
      <c r="G234" s="8">
        <v>11</v>
      </c>
      <c r="H234" s="9">
        <f t="shared" si="0"/>
        <v>33</v>
      </c>
      <c r="I234" s="4">
        <f>F234-SUMIFS([1]Pedidos!G:G, [1]Pedidos!D:D, C234, [1]Pedidos!E:E, E234, [1]Pedidos!F:F, B234)</f>
        <v>3</v>
      </c>
    </row>
    <row r="235" spans="1:9" ht="27" thickBot="1">
      <c r="A235" s="4" t="s">
        <v>289</v>
      </c>
      <c r="B235" s="5" t="s">
        <v>309</v>
      </c>
      <c r="C235" s="4" t="s">
        <v>310</v>
      </c>
      <c r="D235" s="6" t="s">
        <v>311</v>
      </c>
      <c r="E235" s="4">
        <v>20</v>
      </c>
      <c r="F235" s="7">
        <v>30</v>
      </c>
      <c r="G235" s="8">
        <v>12214.68</v>
      </c>
      <c r="H235" s="9">
        <f t="shared" si="0"/>
        <v>366440.4</v>
      </c>
      <c r="I235" s="4">
        <f>F235-SUMIFS([1]Pedidos!G:G, [1]Pedidos!D:D, C235, [1]Pedidos!E:E, E235, [1]Pedidos!F:F, B235)</f>
        <v>26</v>
      </c>
    </row>
    <row r="236" spans="1:9" ht="27" thickBot="1">
      <c r="A236" s="4" t="s">
        <v>289</v>
      </c>
      <c r="B236" s="5" t="s">
        <v>312</v>
      </c>
      <c r="C236" s="4" t="s">
        <v>310</v>
      </c>
      <c r="D236" s="4" t="s">
        <v>313</v>
      </c>
      <c r="E236" s="4">
        <v>21</v>
      </c>
      <c r="F236" s="7">
        <v>20</v>
      </c>
      <c r="G236" s="8">
        <v>1748</v>
      </c>
      <c r="H236" s="9">
        <f t="shared" si="0"/>
        <v>34960</v>
      </c>
      <c r="I236" s="4">
        <f>F236-SUMIFS([1]Pedidos!G:G, [1]Pedidos!D:D, C236, [1]Pedidos!E:E, E236, [1]Pedidos!F:F, B236)</f>
        <v>10</v>
      </c>
    </row>
    <row r="237" spans="1:9" ht="15.75" thickBot="1">
      <c r="A237" s="4" t="s">
        <v>289</v>
      </c>
      <c r="B237" s="5" t="s">
        <v>314</v>
      </c>
      <c r="C237" s="4" t="s">
        <v>310</v>
      </c>
      <c r="D237" s="4" t="s">
        <v>315</v>
      </c>
      <c r="E237" s="4">
        <v>22</v>
      </c>
      <c r="F237" s="7">
        <v>500</v>
      </c>
      <c r="G237" s="8">
        <v>1670.35</v>
      </c>
      <c r="H237" s="9">
        <f t="shared" si="0"/>
        <v>835175</v>
      </c>
      <c r="I237" s="4">
        <f>F237-SUMIFS([1]Pedidos!G:G, [1]Pedidos!D:D, C237, [1]Pedidos!E:E, E237, [1]Pedidos!F:F, B237)</f>
        <v>461</v>
      </c>
    </row>
    <row r="238" spans="1:9" ht="15.75" thickBot="1">
      <c r="A238" s="4" t="s">
        <v>289</v>
      </c>
      <c r="B238" s="5" t="s">
        <v>316</v>
      </c>
      <c r="C238" s="10" t="s">
        <v>61</v>
      </c>
      <c r="D238" s="4"/>
      <c r="E238" s="11" t="s">
        <v>62</v>
      </c>
      <c r="F238" s="7">
        <v>118</v>
      </c>
      <c r="G238" s="8">
        <v>1</v>
      </c>
      <c r="H238" s="9">
        <f t="shared" si="0"/>
        <v>118</v>
      </c>
      <c r="I238" s="4">
        <f>F238-SUMIFS([1]Pedidos!G:G, [1]Pedidos!D:D, C238, [1]Pedidos!E:E, E238, [1]Pedidos!F:F, B238)</f>
        <v>118</v>
      </c>
    </row>
    <row r="239" spans="1:9" ht="15.75" thickBot="1">
      <c r="A239" s="4" t="s">
        <v>289</v>
      </c>
      <c r="B239" s="5" t="s">
        <v>317</v>
      </c>
      <c r="C239" s="10" t="s">
        <v>61</v>
      </c>
      <c r="D239" s="4"/>
      <c r="E239" s="11" t="s">
        <v>62</v>
      </c>
      <c r="F239" s="7">
        <v>5</v>
      </c>
      <c r="G239" s="8">
        <v>16</v>
      </c>
      <c r="H239" s="9">
        <f t="shared" si="0"/>
        <v>80</v>
      </c>
      <c r="I239" s="4">
        <f>F239-SUMIFS([1]Pedidos!G:G, [1]Pedidos!D:D, C239, [1]Pedidos!E:E, E239, [1]Pedidos!F:F, B239)</f>
        <v>5</v>
      </c>
    </row>
    <row r="240" spans="1:9" ht="27" thickBot="1">
      <c r="A240" s="4" t="s">
        <v>289</v>
      </c>
      <c r="B240" s="5" t="s">
        <v>318</v>
      </c>
      <c r="C240" s="4" t="s">
        <v>319</v>
      </c>
      <c r="D240" s="6" t="s">
        <v>320</v>
      </c>
      <c r="E240" s="4">
        <v>27</v>
      </c>
      <c r="F240" s="7">
        <f>10*100</f>
        <v>1000</v>
      </c>
      <c r="G240" s="8">
        <f>63485/100</f>
        <v>634.85</v>
      </c>
      <c r="H240" s="9">
        <f t="shared" si="0"/>
        <v>634850</v>
      </c>
      <c r="I240" s="4">
        <f>F240-SUMIFS([1]Pedidos!G:G, [1]Pedidos!D:D, C240, [1]Pedidos!E:E, E240, [1]Pedidos!F:F, B240)</f>
        <v>1000</v>
      </c>
    </row>
    <row r="241" spans="1:9" ht="27" thickBot="1">
      <c r="A241" s="4" t="s">
        <v>289</v>
      </c>
      <c r="B241" s="5" t="s">
        <v>318</v>
      </c>
      <c r="C241" s="4" t="s">
        <v>61</v>
      </c>
      <c r="D241" s="4" t="s">
        <v>320</v>
      </c>
      <c r="E241" s="4" t="s">
        <v>62</v>
      </c>
      <c r="F241" s="7">
        <v>1100</v>
      </c>
      <c r="G241" s="8">
        <v>69.78</v>
      </c>
      <c r="H241" s="9">
        <f t="shared" si="0"/>
        <v>76758</v>
      </c>
      <c r="I241" s="4">
        <f>F241-SUMIFS([1]Pedidos!G:G, [1]Pedidos!D:D, C241, [1]Pedidos!E:E, E241, [1]Pedidos!F:F, B241)</f>
        <v>1100</v>
      </c>
    </row>
    <row r="242" spans="1:9" ht="27" thickBot="1">
      <c r="A242" s="4" t="s">
        <v>289</v>
      </c>
      <c r="B242" s="5" t="s">
        <v>321</v>
      </c>
      <c r="C242" s="4" t="s">
        <v>319</v>
      </c>
      <c r="D242" s="4" t="s">
        <v>320</v>
      </c>
      <c r="E242" s="4">
        <v>28</v>
      </c>
      <c r="F242" s="7">
        <v>10</v>
      </c>
      <c r="G242" s="8">
        <v>63485</v>
      </c>
      <c r="H242" s="9">
        <f t="shared" si="0"/>
        <v>634850</v>
      </c>
      <c r="I242" s="4">
        <f>F242-SUMIFS([1]Pedidos!G:G, [1]Pedidos!D:D, C242, [1]Pedidos!E:E, E242, [1]Pedidos!F:F, B242)</f>
        <v>10</v>
      </c>
    </row>
    <row r="243" spans="1:9" ht="39.75" thickBot="1">
      <c r="A243" s="4" t="s">
        <v>289</v>
      </c>
      <c r="B243" s="5" t="s">
        <v>322</v>
      </c>
      <c r="C243" s="4" t="s">
        <v>319</v>
      </c>
      <c r="D243" s="4" t="s">
        <v>323</v>
      </c>
      <c r="E243" s="4">
        <v>25</v>
      </c>
      <c r="F243" s="7">
        <f>5*100</f>
        <v>500</v>
      </c>
      <c r="G243" s="8">
        <f>223855/100</f>
        <v>2238.5500000000002</v>
      </c>
      <c r="H243" s="9">
        <f t="shared" si="0"/>
        <v>1119275</v>
      </c>
      <c r="I243" s="4">
        <f>F243-SUMIFS([1]Pedidos!G:G, [1]Pedidos!D:D, C243, [1]Pedidos!E:E, E243, [1]Pedidos!F:F, B243)</f>
        <v>100</v>
      </c>
    </row>
    <row r="244" spans="1:9" ht="15.75" thickBot="1">
      <c r="A244" s="4" t="s">
        <v>289</v>
      </c>
      <c r="B244" s="5" t="s">
        <v>324</v>
      </c>
      <c r="C244" s="10" t="s">
        <v>61</v>
      </c>
      <c r="D244" s="4"/>
      <c r="E244" s="11" t="s">
        <v>62</v>
      </c>
      <c r="F244" s="7">
        <v>1</v>
      </c>
      <c r="G244" s="8">
        <v>1111</v>
      </c>
      <c r="H244" s="9">
        <f t="shared" si="0"/>
        <v>1111</v>
      </c>
      <c r="I244" s="4">
        <f>F244-SUMIFS([1]Pedidos!G:G, [1]Pedidos!D:D, C244, [1]Pedidos!E:E, E244, [1]Pedidos!F:F, B244)</f>
        <v>1</v>
      </c>
    </row>
    <row r="245" spans="1:9" ht="15.75" thickBot="1">
      <c r="A245" s="4" t="s">
        <v>289</v>
      </c>
      <c r="B245" s="5" t="s">
        <v>325</v>
      </c>
      <c r="C245" s="10" t="s">
        <v>61</v>
      </c>
      <c r="D245" s="4"/>
      <c r="E245" s="11" t="s">
        <v>62</v>
      </c>
      <c r="F245" s="7">
        <v>2</v>
      </c>
      <c r="G245" s="8">
        <v>1210</v>
      </c>
      <c r="H245" s="9">
        <f t="shared" si="0"/>
        <v>2420</v>
      </c>
      <c r="I245" s="4">
        <f>F245-SUMIFS([1]Pedidos!G:G, [1]Pedidos!D:D, C245, [1]Pedidos!E:E, E245, [1]Pedidos!F:F, B245)</f>
        <v>2</v>
      </c>
    </row>
    <row r="246" spans="1:9" ht="15.75" thickBot="1">
      <c r="A246" s="4" t="s">
        <v>289</v>
      </c>
      <c r="B246" s="5" t="s">
        <v>326</v>
      </c>
      <c r="C246" s="10" t="s">
        <v>61</v>
      </c>
      <c r="D246" s="4"/>
      <c r="E246" s="11" t="s">
        <v>62</v>
      </c>
      <c r="F246" s="7">
        <v>3</v>
      </c>
      <c r="G246" s="8">
        <v>1750</v>
      </c>
      <c r="H246" s="9">
        <f t="shared" si="0"/>
        <v>5250</v>
      </c>
      <c r="I246" s="4">
        <f>F246-SUMIFS([1]Pedidos!G:G, [1]Pedidos!D:D, C246, [1]Pedidos!E:E, E246, [1]Pedidos!F:F, B246)</f>
        <v>3</v>
      </c>
    </row>
    <row r="247" spans="1:9" ht="15.75" thickBot="1">
      <c r="A247" s="4" t="s">
        <v>289</v>
      </c>
      <c r="B247" s="5" t="s">
        <v>327</v>
      </c>
      <c r="C247" s="10" t="s">
        <v>61</v>
      </c>
      <c r="D247" s="4"/>
      <c r="E247" s="11" t="s">
        <v>62</v>
      </c>
      <c r="F247" s="7">
        <v>7</v>
      </c>
      <c r="G247" s="8">
        <v>1944</v>
      </c>
      <c r="H247" s="9">
        <f t="shared" si="0"/>
        <v>13608</v>
      </c>
      <c r="I247" s="4">
        <f>F247-SUMIFS([1]Pedidos!G:G, [1]Pedidos!D:D, C247, [1]Pedidos!E:E, E247, [1]Pedidos!F:F, B247)</f>
        <v>7</v>
      </c>
    </row>
    <row r="248" spans="1:9" ht="15.75" thickBot="1">
      <c r="A248" s="4" t="s">
        <v>289</v>
      </c>
      <c r="B248" s="5" t="s">
        <v>328</v>
      </c>
      <c r="C248" s="10" t="s">
        <v>61</v>
      </c>
      <c r="D248" s="4"/>
      <c r="E248" s="11" t="s">
        <v>62</v>
      </c>
      <c r="F248" s="7">
        <v>4</v>
      </c>
      <c r="G248" s="8">
        <v>9780.84</v>
      </c>
      <c r="H248" s="9">
        <f t="shared" si="0"/>
        <v>39123.360000000001</v>
      </c>
      <c r="I248" s="4">
        <f>F248-SUMIFS([1]Pedidos!G:G, [1]Pedidos!D:D, C248, [1]Pedidos!E:E, E248, [1]Pedidos!F:F, B248)</f>
        <v>4</v>
      </c>
    </row>
    <row r="249" spans="1:9" ht="27" thickBot="1">
      <c r="A249" s="4" t="s">
        <v>289</v>
      </c>
      <c r="B249" s="5" t="s">
        <v>329</v>
      </c>
      <c r="C249" s="4" t="s">
        <v>310</v>
      </c>
      <c r="D249" s="6" t="s">
        <v>330</v>
      </c>
      <c r="E249" s="4">
        <v>24</v>
      </c>
      <c r="F249" s="7">
        <v>6</v>
      </c>
      <c r="G249" s="8">
        <v>9780.84</v>
      </c>
      <c r="H249" s="9">
        <f t="shared" si="0"/>
        <v>58685.04</v>
      </c>
      <c r="I249" s="4">
        <f>F249-SUMIFS([1]Pedidos!G:G, [1]Pedidos!D:D, C249, [1]Pedidos!E:E, E249, [1]Pedidos!F:F, B249)</f>
        <v>6</v>
      </c>
    </row>
    <row r="250" spans="1:9" ht="15.75" thickBot="1">
      <c r="A250" s="4" t="s">
        <v>289</v>
      </c>
      <c r="B250" s="5" t="s">
        <v>331</v>
      </c>
      <c r="C250" s="10" t="s">
        <v>61</v>
      </c>
      <c r="D250" s="4"/>
      <c r="E250" s="11" t="s">
        <v>62</v>
      </c>
      <c r="F250" s="7">
        <v>17</v>
      </c>
      <c r="G250" s="8">
        <v>1488</v>
      </c>
      <c r="H250" s="9">
        <f t="shared" si="0"/>
        <v>25296</v>
      </c>
      <c r="I250" s="4">
        <f>F250-SUMIFS([1]Pedidos!G:G, [1]Pedidos!D:D, C250, [1]Pedidos!E:E, E250, [1]Pedidos!F:F, B250)</f>
        <v>17</v>
      </c>
    </row>
    <row r="251" spans="1:9" ht="15.75" thickBot="1">
      <c r="A251" s="4" t="s">
        <v>289</v>
      </c>
      <c r="B251" s="5" t="s">
        <v>332</v>
      </c>
      <c r="C251" s="10" t="s">
        <v>61</v>
      </c>
      <c r="D251" s="4"/>
      <c r="E251" s="11" t="s">
        <v>62</v>
      </c>
      <c r="F251" s="7">
        <v>1865</v>
      </c>
      <c r="G251" s="8">
        <v>0.47</v>
      </c>
      <c r="H251" s="9">
        <f t="shared" si="0"/>
        <v>876.55</v>
      </c>
      <c r="I251" s="4">
        <f>F251-SUMIFS([1]Pedidos!G:G, [1]Pedidos!D:D, C251, [1]Pedidos!E:E, E251, [1]Pedidos!F:F, B251)</f>
        <v>1865</v>
      </c>
    </row>
    <row r="252" spans="1:9" ht="27" thickBot="1">
      <c r="A252" s="4" t="s">
        <v>289</v>
      </c>
      <c r="B252" s="5" t="s">
        <v>333</v>
      </c>
      <c r="C252" s="10" t="s">
        <v>61</v>
      </c>
      <c r="D252" s="4"/>
      <c r="E252" s="11" t="s">
        <v>62</v>
      </c>
      <c r="F252" s="7">
        <v>6</v>
      </c>
      <c r="G252" s="8">
        <v>8.24</v>
      </c>
      <c r="H252" s="9">
        <f t="shared" si="0"/>
        <v>49.44</v>
      </c>
      <c r="I252" s="4">
        <f>F252-SUMIFS([1]Pedidos!G:G, [1]Pedidos!D:D, C252, [1]Pedidos!E:E, E252, [1]Pedidos!F:F, B252)</f>
        <v>6</v>
      </c>
    </row>
    <row r="253" spans="1:9" ht="15.75" thickBot="1">
      <c r="A253" s="4" t="s">
        <v>289</v>
      </c>
      <c r="B253" s="5" t="s">
        <v>334</v>
      </c>
      <c r="C253" s="10" t="s">
        <v>61</v>
      </c>
      <c r="D253" s="4"/>
      <c r="E253" s="11" t="s">
        <v>62</v>
      </c>
      <c r="F253" s="7">
        <v>19</v>
      </c>
      <c r="G253" s="8">
        <v>399</v>
      </c>
      <c r="H253" s="9">
        <f t="shared" si="0"/>
        <v>7581</v>
      </c>
      <c r="I253" s="4">
        <f>F253-SUMIFS([1]Pedidos!G:G, [1]Pedidos!D:D, C253, [1]Pedidos!E:E, E253, [1]Pedidos!F:F, B253)</f>
        <v>19</v>
      </c>
    </row>
    <row r="254" spans="1:9" ht="15.75" thickBot="1">
      <c r="A254" s="4" t="s">
        <v>289</v>
      </c>
      <c r="B254" s="5" t="s">
        <v>335</v>
      </c>
      <c r="C254" s="4" t="s">
        <v>295</v>
      </c>
      <c r="D254" s="6" t="s">
        <v>336</v>
      </c>
      <c r="E254" s="4">
        <v>15</v>
      </c>
      <c r="F254" s="7">
        <v>20</v>
      </c>
      <c r="G254" s="8">
        <v>4500</v>
      </c>
      <c r="H254" s="9">
        <f t="shared" si="0"/>
        <v>90000</v>
      </c>
      <c r="I254" s="4">
        <f>F254-SUMIFS([1]Pedidos!G:G, [1]Pedidos!D:D, C254, [1]Pedidos!E:E, E254, [1]Pedidos!F:F, B254)</f>
        <v>16</v>
      </c>
    </row>
    <row r="255" spans="1:9" ht="15.75" thickBot="1">
      <c r="A255" s="4" t="s">
        <v>289</v>
      </c>
      <c r="B255" s="5" t="s">
        <v>337</v>
      </c>
      <c r="C255" s="4" t="s">
        <v>295</v>
      </c>
      <c r="D255" s="4" t="s">
        <v>336</v>
      </c>
      <c r="E255" s="4">
        <v>16</v>
      </c>
      <c r="F255" s="7">
        <v>40</v>
      </c>
      <c r="G255" s="8">
        <v>15300</v>
      </c>
      <c r="H255" s="9">
        <f t="shared" si="0"/>
        <v>612000</v>
      </c>
      <c r="I255" s="4">
        <f>F255-SUMIFS([1]Pedidos!G:G, [1]Pedidos!D:D, C255, [1]Pedidos!E:E, E255, [1]Pedidos!F:F, B255)</f>
        <v>40</v>
      </c>
    </row>
    <row r="256" spans="1:9" ht="15.75" thickBot="1">
      <c r="A256" s="4" t="s">
        <v>289</v>
      </c>
      <c r="B256" s="5" t="s">
        <v>338</v>
      </c>
      <c r="C256" s="10" t="s">
        <v>61</v>
      </c>
      <c r="D256" s="4"/>
      <c r="E256" s="11" t="s">
        <v>62</v>
      </c>
      <c r="F256" s="7">
        <v>10</v>
      </c>
      <c r="G256" s="8">
        <v>28.5</v>
      </c>
      <c r="H256" s="9">
        <f t="shared" si="0"/>
        <v>285</v>
      </c>
      <c r="I256" s="4">
        <f>F256-SUMIFS([1]Pedidos!G:G, [1]Pedidos!D:D, C256, [1]Pedidos!E:E, E256, [1]Pedidos!F:F, B256)</f>
        <v>10</v>
      </c>
    </row>
    <row r="257" spans="1:9" ht="15.75" thickBot="1">
      <c r="A257" s="4" t="s">
        <v>289</v>
      </c>
      <c r="B257" s="5" t="s">
        <v>338</v>
      </c>
      <c r="C257" s="10" t="s">
        <v>67</v>
      </c>
      <c r="D257" s="4"/>
      <c r="E257" s="11" t="s">
        <v>62</v>
      </c>
      <c r="F257" s="7">
        <v>40</v>
      </c>
      <c r="G257" s="8">
        <v>28.95</v>
      </c>
      <c r="H257" s="9">
        <f t="shared" ref="H257:H625" si="3">F257*G257</f>
        <v>1158</v>
      </c>
      <c r="I257" s="4">
        <f>F257-SUMIFS([1]Pedidos!G:G, [1]Pedidos!D:D, C257, [1]Pedidos!E:E, E257, [1]Pedidos!F:F, B257)</f>
        <v>40</v>
      </c>
    </row>
    <row r="258" spans="1:9" ht="15.75" thickBot="1">
      <c r="A258" s="4" t="s">
        <v>289</v>
      </c>
      <c r="B258" s="5" t="s">
        <v>339</v>
      </c>
      <c r="C258" s="10" t="s">
        <v>61</v>
      </c>
      <c r="D258" s="4"/>
      <c r="E258" s="11" t="s">
        <v>62</v>
      </c>
      <c r="F258" s="7">
        <v>4</v>
      </c>
      <c r="G258" s="8">
        <v>1</v>
      </c>
      <c r="H258" s="9">
        <f t="shared" si="3"/>
        <v>4</v>
      </c>
      <c r="I258" s="4">
        <f>F258-SUMIFS([1]Pedidos!G:G, [1]Pedidos!D:D, C258, [1]Pedidos!E:E, E258, [1]Pedidos!F:F, B258)</f>
        <v>4</v>
      </c>
    </row>
    <row r="259" spans="1:9" ht="15.75" thickBot="1">
      <c r="A259" s="4" t="s">
        <v>289</v>
      </c>
      <c r="B259" s="5" t="s">
        <v>339</v>
      </c>
      <c r="C259" s="10" t="s">
        <v>67</v>
      </c>
      <c r="D259" s="4"/>
      <c r="E259" s="11" t="s">
        <v>62</v>
      </c>
      <c r="F259" s="7">
        <v>15</v>
      </c>
      <c r="G259" s="8">
        <v>121.7</v>
      </c>
      <c r="H259" s="9">
        <f t="shared" si="3"/>
        <v>1825.5</v>
      </c>
      <c r="I259" s="4">
        <f>F259-SUMIFS([1]Pedidos!G:G, [1]Pedidos!D:D, C259, [1]Pedidos!E:E, E259, [1]Pedidos!F:F, B259)</f>
        <v>15</v>
      </c>
    </row>
    <row r="260" spans="1:9" ht="15.75" thickBot="1">
      <c r="A260" s="4" t="s">
        <v>289</v>
      </c>
      <c r="B260" s="5" t="s">
        <v>340</v>
      </c>
      <c r="C260" s="10" t="s">
        <v>61</v>
      </c>
      <c r="D260" s="4"/>
      <c r="E260" s="11" t="s">
        <v>62</v>
      </c>
      <c r="F260" s="7">
        <v>85</v>
      </c>
      <c r="G260" s="8">
        <v>1.7</v>
      </c>
      <c r="H260" s="9">
        <f t="shared" si="3"/>
        <v>144.5</v>
      </c>
      <c r="I260" s="4">
        <f>F260-SUMIFS([1]Pedidos!G:G, [1]Pedidos!D:D, C260, [1]Pedidos!E:E, E260, [1]Pedidos!F:F, B260)</f>
        <v>85</v>
      </c>
    </row>
    <row r="261" spans="1:9" ht="15.75" thickBot="1">
      <c r="A261" s="4" t="s">
        <v>289</v>
      </c>
      <c r="B261" s="5" t="s">
        <v>340</v>
      </c>
      <c r="C261" s="10" t="s">
        <v>67</v>
      </c>
      <c r="D261" s="4"/>
      <c r="E261" s="11" t="s">
        <v>62</v>
      </c>
      <c r="F261" s="7">
        <v>50</v>
      </c>
      <c r="G261" s="8">
        <v>4.28</v>
      </c>
      <c r="H261" s="9">
        <f t="shared" si="3"/>
        <v>214</v>
      </c>
      <c r="I261" s="4">
        <f>F261-SUMIFS([1]Pedidos!G:G, [1]Pedidos!D:D, C261, [1]Pedidos!E:E, E261, [1]Pedidos!F:F, B261)</f>
        <v>50</v>
      </c>
    </row>
    <row r="262" spans="1:9" ht="15.75" thickBot="1">
      <c r="A262" s="4" t="s">
        <v>289</v>
      </c>
      <c r="B262" s="5" t="s">
        <v>340</v>
      </c>
      <c r="C262" s="10" t="s">
        <v>119</v>
      </c>
      <c r="D262" s="4"/>
      <c r="E262" s="11" t="s">
        <v>62</v>
      </c>
      <c r="F262" s="7">
        <v>10</v>
      </c>
      <c r="G262" s="8">
        <v>14.8</v>
      </c>
      <c r="H262" s="9">
        <f t="shared" si="3"/>
        <v>148</v>
      </c>
      <c r="I262" s="4">
        <f>F262-SUMIFS([1]Pedidos!G:G, [1]Pedidos!D:D, C262, [1]Pedidos!E:E, E262, [1]Pedidos!F:F, B262)</f>
        <v>10</v>
      </c>
    </row>
    <row r="263" spans="1:9" ht="15.75" thickBot="1">
      <c r="A263" s="4" t="s">
        <v>289</v>
      </c>
      <c r="B263" s="5" t="s">
        <v>340</v>
      </c>
      <c r="C263" s="10" t="s">
        <v>341</v>
      </c>
      <c r="D263" s="4"/>
      <c r="E263" s="11" t="s">
        <v>62</v>
      </c>
      <c r="F263" s="7">
        <v>15</v>
      </c>
      <c r="G263" s="8">
        <v>13.8</v>
      </c>
      <c r="H263" s="9">
        <f t="shared" si="3"/>
        <v>207</v>
      </c>
      <c r="I263" s="4">
        <f>F263-SUMIFS([1]Pedidos!G:G, [1]Pedidos!D:D, C263, [1]Pedidos!E:E, E263, [1]Pedidos!F:F, B263)</f>
        <v>15</v>
      </c>
    </row>
    <row r="264" spans="1:9" ht="15.75" thickBot="1">
      <c r="A264" s="4" t="s">
        <v>289</v>
      </c>
      <c r="B264" s="5" t="s">
        <v>342</v>
      </c>
      <c r="C264" s="10" t="s">
        <v>61</v>
      </c>
      <c r="D264" s="4"/>
      <c r="E264" s="11" t="s">
        <v>62</v>
      </c>
      <c r="F264" s="7">
        <v>119</v>
      </c>
      <c r="G264" s="8">
        <v>1.92</v>
      </c>
      <c r="H264" s="9">
        <f t="shared" si="3"/>
        <v>228.48</v>
      </c>
      <c r="I264" s="4">
        <f>F264-SUMIFS([1]Pedidos!G:G, [1]Pedidos!D:D, C264, [1]Pedidos!E:E, E264, [1]Pedidos!F:F, B264)</f>
        <v>118</v>
      </c>
    </row>
    <row r="265" spans="1:9" ht="15.75" thickBot="1">
      <c r="A265" s="4" t="s">
        <v>289</v>
      </c>
      <c r="B265" s="5" t="s">
        <v>342</v>
      </c>
      <c r="C265" s="10" t="s">
        <v>67</v>
      </c>
      <c r="D265" s="4"/>
      <c r="E265" s="11" t="s">
        <v>62</v>
      </c>
      <c r="F265" s="7">
        <v>100</v>
      </c>
      <c r="G265" s="8">
        <v>1.74</v>
      </c>
      <c r="H265" s="9">
        <f t="shared" si="3"/>
        <v>174</v>
      </c>
      <c r="I265" s="4">
        <f>F265-SUMIFS([1]Pedidos!G:G, [1]Pedidos!D:D, C265, [1]Pedidos!E:E, E265, [1]Pedidos!F:F, B265)</f>
        <v>100</v>
      </c>
    </row>
    <row r="266" spans="1:9" ht="15.75" thickBot="1">
      <c r="A266" s="4" t="s">
        <v>289</v>
      </c>
      <c r="B266" s="5" t="s">
        <v>342</v>
      </c>
      <c r="C266" s="10" t="s">
        <v>119</v>
      </c>
      <c r="D266" s="4"/>
      <c r="E266" s="11" t="s">
        <v>62</v>
      </c>
      <c r="F266" s="7">
        <v>60</v>
      </c>
      <c r="G266" s="8">
        <v>7.2</v>
      </c>
      <c r="H266" s="9">
        <f t="shared" si="3"/>
        <v>432</v>
      </c>
      <c r="I266" s="4">
        <f>F266-SUMIFS([1]Pedidos!G:G, [1]Pedidos!D:D, C266, [1]Pedidos!E:E, E266, [1]Pedidos!F:F, B266)</f>
        <v>60</v>
      </c>
    </row>
    <row r="267" spans="1:9" ht="15.75" thickBot="1">
      <c r="A267" s="4" t="s">
        <v>289</v>
      </c>
      <c r="B267" s="5" t="s">
        <v>343</v>
      </c>
      <c r="C267" s="10" t="s">
        <v>61</v>
      </c>
      <c r="D267" s="4"/>
      <c r="E267" s="11" t="s">
        <v>62</v>
      </c>
      <c r="F267" s="7">
        <v>46</v>
      </c>
      <c r="G267" s="8">
        <v>4.0999999999999996</v>
      </c>
      <c r="H267" s="9">
        <f t="shared" si="3"/>
        <v>188.6</v>
      </c>
      <c r="I267" s="4">
        <f>F267-SUMIFS([1]Pedidos!G:G, [1]Pedidos!D:D, C267, [1]Pedidos!E:E, E267, [1]Pedidos!F:F, B267)</f>
        <v>46</v>
      </c>
    </row>
    <row r="268" spans="1:9" ht="15.75" thickBot="1">
      <c r="A268" s="4" t="s">
        <v>289</v>
      </c>
      <c r="B268" s="5" t="s">
        <v>343</v>
      </c>
      <c r="C268" s="10" t="s">
        <v>67</v>
      </c>
      <c r="D268" s="4"/>
      <c r="E268" s="11" t="s">
        <v>62</v>
      </c>
      <c r="F268" s="7">
        <v>10</v>
      </c>
      <c r="G268" s="8">
        <v>8.5</v>
      </c>
      <c r="H268" s="9">
        <f t="shared" si="3"/>
        <v>85</v>
      </c>
      <c r="I268" s="4">
        <f>F268-SUMIFS([1]Pedidos!G:G, [1]Pedidos!D:D, C268, [1]Pedidos!E:E, E268, [1]Pedidos!F:F, B268)</f>
        <v>10</v>
      </c>
    </row>
    <row r="269" spans="1:9" ht="15.75" thickBot="1">
      <c r="A269" s="4" t="s">
        <v>289</v>
      </c>
      <c r="B269" s="5" t="s">
        <v>343</v>
      </c>
      <c r="C269" s="10" t="s">
        <v>119</v>
      </c>
      <c r="D269" s="4"/>
      <c r="E269" s="11" t="s">
        <v>62</v>
      </c>
      <c r="F269" s="7">
        <v>6</v>
      </c>
      <c r="G269" s="8">
        <v>14.8</v>
      </c>
      <c r="H269" s="9">
        <f t="shared" si="3"/>
        <v>88.800000000000011</v>
      </c>
      <c r="I269" s="4">
        <f>F269-SUMIFS([1]Pedidos!G:G, [1]Pedidos!D:D, C269, [1]Pedidos!E:E, E269, [1]Pedidos!F:F, B269)</f>
        <v>6</v>
      </c>
    </row>
    <row r="270" spans="1:9" ht="15.75" thickBot="1">
      <c r="A270" s="4" t="s">
        <v>289</v>
      </c>
      <c r="B270" s="5" t="s">
        <v>344</v>
      </c>
      <c r="C270" s="10" t="s">
        <v>61</v>
      </c>
      <c r="D270" s="4"/>
      <c r="E270" s="11" t="s">
        <v>62</v>
      </c>
      <c r="F270" s="7">
        <v>4</v>
      </c>
      <c r="G270" s="8">
        <v>1</v>
      </c>
      <c r="H270" s="9">
        <f t="shared" si="3"/>
        <v>4</v>
      </c>
      <c r="I270" s="4">
        <f>F270-SUMIFS([1]Pedidos!G:G, [1]Pedidos!D:D, C270, [1]Pedidos!E:E, E270, [1]Pedidos!F:F, B270)</f>
        <v>4</v>
      </c>
    </row>
    <row r="271" spans="1:9" ht="15.75" thickBot="1">
      <c r="A271" s="4" t="s">
        <v>289</v>
      </c>
      <c r="B271" s="5" t="s">
        <v>345</v>
      </c>
      <c r="C271" s="4" t="s">
        <v>310</v>
      </c>
      <c r="D271" s="6" t="s">
        <v>346</v>
      </c>
      <c r="E271" s="4">
        <v>2</v>
      </c>
      <c r="F271" s="7">
        <v>800</v>
      </c>
      <c r="G271" s="8">
        <v>779.65</v>
      </c>
      <c r="H271" s="9">
        <f t="shared" si="3"/>
        <v>623720</v>
      </c>
      <c r="I271" s="4">
        <f>F271-SUMIFS([1]Pedidos!G:G, [1]Pedidos!D:D, C271, [1]Pedidos!E:E, E271, [1]Pedidos!F:F, B271)</f>
        <v>570</v>
      </c>
    </row>
    <row r="272" spans="1:9" ht="15.75" thickBot="1">
      <c r="A272" s="4" t="s">
        <v>289</v>
      </c>
      <c r="B272" s="5" t="s">
        <v>347</v>
      </c>
      <c r="C272" s="4" t="s">
        <v>310</v>
      </c>
      <c r="D272" s="4" t="s">
        <v>348</v>
      </c>
      <c r="E272" s="4">
        <v>3</v>
      </c>
      <c r="F272" s="7">
        <v>200</v>
      </c>
      <c r="G272" s="8">
        <v>677.96</v>
      </c>
      <c r="H272" s="9">
        <f t="shared" si="3"/>
        <v>135592</v>
      </c>
      <c r="I272" s="4">
        <f>F272-SUMIFS([1]Pedidos!G:G, [1]Pedidos!D:D, C272, [1]Pedidos!E:E, E272, [1]Pedidos!F:F, B272)</f>
        <v>169</v>
      </c>
    </row>
    <row r="273" spans="1:9" ht="15.75" thickBot="1">
      <c r="A273" s="4" t="s">
        <v>289</v>
      </c>
      <c r="B273" s="5" t="s">
        <v>349</v>
      </c>
      <c r="C273" s="10" t="s">
        <v>61</v>
      </c>
      <c r="D273" s="4"/>
      <c r="E273" s="11" t="s">
        <v>62</v>
      </c>
      <c r="F273" s="7">
        <v>8</v>
      </c>
      <c r="G273" s="8">
        <v>887</v>
      </c>
      <c r="H273" s="9">
        <f t="shared" si="3"/>
        <v>7096</v>
      </c>
      <c r="I273" s="4">
        <f>F273-SUMIFS([1]Pedidos!G:G, [1]Pedidos!D:D, C273, [1]Pedidos!E:E, E273, [1]Pedidos!F:F, B273)</f>
        <v>8</v>
      </c>
    </row>
    <row r="274" spans="1:9" ht="15.75" thickBot="1">
      <c r="A274" s="4" t="s">
        <v>289</v>
      </c>
      <c r="B274" s="5" t="s">
        <v>350</v>
      </c>
      <c r="C274" s="10" t="s">
        <v>61</v>
      </c>
      <c r="D274" s="4"/>
      <c r="E274" s="11" t="s">
        <v>62</v>
      </c>
      <c r="F274" s="7">
        <v>11</v>
      </c>
      <c r="G274" s="8">
        <v>188</v>
      </c>
      <c r="H274" s="9">
        <f t="shared" si="3"/>
        <v>2068</v>
      </c>
      <c r="I274" s="4">
        <f>F274-SUMIFS([1]Pedidos!G:G, [1]Pedidos!D:D, C274, [1]Pedidos!E:E, E274, [1]Pedidos!F:F, B274)</f>
        <v>10</v>
      </c>
    </row>
    <row r="275" spans="1:9" ht="15.75" thickBot="1">
      <c r="A275" s="4" t="s">
        <v>289</v>
      </c>
      <c r="B275" s="5" t="s">
        <v>351</v>
      </c>
      <c r="C275" s="10" t="s">
        <v>61</v>
      </c>
      <c r="D275" s="4"/>
      <c r="E275" s="11" t="s">
        <v>62</v>
      </c>
      <c r="F275" s="7">
        <v>10</v>
      </c>
      <c r="G275" s="8">
        <v>66.5</v>
      </c>
      <c r="H275" s="9">
        <f t="shared" si="3"/>
        <v>665</v>
      </c>
      <c r="I275" s="4">
        <f>F275-SUMIFS([1]Pedidos!G:G, [1]Pedidos!D:D, C275, [1]Pedidos!E:E, E275, [1]Pedidos!F:F, B275)</f>
        <v>10</v>
      </c>
    </row>
    <row r="276" spans="1:9" ht="15.75" thickBot="1">
      <c r="A276" s="4" t="s">
        <v>289</v>
      </c>
      <c r="B276" s="5" t="s">
        <v>351</v>
      </c>
      <c r="C276" s="10" t="s">
        <v>67</v>
      </c>
      <c r="D276" s="4"/>
      <c r="E276" s="11" t="s">
        <v>62</v>
      </c>
      <c r="F276" s="7">
        <v>4</v>
      </c>
      <c r="G276" s="8">
        <v>255</v>
      </c>
      <c r="H276" s="9">
        <f t="shared" si="3"/>
        <v>1020</v>
      </c>
      <c r="I276" s="4">
        <f>F276-SUMIFS([1]Pedidos!G:G, [1]Pedidos!D:D, C276, [1]Pedidos!E:E, E276, [1]Pedidos!F:F, B276)</f>
        <v>4</v>
      </c>
    </row>
    <row r="277" spans="1:9" ht="15.75" thickBot="1">
      <c r="A277" s="4" t="s">
        <v>289</v>
      </c>
      <c r="B277" s="5" t="s">
        <v>352</v>
      </c>
      <c r="C277" s="10" t="s">
        <v>61</v>
      </c>
      <c r="D277" s="4"/>
      <c r="E277" s="11" t="s">
        <v>62</v>
      </c>
      <c r="F277" s="7">
        <v>23</v>
      </c>
      <c r="G277" s="8">
        <v>327</v>
      </c>
      <c r="H277" s="9">
        <f t="shared" si="3"/>
        <v>7521</v>
      </c>
      <c r="I277" s="4">
        <f>F277-SUMIFS([1]Pedidos!G:G, [1]Pedidos!D:D, C277, [1]Pedidos!E:E, E277, [1]Pedidos!F:F, B277)</f>
        <v>23</v>
      </c>
    </row>
    <row r="278" spans="1:9" ht="15.75" thickBot="1">
      <c r="A278" s="4" t="s">
        <v>289</v>
      </c>
      <c r="B278" s="5" t="s">
        <v>353</v>
      </c>
      <c r="C278" s="10" t="s">
        <v>61</v>
      </c>
      <c r="D278" s="4"/>
      <c r="E278" s="11" t="s">
        <v>62</v>
      </c>
      <c r="F278" s="7">
        <v>4</v>
      </c>
      <c r="G278" s="8">
        <v>165</v>
      </c>
      <c r="H278" s="9">
        <f t="shared" si="3"/>
        <v>660</v>
      </c>
      <c r="I278" s="4">
        <f>F278-SUMIFS([1]Pedidos!G:G, [1]Pedidos!D:D, C278, [1]Pedidos!E:E, E278, [1]Pedidos!F:F, B278)</f>
        <v>4</v>
      </c>
    </row>
    <row r="279" spans="1:9" ht="15.75" thickBot="1">
      <c r="A279" s="4" t="s">
        <v>289</v>
      </c>
      <c r="B279" s="5" t="s">
        <v>353</v>
      </c>
      <c r="C279" s="10" t="s">
        <v>67</v>
      </c>
      <c r="D279" s="4"/>
      <c r="E279" s="11" t="s">
        <v>62</v>
      </c>
      <c r="F279" s="7">
        <v>10</v>
      </c>
      <c r="G279" s="8">
        <v>66.5</v>
      </c>
      <c r="H279" s="9">
        <f t="shared" si="3"/>
        <v>665</v>
      </c>
      <c r="I279" s="4">
        <f>F279-SUMIFS([1]Pedidos!G:G, [1]Pedidos!D:D, C279, [1]Pedidos!E:E, E279, [1]Pedidos!F:F, B279)</f>
        <v>10</v>
      </c>
    </row>
    <row r="280" spans="1:9" ht="15.75" thickBot="1">
      <c r="A280" s="4" t="s">
        <v>289</v>
      </c>
      <c r="B280" s="5" t="s">
        <v>353</v>
      </c>
      <c r="C280" s="10" t="s">
        <v>119</v>
      </c>
      <c r="D280" s="4"/>
      <c r="E280" s="11" t="s">
        <v>62</v>
      </c>
      <c r="F280" s="7">
        <v>10</v>
      </c>
      <c r="G280" s="8">
        <v>333</v>
      </c>
      <c r="H280" s="9">
        <f t="shared" si="3"/>
        <v>3330</v>
      </c>
      <c r="I280" s="4">
        <f>F280-SUMIFS([1]Pedidos!G:G, [1]Pedidos!D:D, C280, [1]Pedidos!E:E, E280, [1]Pedidos!F:F, B280)</f>
        <v>10</v>
      </c>
    </row>
    <row r="281" spans="1:9" ht="15.75" thickBot="1">
      <c r="A281" s="4" t="s">
        <v>289</v>
      </c>
      <c r="B281" s="5" t="s">
        <v>354</v>
      </c>
      <c r="C281" s="10" t="s">
        <v>61</v>
      </c>
      <c r="D281" s="4"/>
      <c r="E281" s="11" t="s">
        <v>62</v>
      </c>
      <c r="F281" s="7">
        <v>5</v>
      </c>
      <c r="G281" s="8">
        <v>165</v>
      </c>
      <c r="H281" s="9">
        <f t="shared" si="3"/>
        <v>825</v>
      </c>
      <c r="I281" s="4">
        <f>F281-SUMIFS([1]Pedidos!G:G, [1]Pedidos!D:D, C281, [1]Pedidos!E:E, E281, [1]Pedidos!F:F, B281)</f>
        <v>4</v>
      </c>
    </row>
    <row r="282" spans="1:9" ht="15.75" thickBot="1">
      <c r="A282" s="4" t="s">
        <v>289</v>
      </c>
      <c r="B282" s="5" t="s">
        <v>354</v>
      </c>
      <c r="C282" s="10" t="s">
        <v>67</v>
      </c>
      <c r="D282" s="4"/>
      <c r="E282" s="11" t="s">
        <v>62</v>
      </c>
      <c r="F282" s="7">
        <v>30</v>
      </c>
      <c r="G282" s="8">
        <v>66.5</v>
      </c>
      <c r="H282" s="9">
        <f t="shared" si="3"/>
        <v>1995</v>
      </c>
      <c r="I282" s="4">
        <f>F282-SUMIFS([1]Pedidos!G:G, [1]Pedidos!D:D, C282, [1]Pedidos!E:E, E282, [1]Pedidos!F:F, B282)</f>
        <v>30</v>
      </c>
    </row>
    <row r="283" spans="1:9" ht="15.75" thickBot="1">
      <c r="A283" s="4" t="s">
        <v>289</v>
      </c>
      <c r="B283" s="5" t="s">
        <v>354</v>
      </c>
      <c r="C283" s="10" t="s">
        <v>119</v>
      </c>
      <c r="D283" s="4"/>
      <c r="E283" s="11" t="s">
        <v>62</v>
      </c>
      <c r="F283" s="7">
        <v>10</v>
      </c>
      <c r="G283" s="8">
        <v>330</v>
      </c>
      <c r="H283" s="9">
        <f t="shared" si="3"/>
        <v>3300</v>
      </c>
      <c r="I283" s="4">
        <f>F283-SUMIFS([1]Pedidos!G:G, [1]Pedidos!D:D, C283, [1]Pedidos!E:E, E283, [1]Pedidos!F:F, B283)</f>
        <v>10</v>
      </c>
    </row>
    <row r="284" spans="1:9" ht="15.75" thickBot="1">
      <c r="A284" s="4" t="s">
        <v>289</v>
      </c>
      <c r="B284" s="5" t="s">
        <v>355</v>
      </c>
      <c r="C284" s="10" t="s">
        <v>61</v>
      </c>
      <c r="D284" s="4"/>
      <c r="E284" s="11" t="s">
        <v>62</v>
      </c>
      <c r="F284" s="7">
        <v>3</v>
      </c>
      <c r="G284" s="8">
        <v>1480</v>
      </c>
      <c r="H284" s="9">
        <f t="shared" si="3"/>
        <v>4440</v>
      </c>
      <c r="I284" s="4">
        <f>F284-SUMIFS([1]Pedidos!G:G, [1]Pedidos!D:D, C284, [1]Pedidos!E:E, E284, [1]Pedidos!F:F, B284)</f>
        <v>3</v>
      </c>
    </row>
    <row r="285" spans="1:9" ht="15.75" thickBot="1">
      <c r="A285" s="4" t="s">
        <v>289</v>
      </c>
      <c r="B285" s="5" t="s">
        <v>356</v>
      </c>
      <c r="C285" s="10" t="s">
        <v>61</v>
      </c>
      <c r="D285" s="4"/>
      <c r="E285" s="11" t="s">
        <v>62</v>
      </c>
      <c r="F285" s="7">
        <v>3</v>
      </c>
      <c r="G285" s="8">
        <v>1.3</v>
      </c>
      <c r="H285" s="9">
        <f t="shared" si="3"/>
        <v>3.9000000000000004</v>
      </c>
      <c r="I285" s="4">
        <f>F285-SUMIFS([1]Pedidos!G:G, [1]Pedidos!D:D, C285, [1]Pedidos!E:E, E285, [1]Pedidos!F:F, B285)</f>
        <v>3</v>
      </c>
    </row>
    <row r="286" spans="1:9" ht="15.75" thickBot="1">
      <c r="A286" s="4" t="s">
        <v>289</v>
      </c>
      <c r="B286" s="5" t="s">
        <v>357</v>
      </c>
      <c r="C286" s="10" t="s">
        <v>61</v>
      </c>
      <c r="D286" s="4"/>
      <c r="E286" s="11" t="s">
        <v>62</v>
      </c>
      <c r="F286" s="7">
        <v>10</v>
      </c>
      <c r="G286" s="8">
        <v>19.8</v>
      </c>
      <c r="H286" s="9">
        <f t="shared" si="3"/>
        <v>198</v>
      </c>
      <c r="I286" s="4">
        <f>F286-SUMIFS([1]Pedidos!G:G, [1]Pedidos!D:D, C286, [1]Pedidos!E:E, E286, [1]Pedidos!F:F, B286)</f>
        <v>10</v>
      </c>
    </row>
    <row r="287" spans="1:9" ht="15.75" thickBot="1">
      <c r="A287" s="4" t="s">
        <v>289</v>
      </c>
      <c r="B287" s="5" t="s">
        <v>357</v>
      </c>
      <c r="C287" s="10" t="s">
        <v>67</v>
      </c>
      <c r="D287" s="4"/>
      <c r="E287" s="11" t="s">
        <v>62</v>
      </c>
      <c r="F287" s="7">
        <v>60</v>
      </c>
      <c r="G287" s="8">
        <v>6.35</v>
      </c>
      <c r="H287" s="9">
        <f t="shared" si="3"/>
        <v>381</v>
      </c>
      <c r="I287" s="4">
        <f>F287-SUMIFS([1]Pedidos!G:G, [1]Pedidos!D:D, C287, [1]Pedidos!E:E, E287, [1]Pedidos!F:F, B287)</f>
        <v>60</v>
      </c>
    </row>
    <row r="288" spans="1:9" ht="15.75" thickBot="1">
      <c r="A288" s="4" t="s">
        <v>289</v>
      </c>
      <c r="B288" s="5" t="s">
        <v>358</v>
      </c>
      <c r="C288" s="4" t="s">
        <v>295</v>
      </c>
      <c r="D288" s="6" t="s">
        <v>359</v>
      </c>
      <c r="E288" s="4">
        <v>9</v>
      </c>
      <c r="F288" s="7">
        <v>400</v>
      </c>
      <c r="G288" s="8">
        <v>2735</v>
      </c>
      <c r="H288" s="9">
        <f t="shared" si="3"/>
        <v>1094000</v>
      </c>
      <c r="I288" s="4">
        <f>F288-SUMIFS([1]Pedidos!G:G, [1]Pedidos!D:D, C288, [1]Pedidos!E:E, E288, [1]Pedidos!F:F, B288)</f>
        <v>383</v>
      </c>
    </row>
    <row r="289" spans="1:9" ht="15.75" thickBot="1">
      <c r="A289" s="4" t="s">
        <v>289</v>
      </c>
      <c r="B289" s="5" t="s">
        <v>360</v>
      </c>
      <c r="C289" s="4" t="s">
        <v>295</v>
      </c>
      <c r="D289" s="4" t="s">
        <v>361</v>
      </c>
      <c r="E289" s="4">
        <v>12</v>
      </c>
      <c r="F289" s="7">
        <v>50</v>
      </c>
      <c r="G289" s="8">
        <v>530</v>
      </c>
      <c r="H289" s="9">
        <f t="shared" si="3"/>
        <v>26500</v>
      </c>
      <c r="I289" s="4">
        <f>F289-SUMIFS([1]Pedidos!G:G, [1]Pedidos!D:D, C289, [1]Pedidos!E:E, E289, [1]Pedidos!F:F, B289)</f>
        <v>18</v>
      </c>
    </row>
    <row r="290" spans="1:9" ht="15.75" thickBot="1">
      <c r="A290" s="4" t="s">
        <v>289</v>
      </c>
      <c r="B290" s="5" t="s">
        <v>362</v>
      </c>
      <c r="C290" s="10" t="s">
        <v>61</v>
      </c>
      <c r="D290" s="4"/>
      <c r="E290" s="11" t="s">
        <v>62</v>
      </c>
      <c r="F290" s="7">
        <v>308</v>
      </c>
      <c r="G290" s="8">
        <v>2735</v>
      </c>
      <c r="H290" s="9">
        <f t="shared" si="3"/>
        <v>842380</v>
      </c>
      <c r="I290" s="4">
        <f>F290-SUMIFS([1]Pedidos!G:G, [1]Pedidos!D:D, C290, [1]Pedidos!E:E, E290, [1]Pedidos!F:F, B290)</f>
        <v>276</v>
      </c>
    </row>
    <row r="291" spans="1:9" ht="15.75" thickBot="1">
      <c r="A291" s="4" t="s">
        <v>289</v>
      </c>
      <c r="B291" s="5" t="s">
        <v>363</v>
      </c>
      <c r="C291" s="4" t="s">
        <v>295</v>
      </c>
      <c r="D291" s="6" t="s">
        <v>361</v>
      </c>
      <c r="E291" s="4">
        <v>13</v>
      </c>
      <c r="F291" s="7">
        <v>50</v>
      </c>
      <c r="G291" s="8">
        <v>72</v>
      </c>
      <c r="H291" s="9">
        <f t="shared" si="3"/>
        <v>3600</v>
      </c>
      <c r="I291" s="4">
        <f>F291-SUMIFS([1]Pedidos!G:G, [1]Pedidos!D:D, C291, [1]Pedidos!E:E, E291, [1]Pedidos!F:F, B291)</f>
        <v>41</v>
      </c>
    </row>
    <row r="292" spans="1:9" ht="27" thickBot="1">
      <c r="A292" s="4" t="s">
        <v>289</v>
      </c>
      <c r="B292" s="5" t="s">
        <v>364</v>
      </c>
      <c r="C292" s="4" t="s">
        <v>310</v>
      </c>
      <c r="D292" s="4" t="s">
        <v>365</v>
      </c>
      <c r="E292" s="4">
        <v>5</v>
      </c>
      <c r="F292" s="7">
        <v>50</v>
      </c>
      <c r="G292" s="8">
        <v>30845.83</v>
      </c>
      <c r="H292" s="9">
        <f t="shared" si="3"/>
        <v>1542291.5</v>
      </c>
      <c r="I292" s="4">
        <f>F292-SUMIFS([1]Pedidos!G:G, [1]Pedidos!D:D, C292, [1]Pedidos!E:E, E292, [1]Pedidos!F:F, B292)</f>
        <v>50</v>
      </c>
    </row>
    <row r="293" spans="1:9" ht="27" thickBot="1">
      <c r="A293" s="4" t="s">
        <v>289</v>
      </c>
      <c r="B293" s="5" t="s">
        <v>364</v>
      </c>
      <c r="C293" s="4" t="s">
        <v>61</v>
      </c>
      <c r="D293" s="4" t="s">
        <v>365</v>
      </c>
      <c r="E293" s="4" t="s">
        <v>62</v>
      </c>
      <c r="F293" s="7">
        <v>50</v>
      </c>
      <c r="G293" s="8">
        <v>30845.83</v>
      </c>
      <c r="H293" s="9">
        <f t="shared" si="3"/>
        <v>1542291.5</v>
      </c>
      <c r="I293" s="4">
        <f>F293-SUMIFS([1]Pedidos!G:G, [1]Pedidos!D:D, C293, [1]Pedidos!E:E, E293, [1]Pedidos!F:F, B293)</f>
        <v>49</v>
      </c>
    </row>
    <row r="294" spans="1:9" ht="15.75" thickBot="1">
      <c r="A294" s="4" t="s">
        <v>289</v>
      </c>
      <c r="B294" s="5" t="s">
        <v>366</v>
      </c>
      <c r="C294" s="10" t="s">
        <v>61</v>
      </c>
      <c r="D294" s="4"/>
      <c r="E294" s="11" t="s">
        <v>62</v>
      </c>
      <c r="F294" s="7">
        <v>22</v>
      </c>
      <c r="G294" s="8">
        <v>417.45</v>
      </c>
      <c r="H294" s="9">
        <f t="shared" si="3"/>
        <v>9183.9</v>
      </c>
      <c r="I294" s="4">
        <f>F294-SUMIFS([1]Pedidos!G:G, [1]Pedidos!D:D, C294, [1]Pedidos!E:E, E294, [1]Pedidos!F:F, B294)</f>
        <v>22</v>
      </c>
    </row>
    <row r="295" spans="1:9" ht="15.75" thickBot="1">
      <c r="A295" s="4" t="s">
        <v>289</v>
      </c>
      <c r="B295" s="5" t="s">
        <v>367</v>
      </c>
      <c r="C295" s="4" t="s">
        <v>310</v>
      </c>
      <c r="D295" s="6" t="s">
        <v>368</v>
      </c>
      <c r="E295" s="4">
        <v>6</v>
      </c>
      <c r="F295" s="7">
        <v>250</v>
      </c>
      <c r="G295" s="8">
        <v>3145.83</v>
      </c>
      <c r="H295" s="9">
        <f t="shared" si="3"/>
        <v>786457.5</v>
      </c>
      <c r="I295" s="4">
        <f>F295-SUMIFS([1]Pedidos!G:G, [1]Pedidos!D:D, C295, [1]Pedidos!E:E, E295, [1]Pedidos!F:F, B295)</f>
        <v>250</v>
      </c>
    </row>
    <row r="296" spans="1:9" ht="15.75" thickBot="1">
      <c r="A296" s="4" t="s">
        <v>289</v>
      </c>
      <c r="B296" s="5" t="s">
        <v>369</v>
      </c>
      <c r="C296" s="4" t="s">
        <v>310</v>
      </c>
      <c r="D296" s="4" t="s">
        <v>370</v>
      </c>
      <c r="E296" s="4">
        <v>23</v>
      </c>
      <c r="F296" s="7">
        <v>6</v>
      </c>
      <c r="G296" s="8">
        <v>138500</v>
      </c>
      <c r="H296" s="9">
        <f t="shared" si="3"/>
        <v>831000</v>
      </c>
      <c r="I296" s="4">
        <f>F296-SUMIFS([1]Pedidos!G:G, [1]Pedidos!D:D, C296, [1]Pedidos!E:E, E296, [1]Pedidos!F:F, B296)</f>
        <v>4</v>
      </c>
    </row>
    <row r="297" spans="1:9" ht="15.75" thickBot="1">
      <c r="A297" s="4" t="s">
        <v>289</v>
      </c>
      <c r="B297" s="5" t="s">
        <v>371</v>
      </c>
      <c r="C297" s="4" t="s">
        <v>319</v>
      </c>
      <c r="D297" s="4" t="s">
        <v>372</v>
      </c>
      <c r="E297" s="4">
        <v>26</v>
      </c>
      <c r="F297" s="7">
        <f>20*50</f>
        <v>1000</v>
      </c>
      <c r="G297" s="8">
        <f>177492/50</f>
        <v>3549.84</v>
      </c>
      <c r="H297" s="9">
        <f t="shared" si="3"/>
        <v>3549840</v>
      </c>
      <c r="I297" s="4">
        <f>F297-SUMIFS([1]Pedidos!G:G, [1]Pedidos!D:D, C297, [1]Pedidos!E:E, E297, [1]Pedidos!F:F, B297)</f>
        <v>900</v>
      </c>
    </row>
    <row r="298" spans="1:9" ht="15.75" thickBot="1">
      <c r="A298" s="4" t="s">
        <v>289</v>
      </c>
      <c r="B298" s="5" t="s">
        <v>373</v>
      </c>
      <c r="C298" s="4" t="s">
        <v>310</v>
      </c>
      <c r="D298" s="4" t="s">
        <v>374</v>
      </c>
      <c r="E298" s="4">
        <v>8</v>
      </c>
      <c r="F298" s="7">
        <v>50</v>
      </c>
      <c r="G298" s="8">
        <v>42566.13</v>
      </c>
      <c r="H298" s="9">
        <f t="shared" si="3"/>
        <v>2128306.5</v>
      </c>
      <c r="I298" s="4">
        <f>F298-SUMIFS([1]Pedidos!G:G, [1]Pedidos!D:D, C298, [1]Pedidos!E:E, E298, [1]Pedidos!F:F, B298)</f>
        <v>50</v>
      </c>
    </row>
    <row r="299" spans="1:9" ht="15.75" thickBot="1">
      <c r="A299" s="4" t="s">
        <v>289</v>
      </c>
      <c r="B299" s="5" t="s">
        <v>375</v>
      </c>
      <c r="C299" s="4" t="s">
        <v>295</v>
      </c>
      <c r="D299" s="4" t="s">
        <v>376</v>
      </c>
      <c r="E299" s="4">
        <v>17</v>
      </c>
      <c r="F299" s="7">
        <v>400</v>
      </c>
      <c r="G299" s="8">
        <v>23150</v>
      </c>
      <c r="H299" s="9">
        <f t="shared" si="3"/>
        <v>9260000</v>
      </c>
      <c r="I299" s="4">
        <f>F299-SUMIFS([1]Pedidos!G:G, [1]Pedidos!D:D, C299, [1]Pedidos!E:E, E299, [1]Pedidos!F:F, B299)</f>
        <v>395</v>
      </c>
    </row>
    <row r="300" spans="1:9" ht="15.75" thickBot="1">
      <c r="A300" s="4" t="s">
        <v>289</v>
      </c>
      <c r="B300" s="5" t="s">
        <v>377</v>
      </c>
      <c r="C300" s="4" t="s">
        <v>310</v>
      </c>
      <c r="D300" s="4" t="s">
        <v>378</v>
      </c>
      <c r="E300" s="4">
        <v>18</v>
      </c>
      <c r="F300" s="7">
        <v>10</v>
      </c>
      <c r="G300" s="8">
        <v>5493.6</v>
      </c>
      <c r="H300" s="9">
        <f t="shared" si="3"/>
        <v>54936</v>
      </c>
      <c r="I300" s="4">
        <f>F300-SUMIFS([1]Pedidos!G:G, [1]Pedidos!D:D, C300, [1]Pedidos!E:E, E300, [1]Pedidos!F:F, B300)</f>
        <v>2</v>
      </c>
    </row>
    <row r="301" spans="1:9" ht="15.75" thickBot="1">
      <c r="A301" s="4" t="s">
        <v>289</v>
      </c>
      <c r="B301" s="5" t="s">
        <v>379</v>
      </c>
      <c r="C301" s="4" t="s">
        <v>310</v>
      </c>
      <c r="D301" s="4" t="s">
        <v>378</v>
      </c>
      <c r="E301" s="4">
        <v>19</v>
      </c>
      <c r="F301" s="7">
        <v>10</v>
      </c>
      <c r="G301" s="8">
        <v>8741.51</v>
      </c>
      <c r="H301" s="9">
        <f t="shared" si="3"/>
        <v>87415.1</v>
      </c>
      <c r="I301" s="4">
        <f>F301-SUMIFS([1]Pedidos!G:G, [1]Pedidos!D:D, C301, [1]Pedidos!E:E, E301, [1]Pedidos!F:F, B301)</f>
        <v>5</v>
      </c>
    </row>
    <row r="302" spans="1:9" ht="15.75" thickBot="1">
      <c r="A302" s="4" t="s">
        <v>289</v>
      </c>
      <c r="B302" s="5" t="s">
        <v>380</v>
      </c>
      <c r="C302" s="10" t="s">
        <v>61</v>
      </c>
      <c r="D302" s="4"/>
      <c r="E302" s="11" t="s">
        <v>62</v>
      </c>
      <c r="F302" s="7">
        <v>28</v>
      </c>
      <c r="G302" s="8">
        <v>0.4</v>
      </c>
      <c r="H302" s="9">
        <f t="shared" si="3"/>
        <v>11.200000000000001</v>
      </c>
      <c r="I302" s="4">
        <f>F302-SUMIFS([1]Pedidos!G:G, [1]Pedidos!D:D, C302, [1]Pedidos!E:E, E302, [1]Pedidos!F:F, B302)</f>
        <v>28</v>
      </c>
    </row>
    <row r="303" spans="1:9" ht="15.75" thickBot="1">
      <c r="A303" s="4" t="s">
        <v>289</v>
      </c>
      <c r="B303" s="5" t="s">
        <v>381</v>
      </c>
      <c r="C303" s="10" t="s">
        <v>61</v>
      </c>
      <c r="D303" s="4"/>
      <c r="E303" s="11" t="s">
        <v>62</v>
      </c>
      <c r="F303" s="7">
        <v>8</v>
      </c>
      <c r="G303" s="8">
        <v>50</v>
      </c>
      <c r="H303" s="9">
        <f t="shared" si="3"/>
        <v>400</v>
      </c>
      <c r="I303" s="4">
        <f>F303-SUMIFS([1]Pedidos!G:G, [1]Pedidos!D:D, C303, [1]Pedidos!E:E, E303, [1]Pedidos!F:F, B303)</f>
        <v>8</v>
      </c>
    </row>
    <row r="304" spans="1:9" ht="15.75" thickBot="1">
      <c r="A304" s="4" t="s">
        <v>289</v>
      </c>
      <c r="B304" s="5" t="s">
        <v>381</v>
      </c>
      <c r="C304" s="10" t="s">
        <v>67</v>
      </c>
      <c r="D304" s="4"/>
      <c r="E304" s="11" t="s">
        <v>62</v>
      </c>
      <c r="F304" s="7">
        <v>110</v>
      </c>
      <c r="G304" s="8">
        <v>33</v>
      </c>
      <c r="H304" s="9">
        <f t="shared" si="3"/>
        <v>3630</v>
      </c>
      <c r="I304" s="4">
        <f>F304-SUMIFS([1]Pedidos!G:G, [1]Pedidos!D:D, C304, [1]Pedidos!E:E, E304, [1]Pedidos!F:F, B304)</f>
        <v>110</v>
      </c>
    </row>
    <row r="305" spans="1:9" ht="15.75" thickBot="1">
      <c r="A305" s="4" t="s">
        <v>289</v>
      </c>
      <c r="B305" s="5" t="s">
        <v>382</v>
      </c>
      <c r="C305" s="10" t="s">
        <v>61</v>
      </c>
      <c r="D305" s="4"/>
      <c r="E305" s="11" t="s">
        <v>62</v>
      </c>
      <c r="F305" s="7">
        <v>18</v>
      </c>
      <c r="G305" s="8">
        <v>33</v>
      </c>
      <c r="H305" s="9">
        <f t="shared" si="3"/>
        <v>594</v>
      </c>
      <c r="I305" s="4">
        <f>F305-SUMIFS([1]Pedidos!G:G, [1]Pedidos!D:D, C305, [1]Pedidos!E:E, E305, [1]Pedidos!F:F, B305)</f>
        <v>18</v>
      </c>
    </row>
    <row r="306" spans="1:9" ht="15.75" thickBot="1">
      <c r="A306" s="4" t="s">
        <v>289</v>
      </c>
      <c r="B306" s="5" t="s">
        <v>383</v>
      </c>
      <c r="C306" s="10" t="s">
        <v>61</v>
      </c>
      <c r="D306" s="4"/>
      <c r="E306" s="11" t="s">
        <v>62</v>
      </c>
      <c r="F306" s="7">
        <v>558</v>
      </c>
      <c r="G306" s="8">
        <v>109.16</v>
      </c>
      <c r="H306" s="9">
        <f t="shared" si="3"/>
        <v>60911.28</v>
      </c>
      <c r="I306" s="4">
        <f>F306-SUMIFS([1]Pedidos!G:G, [1]Pedidos!D:D, C306, [1]Pedidos!E:E, E306, [1]Pedidos!F:F, B306)</f>
        <v>558</v>
      </c>
    </row>
    <row r="307" spans="1:9" ht="15.75" thickBot="1">
      <c r="A307" s="4" t="s">
        <v>289</v>
      </c>
      <c r="B307" s="5" t="s">
        <v>384</v>
      </c>
      <c r="C307" s="10" t="s">
        <v>61</v>
      </c>
      <c r="D307" s="4"/>
      <c r="E307" s="11" t="s">
        <v>62</v>
      </c>
      <c r="F307" s="7">
        <v>14</v>
      </c>
      <c r="G307" s="8">
        <v>71</v>
      </c>
      <c r="H307" s="9">
        <f t="shared" si="3"/>
        <v>994</v>
      </c>
      <c r="I307" s="4">
        <f>F307-SUMIFS([1]Pedidos!G:G, [1]Pedidos!D:D, C307, [1]Pedidos!E:E, E307, [1]Pedidos!F:F, B307)</f>
        <v>14</v>
      </c>
    </row>
    <row r="308" spans="1:9" ht="15.75" thickBot="1">
      <c r="A308" s="4" t="s">
        <v>289</v>
      </c>
      <c r="B308" s="5" t="s">
        <v>385</v>
      </c>
      <c r="C308" s="10" t="s">
        <v>61</v>
      </c>
      <c r="D308" s="4"/>
      <c r="E308" s="11" t="s">
        <v>62</v>
      </c>
      <c r="F308" s="7">
        <v>11</v>
      </c>
      <c r="G308" s="8">
        <v>62</v>
      </c>
      <c r="H308" s="9">
        <f t="shared" si="3"/>
        <v>682</v>
      </c>
      <c r="I308" s="4">
        <f>F308-SUMIFS([1]Pedidos!G:G, [1]Pedidos!D:D, C308, [1]Pedidos!E:E, E308, [1]Pedidos!F:F, B308)</f>
        <v>11</v>
      </c>
    </row>
    <row r="309" spans="1:9" ht="15.75" thickBot="1">
      <c r="A309" s="4" t="s">
        <v>289</v>
      </c>
      <c r="B309" s="5" t="s">
        <v>386</v>
      </c>
      <c r="C309" s="10" t="s">
        <v>61</v>
      </c>
      <c r="D309" s="4"/>
      <c r="E309" s="11" t="s">
        <v>62</v>
      </c>
      <c r="F309" s="7">
        <v>350</v>
      </c>
      <c r="G309" s="8">
        <v>181.67</v>
      </c>
      <c r="H309" s="9">
        <f t="shared" si="3"/>
        <v>63584.499999999993</v>
      </c>
      <c r="I309" s="4">
        <f>F309-SUMIFS([1]Pedidos!G:G, [1]Pedidos!D:D, C309, [1]Pedidos!E:E, E309, [1]Pedidos!F:F, B309)</f>
        <v>350</v>
      </c>
    </row>
    <row r="310" spans="1:9" ht="15.75" thickBot="1">
      <c r="A310" s="4" t="s">
        <v>289</v>
      </c>
      <c r="B310" s="5" t="s">
        <v>387</v>
      </c>
      <c r="C310" s="10" t="s">
        <v>61</v>
      </c>
      <c r="D310" s="4"/>
      <c r="E310" s="11" t="s">
        <v>62</v>
      </c>
      <c r="F310" s="7">
        <v>828</v>
      </c>
      <c r="G310" s="8">
        <v>181.67</v>
      </c>
      <c r="H310" s="9">
        <f t="shared" si="3"/>
        <v>150422.75999999998</v>
      </c>
      <c r="I310" s="4">
        <f>F310-SUMIFS([1]Pedidos!G:G, [1]Pedidos!D:D, C310, [1]Pedidos!E:E, E310, [1]Pedidos!F:F, B310)</f>
        <v>828</v>
      </c>
    </row>
    <row r="311" spans="1:9" ht="15.75" thickBot="1">
      <c r="A311" s="4" t="s">
        <v>289</v>
      </c>
      <c r="B311" s="5" t="s">
        <v>388</v>
      </c>
      <c r="C311" s="10" t="s">
        <v>61</v>
      </c>
      <c r="D311" s="4"/>
      <c r="E311" s="11" t="s">
        <v>62</v>
      </c>
      <c r="F311" s="7">
        <v>40</v>
      </c>
      <c r="G311" s="8">
        <v>275.60000000000002</v>
      </c>
      <c r="H311" s="9">
        <f t="shared" si="3"/>
        <v>11024</v>
      </c>
      <c r="I311" s="4">
        <f>F311-SUMIFS([1]Pedidos!G:G, [1]Pedidos!D:D, C311, [1]Pedidos!E:E, E311, [1]Pedidos!F:F, B311)</f>
        <v>40</v>
      </c>
    </row>
    <row r="312" spans="1:9" ht="27" thickBot="1">
      <c r="A312" s="4" t="s">
        <v>289</v>
      </c>
      <c r="B312" s="5" t="s">
        <v>389</v>
      </c>
      <c r="C312" s="4" t="s">
        <v>310</v>
      </c>
      <c r="D312" s="6" t="s">
        <v>390</v>
      </c>
      <c r="E312" s="4">
        <v>4</v>
      </c>
      <c r="F312" s="7">
        <v>100</v>
      </c>
      <c r="G312" s="8">
        <v>2953.24</v>
      </c>
      <c r="H312" s="9">
        <f t="shared" si="3"/>
        <v>295324</v>
      </c>
      <c r="I312" s="4">
        <f>F312-SUMIFS([1]Pedidos!G:G, [1]Pedidos!D:D, C312, [1]Pedidos!E:E, E312, [1]Pedidos!F:F, B312)</f>
        <v>79</v>
      </c>
    </row>
    <row r="313" spans="1:9" ht="15.75" thickBot="1">
      <c r="A313" s="4" t="s">
        <v>289</v>
      </c>
      <c r="B313" s="5" t="s">
        <v>391</v>
      </c>
      <c r="C313" s="10" t="s">
        <v>61</v>
      </c>
      <c r="D313" s="4"/>
      <c r="E313" s="11" t="s">
        <v>62</v>
      </c>
      <c r="F313" s="7">
        <v>16</v>
      </c>
      <c r="G313" s="8">
        <v>965</v>
      </c>
      <c r="H313" s="9">
        <f t="shared" si="3"/>
        <v>15440</v>
      </c>
      <c r="I313" s="4">
        <f>F313-SUMIFS([1]Pedidos!G:G, [1]Pedidos!D:D, C313, [1]Pedidos!E:E, E313, [1]Pedidos!F:F, B313)</f>
        <v>0</v>
      </c>
    </row>
    <row r="314" spans="1:9" ht="15.75" thickBot="1">
      <c r="A314" s="4" t="s">
        <v>289</v>
      </c>
      <c r="B314" s="5" t="s">
        <v>391</v>
      </c>
      <c r="C314" s="10" t="s">
        <v>67</v>
      </c>
      <c r="D314" s="4"/>
      <c r="E314" s="11" t="s">
        <v>62</v>
      </c>
      <c r="F314" s="7">
        <v>250</v>
      </c>
      <c r="G314" s="8">
        <v>3145.83</v>
      </c>
      <c r="H314" s="9">
        <f t="shared" si="3"/>
        <v>786457.5</v>
      </c>
      <c r="I314" s="4">
        <f>F314-SUMIFS([1]Pedidos!G:G, [1]Pedidos!D:D, C314, [1]Pedidos!E:E, E314, [1]Pedidos!F:F, B314)</f>
        <v>234</v>
      </c>
    </row>
    <row r="315" spans="1:9" ht="15.75" thickBot="1">
      <c r="A315" s="4" t="s">
        <v>289</v>
      </c>
      <c r="B315" s="5" t="s">
        <v>392</v>
      </c>
      <c r="C315" s="10" t="s">
        <v>61</v>
      </c>
      <c r="D315" s="4"/>
      <c r="E315" s="11" t="s">
        <v>62</v>
      </c>
      <c r="F315" s="7">
        <v>261</v>
      </c>
      <c r="G315" s="8">
        <v>0.26</v>
      </c>
      <c r="H315" s="9">
        <f t="shared" si="3"/>
        <v>67.86</v>
      </c>
      <c r="I315" s="4">
        <f>F315-SUMIFS([1]Pedidos!G:G, [1]Pedidos!D:D, C315, [1]Pedidos!E:E, E315, [1]Pedidos!F:F, B315)</f>
        <v>261</v>
      </c>
    </row>
    <row r="316" spans="1:9" ht="15.75" thickBot="1">
      <c r="A316" s="4" t="s">
        <v>289</v>
      </c>
      <c r="B316" s="5" t="s">
        <v>392</v>
      </c>
      <c r="C316" s="10" t="s">
        <v>67</v>
      </c>
      <c r="D316" s="4"/>
      <c r="E316" s="11" t="s">
        <v>62</v>
      </c>
      <c r="F316" s="7">
        <v>250</v>
      </c>
      <c r="G316" s="8">
        <v>0.14499999999999999</v>
      </c>
      <c r="H316" s="9">
        <f t="shared" si="3"/>
        <v>36.25</v>
      </c>
      <c r="I316" s="4">
        <f>F316-SUMIFS([1]Pedidos!G:G, [1]Pedidos!D:D, C316, [1]Pedidos!E:E, E316, [1]Pedidos!F:F, B316)</f>
        <v>250</v>
      </c>
    </row>
    <row r="317" spans="1:9" ht="15.75" thickBot="1">
      <c r="A317" s="4" t="s">
        <v>289</v>
      </c>
      <c r="B317" s="5" t="s">
        <v>393</v>
      </c>
      <c r="C317" s="10" t="s">
        <v>61</v>
      </c>
      <c r="D317" s="4"/>
      <c r="E317" s="11" t="s">
        <v>62</v>
      </c>
      <c r="F317" s="7">
        <v>220</v>
      </c>
      <c r="G317" s="8">
        <v>0.26</v>
      </c>
      <c r="H317" s="9">
        <f t="shared" si="3"/>
        <v>57.2</v>
      </c>
      <c r="I317" s="4">
        <f>F317-SUMIFS([1]Pedidos!G:G, [1]Pedidos!D:D, C317, [1]Pedidos!E:E, E317, [1]Pedidos!F:F, B317)</f>
        <v>220</v>
      </c>
    </row>
    <row r="318" spans="1:9" ht="15.75" thickBot="1">
      <c r="A318" s="4" t="s">
        <v>289</v>
      </c>
      <c r="B318" s="5" t="s">
        <v>393</v>
      </c>
      <c r="C318" s="10" t="s">
        <v>67</v>
      </c>
      <c r="D318" s="4"/>
      <c r="E318" s="11" t="s">
        <v>62</v>
      </c>
      <c r="F318" s="7">
        <v>250</v>
      </c>
      <c r="G318" s="8">
        <v>0.14499999999999999</v>
      </c>
      <c r="H318" s="9">
        <f t="shared" si="3"/>
        <v>36.25</v>
      </c>
      <c r="I318" s="4">
        <f>F318-SUMIFS([1]Pedidos!G:G, [1]Pedidos!D:D, C318, [1]Pedidos!E:E, E318, [1]Pedidos!F:F, B318)</f>
        <v>250</v>
      </c>
    </row>
    <row r="319" spans="1:9" ht="15.75" thickBot="1">
      <c r="A319" s="4" t="s">
        <v>289</v>
      </c>
      <c r="B319" s="5" t="s">
        <v>394</v>
      </c>
      <c r="C319" s="10" t="s">
        <v>61</v>
      </c>
      <c r="D319" s="4"/>
      <c r="E319" s="11" t="s">
        <v>62</v>
      </c>
      <c r="F319" s="7">
        <v>42</v>
      </c>
      <c r="G319" s="8">
        <v>0.6</v>
      </c>
      <c r="H319" s="9">
        <f t="shared" si="3"/>
        <v>25.2</v>
      </c>
      <c r="I319" s="4">
        <f>F319-SUMIFS([1]Pedidos!G:G, [1]Pedidos!D:D, C319, [1]Pedidos!E:E, E319, [1]Pedidos!F:F, B319)</f>
        <v>42</v>
      </c>
    </row>
    <row r="320" spans="1:9" ht="27" thickBot="1">
      <c r="A320" s="4" t="s">
        <v>289</v>
      </c>
      <c r="B320" s="5" t="s">
        <v>395</v>
      </c>
      <c r="C320" s="10" t="s">
        <v>61</v>
      </c>
      <c r="D320" s="4"/>
      <c r="E320" s="11" t="s">
        <v>62</v>
      </c>
      <c r="F320" s="7">
        <v>118</v>
      </c>
      <c r="G320" s="8">
        <v>0.6</v>
      </c>
      <c r="H320" s="9">
        <f t="shared" si="3"/>
        <v>70.8</v>
      </c>
      <c r="I320" s="4">
        <f>F320-SUMIFS([1]Pedidos!G:G, [1]Pedidos!D:D, C320, [1]Pedidos!E:E, E320, [1]Pedidos!F:F, B320)</f>
        <v>118</v>
      </c>
    </row>
    <row r="321" spans="1:9" ht="15.75" thickBot="1">
      <c r="A321" s="4" t="s">
        <v>289</v>
      </c>
      <c r="B321" s="5" t="s">
        <v>396</v>
      </c>
      <c r="C321" s="10" t="s">
        <v>61</v>
      </c>
      <c r="D321" s="4"/>
      <c r="E321" s="11" t="s">
        <v>62</v>
      </c>
      <c r="F321" s="7">
        <v>51</v>
      </c>
      <c r="G321" s="8">
        <v>0.12</v>
      </c>
      <c r="H321" s="9">
        <f t="shared" si="3"/>
        <v>6.12</v>
      </c>
      <c r="I321" s="4">
        <f>F321-SUMIFS([1]Pedidos!G:G, [1]Pedidos!D:D, C321, [1]Pedidos!E:E, E321, [1]Pedidos!F:F, B321)</f>
        <v>51</v>
      </c>
    </row>
    <row r="322" spans="1:9" ht="15.75" thickBot="1">
      <c r="A322" s="4" t="s">
        <v>289</v>
      </c>
      <c r="B322" s="5" t="s">
        <v>397</v>
      </c>
      <c r="C322" s="10" t="s">
        <v>61</v>
      </c>
      <c r="D322" s="4"/>
      <c r="E322" s="11" t="s">
        <v>62</v>
      </c>
      <c r="F322" s="7">
        <v>1000</v>
      </c>
      <c r="G322" s="8">
        <v>9.4560000000000005E-2</v>
      </c>
      <c r="H322" s="9">
        <f t="shared" si="3"/>
        <v>94.56</v>
      </c>
      <c r="I322" s="4">
        <f>F322-SUMIFS([1]Pedidos!G:G, [1]Pedidos!D:D, C322, [1]Pedidos!E:E, E322, [1]Pedidos!F:F, B322)</f>
        <v>1000</v>
      </c>
    </row>
    <row r="323" spans="1:9" ht="15.75" thickBot="1">
      <c r="A323" s="4" t="s">
        <v>289</v>
      </c>
      <c r="B323" s="5" t="s">
        <v>397</v>
      </c>
      <c r="C323" s="10" t="s">
        <v>67</v>
      </c>
      <c r="D323" s="4"/>
      <c r="E323" s="11" t="s">
        <v>62</v>
      </c>
      <c r="F323" s="7">
        <v>608</v>
      </c>
      <c r="G323" s="8">
        <v>0.08</v>
      </c>
      <c r="H323" s="9">
        <f t="shared" si="3"/>
        <v>48.64</v>
      </c>
      <c r="I323" s="4">
        <f>F323-SUMIFS([1]Pedidos!G:G, [1]Pedidos!D:D, C323, [1]Pedidos!E:E, E323, [1]Pedidos!F:F, B323)</f>
        <v>608</v>
      </c>
    </row>
    <row r="324" spans="1:9" ht="15.75" thickBot="1">
      <c r="A324" s="4" t="s">
        <v>289</v>
      </c>
      <c r="B324" s="5" t="s">
        <v>398</v>
      </c>
      <c r="C324" s="10" t="s">
        <v>61</v>
      </c>
      <c r="D324" s="4"/>
      <c r="E324" s="11" t="s">
        <v>62</v>
      </c>
      <c r="F324" s="7">
        <v>70</v>
      </c>
      <c r="G324" s="8">
        <v>0.16</v>
      </c>
      <c r="H324" s="9">
        <f t="shared" si="3"/>
        <v>11.200000000000001</v>
      </c>
      <c r="I324" s="4">
        <f>F324-SUMIFS([1]Pedidos!G:G, [1]Pedidos!D:D, C324, [1]Pedidos!E:E, E324, [1]Pedidos!F:F, B324)</f>
        <v>70</v>
      </c>
    </row>
    <row r="325" spans="1:9" ht="15.75" thickBot="1">
      <c r="A325" s="4" t="s">
        <v>289</v>
      </c>
      <c r="B325" s="5" t="s">
        <v>399</v>
      </c>
      <c r="C325" s="10" t="s">
        <v>61</v>
      </c>
      <c r="D325" s="4"/>
      <c r="E325" s="11" t="s">
        <v>62</v>
      </c>
      <c r="F325" s="7">
        <v>700</v>
      </c>
      <c r="G325" s="8">
        <v>0.27</v>
      </c>
      <c r="H325" s="9">
        <f t="shared" si="3"/>
        <v>189</v>
      </c>
      <c r="I325" s="4">
        <f>F325-SUMIFS([1]Pedidos!G:G, [1]Pedidos!D:D, C325, [1]Pedidos!E:E, E325, [1]Pedidos!F:F, B325)</f>
        <v>700</v>
      </c>
    </row>
    <row r="326" spans="1:9" ht="15.75" thickBot="1">
      <c r="A326" s="4" t="s">
        <v>289</v>
      </c>
      <c r="B326" s="5" t="s">
        <v>400</v>
      </c>
      <c r="C326" s="10" t="s">
        <v>61</v>
      </c>
      <c r="D326" s="4"/>
      <c r="E326" s="11" t="s">
        <v>62</v>
      </c>
      <c r="F326" s="7">
        <v>346</v>
      </c>
      <c r="G326" s="8">
        <v>0.45</v>
      </c>
      <c r="H326" s="9">
        <f t="shared" si="3"/>
        <v>155.70000000000002</v>
      </c>
      <c r="I326" s="4">
        <f>F326-SUMIFS([1]Pedidos!G:G, [1]Pedidos!D:D, C326, [1]Pedidos!E:E, E326, [1]Pedidos!F:F, B326)</f>
        <v>346</v>
      </c>
    </row>
    <row r="327" spans="1:9" ht="15.75" thickBot="1">
      <c r="A327" s="4" t="s">
        <v>289</v>
      </c>
      <c r="B327" s="5" t="s">
        <v>401</v>
      </c>
      <c r="C327" s="10" t="s">
        <v>61</v>
      </c>
      <c r="D327" s="4"/>
      <c r="E327" s="11" t="s">
        <v>62</v>
      </c>
      <c r="F327" s="7">
        <v>355</v>
      </c>
      <c r="G327" s="8">
        <v>0.8</v>
      </c>
      <c r="H327" s="9">
        <f t="shared" si="3"/>
        <v>284</v>
      </c>
      <c r="I327" s="4">
        <f>F327-SUMIFS([1]Pedidos!G:G, [1]Pedidos!D:D, C327, [1]Pedidos!E:E, E327, [1]Pedidos!F:F, B327)</f>
        <v>355</v>
      </c>
    </row>
    <row r="328" spans="1:9" ht="15.75" thickBot="1">
      <c r="A328" s="4" t="s">
        <v>289</v>
      </c>
      <c r="B328" s="5" t="s">
        <v>402</v>
      </c>
      <c r="C328" s="10" t="s">
        <v>61</v>
      </c>
      <c r="D328" s="4"/>
      <c r="E328" s="11" t="s">
        <v>62</v>
      </c>
      <c r="F328" s="7">
        <v>2290</v>
      </c>
      <c r="G328" s="8">
        <v>1.1979</v>
      </c>
      <c r="H328" s="9">
        <f t="shared" si="3"/>
        <v>2743.1909999999998</v>
      </c>
      <c r="I328" s="4">
        <f>F328-SUMIFS([1]Pedidos!G:G, [1]Pedidos!D:D, C328, [1]Pedidos!E:E, E328, [1]Pedidos!F:F, B328)</f>
        <v>2275</v>
      </c>
    </row>
    <row r="329" spans="1:9" ht="15.75" thickBot="1">
      <c r="A329" s="4" t="s">
        <v>289</v>
      </c>
      <c r="B329" s="5" t="s">
        <v>403</v>
      </c>
      <c r="C329" s="10" t="s">
        <v>61</v>
      </c>
      <c r="D329" s="4"/>
      <c r="E329" s="11" t="s">
        <v>62</v>
      </c>
      <c r="F329" s="7">
        <v>1984</v>
      </c>
      <c r="G329" s="8">
        <v>1.7764</v>
      </c>
      <c r="H329" s="9">
        <f t="shared" si="3"/>
        <v>3524.3775999999998</v>
      </c>
      <c r="I329" s="4">
        <f>F329-SUMIFS([1]Pedidos!G:G, [1]Pedidos!D:D, C329, [1]Pedidos!E:E, E329, [1]Pedidos!F:F, B329)</f>
        <v>1954</v>
      </c>
    </row>
    <row r="330" spans="1:9" ht="15.75" thickBot="1">
      <c r="A330" s="4" t="s">
        <v>289</v>
      </c>
      <c r="B330" s="5" t="s">
        <v>404</v>
      </c>
      <c r="C330" s="10" t="s">
        <v>61</v>
      </c>
      <c r="D330" s="4"/>
      <c r="E330" s="11" t="s">
        <v>62</v>
      </c>
      <c r="F330" s="7">
        <v>5</v>
      </c>
      <c r="G330" s="8">
        <v>9.1999999999999993</v>
      </c>
      <c r="H330" s="9">
        <f t="shared" si="3"/>
        <v>46</v>
      </c>
      <c r="I330" s="4">
        <f>F330-SUMIFS([1]Pedidos!G:G, [1]Pedidos!D:D, C330, [1]Pedidos!E:E, E330, [1]Pedidos!F:F, B330)</f>
        <v>5</v>
      </c>
    </row>
    <row r="331" spans="1:9" ht="15.75" thickBot="1">
      <c r="A331" s="4" t="s">
        <v>289</v>
      </c>
      <c r="B331" s="5" t="s">
        <v>405</v>
      </c>
      <c r="C331" s="10" t="s">
        <v>61</v>
      </c>
      <c r="D331" s="4"/>
      <c r="E331" s="11" t="s">
        <v>62</v>
      </c>
      <c r="F331" s="7">
        <v>10</v>
      </c>
      <c r="G331" s="8">
        <v>98</v>
      </c>
      <c r="H331" s="9">
        <f t="shared" si="3"/>
        <v>980</v>
      </c>
      <c r="I331" s="4">
        <f>F331-SUMIFS([1]Pedidos!G:G, [1]Pedidos!D:D, C331, [1]Pedidos!E:E, E331, [1]Pedidos!F:F, B331)</f>
        <v>10</v>
      </c>
    </row>
    <row r="332" spans="1:9" ht="15.75" thickBot="1">
      <c r="A332" s="4" t="s">
        <v>289</v>
      </c>
      <c r="B332" s="5" t="s">
        <v>406</v>
      </c>
      <c r="C332" s="10" t="s">
        <v>61</v>
      </c>
      <c r="D332" s="4"/>
      <c r="E332" s="11" t="s">
        <v>62</v>
      </c>
      <c r="F332" s="7">
        <v>61</v>
      </c>
      <c r="G332" s="8">
        <v>6.4</v>
      </c>
      <c r="H332" s="9">
        <f t="shared" si="3"/>
        <v>390.40000000000003</v>
      </c>
      <c r="I332" s="4">
        <f>F332-SUMIFS([1]Pedidos!G:G, [1]Pedidos!D:D, C332, [1]Pedidos!E:E, E332, [1]Pedidos!F:F, B332)</f>
        <v>61</v>
      </c>
    </row>
    <row r="333" spans="1:9" ht="15.75" thickBot="1">
      <c r="A333" s="4" t="s">
        <v>289</v>
      </c>
      <c r="B333" s="5" t="s">
        <v>407</v>
      </c>
      <c r="C333" s="10" t="s">
        <v>61</v>
      </c>
      <c r="D333" s="4"/>
      <c r="E333" s="11" t="s">
        <v>62</v>
      </c>
      <c r="F333" s="7">
        <v>700</v>
      </c>
      <c r="G333" s="8">
        <v>28</v>
      </c>
      <c r="H333" s="9">
        <f t="shared" si="3"/>
        <v>19600</v>
      </c>
      <c r="I333" s="4">
        <f>F333-SUMIFS([1]Pedidos!G:G, [1]Pedidos!D:D, C333, [1]Pedidos!E:E, E333, [1]Pedidos!F:F, B333)</f>
        <v>700</v>
      </c>
    </row>
    <row r="334" spans="1:9" ht="15.75" thickBot="1">
      <c r="A334" s="4" t="s">
        <v>289</v>
      </c>
      <c r="B334" s="5" t="s">
        <v>408</v>
      </c>
      <c r="C334" s="10" t="s">
        <v>61</v>
      </c>
      <c r="D334" s="4"/>
      <c r="E334" s="11" t="s">
        <v>62</v>
      </c>
      <c r="F334" s="7">
        <v>400</v>
      </c>
      <c r="G334" s="8">
        <v>64</v>
      </c>
      <c r="H334" s="9">
        <f t="shared" si="3"/>
        <v>25600</v>
      </c>
      <c r="I334" s="4">
        <f>F334-SUMIFS([1]Pedidos!G:G, [1]Pedidos!D:D, C334, [1]Pedidos!E:E, E334, [1]Pedidos!F:F, B334)</f>
        <v>400</v>
      </c>
    </row>
    <row r="335" spans="1:9" ht="15.75" thickBot="1">
      <c r="A335" s="4" t="s">
        <v>289</v>
      </c>
      <c r="B335" s="5" t="s">
        <v>409</v>
      </c>
      <c r="C335" s="10" t="s">
        <v>61</v>
      </c>
      <c r="D335" s="4"/>
      <c r="E335" s="11" t="s">
        <v>62</v>
      </c>
      <c r="F335" s="7">
        <v>255</v>
      </c>
      <c r="G335" s="8">
        <v>20.399999999999999</v>
      </c>
      <c r="H335" s="9">
        <f t="shared" si="3"/>
        <v>5202</v>
      </c>
      <c r="I335" s="4">
        <f>F335-SUMIFS([1]Pedidos!G:G, [1]Pedidos!D:D, C335, [1]Pedidos!E:E, E335, [1]Pedidos!F:F, B335)</f>
        <v>255</v>
      </c>
    </row>
    <row r="336" spans="1:9" ht="27" thickBot="1">
      <c r="A336" s="4" t="s">
        <v>289</v>
      </c>
      <c r="B336" s="5" t="s">
        <v>410</v>
      </c>
      <c r="C336" s="4" t="s">
        <v>310</v>
      </c>
      <c r="D336" s="6" t="s">
        <v>411</v>
      </c>
      <c r="E336" s="4">
        <v>1</v>
      </c>
      <c r="F336" s="7">
        <v>800</v>
      </c>
      <c r="G336" s="8">
        <v>1813.54</v>
      </c>
      <c r="H336" s="9">
        <f t="shared" si="3"/>
        <v>1450832</v>
      </c>
      <c r="I336" s="4">
        <f>F336-SUMIFS([1]Pedidos!G:G, [1]Pedidos!D:D, C336, [1]Pedidos!E:E, E336, [1]Pedidos!F:F, B336)</f>
        <v>600</v>
      </c>
    </row>
    <row r="337" spans="1:9" ht="15.75" thickBot="1">
      <c r="A337" s="4" t="s">
        <v>289</v>
      </c>
      <c r="B337" s="5" t="s">
        <v>412</v>
      </c>
      <c r="C337" s="4" t="s">
        <v>295</v>
      </c>
      <c r="D337" s="4" t="s">
        <v>413</v>
      </c>
      <c r="E337" s="4">
        <v>11</v>
      </c>
      <c r="F337" s="7">
        <v>300</v>
      </c>
      <c r="G337" s="8">
        <v>340</v>
      </c>
      <c r="H337" s="9">
        <f t="shared" si="3"/>
        <v>102000</v>
      </c>
      <c r="I337" s="4">
        <f>F337-SUMIFS([1]Pedidos!G:G, [1]Pedidos!D:D, C337, [1]Pedidos!E:E, E337, [1]Pedidos!F:F, B337)</f>
        <v>200</v>
      </c>
    </row>
    <row r="338" spans="1:9" ht="15.75" thickBot="1">
      <c r="A338" s="4" t="s">
        <v>289</v>
      </c>
      <c r="B338" s="5" t="s">
        <v>414</v>
      </c>
      <c r="C338" s="4" t="s">
        <v>310</v>
      </c>
      <c r="D338" s="4" t="s">
        <v>415</v>
      </c>
      <c r="E338" s="4">
        <v>7</v>
      </c>
      <c r="F338" s="7">
        <v>300</v>
      </c>
      <c r="G338" s="8">
        <v>361.91</v>
      </c>
      <c r="H338" s="9">
        <f t="shared" si="3"/>
        <v>108573.00000000001</v>
      </c>
      <c r="I338" s="4">
        <f>F338-SUMIFS([1]Pedidos!G:G, [1]Pedidos!D:D, C338, [1]Pedidos!E:E, E338, [1]Pedidos!F:F, B338)</f>
        <v>300</v>
      </c>
    </row>
    <row r="339" spans="1:9" ht="15.75" thickBot="1">
      <c r="A339" s="4" t="s">
        <v>289</v>
      </c>
      <c r="B339" s="5" t="s">
        <v>416</v>
      </c>
      <c r="C339" s="10" t="s">
        <v>61</v>
      </c>
      <c r="D339" s="4"/>
      <c r="E339" s="11" t="s">
        <v>62</v>
      </c>
      <c r="F339" s="7">
        <v>78</v>
      </c>
      <c r="G339" s="8">
        <v>23.6</v>
      </c>
      <c r="H339" s="9">
        <f t="shared" si="3"/>
        <v>1840.8000000000002</v>
      </c>
      <c r="I339" s="4">
        <f>F339-SUMIFS([1]Pedidos!G:G, [1]Pedidos!D:D, C339, [1]Pedidos!E:E, E339, [1]Pedidos!F:F, B339)</f>
        <v>78</v>
      </c>
    </row>
    <row r="340" spans="1:9" ht="27" thickBot="1">
      <c r="A340" s="4" t="s">
        <v>289</v>
      </c>
      <c r="B340" s="5" t="s">
        <v>417</v>
      </c>
      <c r="C340" s="4" t="s">
        <v>295</v>
      </c>
      <c r="D340" s="6" t="s">
        <v>418</v>
      </c>
      <c r="E340" s="4">
        <v>14</v>
      </c>
      <c r="F340" s="7">
        <v>100</v>
      </c>
      <c r="G340" s="8">
        <v>12000</v>
      </c>
      <c r="H340" s="9">
        <f t="shared" si="3"/>
        <v>1200000</v>
      </c>
      <c r="I340" s="4">
        <f>F340-SUMIFS([1]Pedidos!G:G, [1]Pedidos!D:D, C340, [1]Pedidos!E:E, E340, [1]Pedidos!F:F, B340)</f>
        <v>72</v>
      </c>
    </row>
    <row r="341" spans="1:9" ht="15.75" thickBot="1">
      <c r="A341" s="4" t="s">
        <v>419</v>
      </c>
      <c r="B341" s="5" t="s">
        <v>420</v>
      </c>
      <c r="C341" s="10" t="s">
        <v>61</v>
      </c>
      <c r="D341" s="4"/>
      <c r="E341" s="11" t="s">
        <v>62</v>
      </c>
      <c r="F341" s="7">
        <v>97</v>
      </c>
      <c r="G341" s="8">
        <v>7999</v>
      </c>
      <c r="H341" s="9">
        <f t="shared" si="3"/>
        <v>775903</v>
      </c>
      <c r="I341" s="4">
        <f>F341-SUMIFS([1]Pedidos!G:G, [1]Pedidos!D:D, C341, [1]Pedidos!E:E, E341, [1]Pedidos!F:F, B341)</f>
        <v>0</v>
      </c>
    </row>
    <row r="342" spans="1:9" ht="15.75" thickBot="1">
      <c r="A342" s="4" t="s">
        <v>419</v>
      </c>
      <c r="B342" s="5" t="s">
        <v>421</v>
      </c>
      <c r="C342" s="10" t="s">
        <v>61</v>
      </c>
      <c r="D342" s="4"/>
      <c r="E342" s="11" t="s">
        <v>62</v>
      </c>
      <c r="F342" s="7">
        <v>53</v>
      </c>
      <c r="G342" s="8">
        <v>1.25</v>
      </c>
      <c r="H342" s="9">
        <f t="shared" si="3"/>
        <v>66.25</v>
      </c>
      <c r="I342" s="4">
        <f>F342-SUMIFS([1]Pedidos!G:G, [1]Pedidos!D:D, C342, [1]Pedidos!E:E, E342, [1]Pedidos!F:F, B342)</f>
        <v>48</v>
      </c>
    </row>
    <row r="343" spans="1:9" ht="15.75" thickBot="1">
      <c r="A343" s="4" t="s">
        <v>419</v>
      </c>
      <c r="B343" s="5" t="s">
        <v>422</v>
      </c>
      <c r="C343" s="4" t="s">
        <v>423</v>
      </c>
      <c r="D343" s="6" t="s">
        <v>424</v>
      </c>
      <c r="E343" s="4">
        <v>10</v>
      </c>
      <c r="F343" s="7">
        <v>40</v>
      </c>
      <c r="G343" s="8">
        <v>28678</v>
      </c>
      <c r="H343" s="9">
        <f t="shared" si="3"/>
        <v>1147120</v>
      </c>
      <c r="I343" s="4">
        <f>F343-SUMIFS([1]Pedidos!G:G, [1]Pedidos!D:D, C343, [1]Pedidos!E:E, E343, [1]Pedidos!F:F, B343)</f>
        <v>32</v>
      </c>
    </row>
    <row r="344" spans="1:9" ht="15.75" thickBot="1">
      <c r="A344" s="4" t="s">
        <v>419</v>
      </c>
      <c r="B344" s="5" t="s">
        <v>425</v>
      </c>
      <c r="C344" s="4" t="s">
        <v>423</v>
      </c>
      <c r="D344" s="4" t="s">
        <v>426</v>
      </c>
      <c r="E344" s="4">
        <v>1</v>
      </c>
      <c r="F344" s="7">
        <v>100</v>
      </c>
      <c r="G344" s="8">
        <v>41695.800000000003</v>
      </c>
      <c r="H344" s="9">
        <f t="shared" si="3"/>
        <v>4169580.0000000005</v>
      </c>
      <c r="I344" s="4">
        <f>F344-SUMIFS([1]Pedidos!G:G, [1]Pedidos!D:D, C344, [1]Pedidos!E:E, E344, [1]Pedidos!F:F, B344)</f>
        <v>90</v>
      </c>
    </row>
    <row r="345" spans="1:9" ht="15.75" thickBot="1">
      <c r="A345" s="4" t="s">
        <v>419</v>
      </c>
      <c r="B345" s="5" t="s">
        <v>427</v>
      </c>
      <c r="C345" s="4" t="s">
        <v>423</v>
      </c>
      <c r="D345" s="4" t="s">
        <v>428</v>
      </c>
      <c r="E345" s="4">
        <v>6</v>
      </c>
      <c r="F345" s="7">
        <v>50</v>
      </c>
      <c r="G345" s="8">
        <v>67713.64</v>
      </c>
      <c r="H345" s="9">
        <f t="shared" si="3"/>
        <v>3385682</v>
      </c>
      <c r="I345" s="4">
        <f>F345-SUMIFS([1]Pedidos!G:G, [1]Pedidos!D:D, C345, [1]Pedidos!E:E, E345, [1]Pedidos!F:F, B345)</f>
        <v>36</v>
      </c>
    </row>
    <row r="346" spans="1:9" ht="15.75" thickBot="1">
      <c r="A346" s="4" t="s">
        <v>419</v>
      </c>
      <c r="B346" s="5" t="s">
        <v>429</v>
      </c>
      <c r="C346" s="10" t="s">
        <v>61</v>
      </c>
      <c r="D346" s="4"/>
      <c r="E346" s="11" t="s">
        <v>62</v>
      </c>
      <c r="F346" s="7">
        <v>23</v>
      </c>
      <c r="G346" s="8">
        <v>259.77999999999997</v>
      </c>
      <c r="H346" s="9">
        <f t="shared" si="3"/>
        <v>5974.94</v>
      </c>
      <c r="I346" s="4">
        <f>F346-SUMIFS([1]Pedidos!G:G, [1]Pedidos!D:D, C346, [1]Pedidos!E:E, E346, [1]Pedidos!F:F, B346)</f>
        <v>23</v>
      </c>
    </row>
    <row r="347" spans="1:9" ht="15.75" thickBot="1">
      <c r="A347" s="4" t="s">
        <v>419</v>
      </c>
      <c r="B347" s="5" t="s">
        <v>430</v>
      </c>
      <c r="C347" s="10" t="s">
        <v>61</v>
      </c>
      <c r="D347" s="4"/>
      <c r="E347" s="11" t="s">
        <v>62</v>
      </c>
      <c r="F347" s="7">
        <v>10</v>
      </c>
      <c r="G347" s="8">
        <v>36</v>
      </c>
      <c r="H347" s="9">
        <f t="shared" si="3"/>
        <v>360</v>
      </c>
      <c r="I347" s="4">
        <f>F347-SUMIFS([1]Pedidos!G:G, [1]Pedidos!D:D, C347, [1]Pedidos!E:E, E347, [1]Pedidos!F:F, B347)</f>
        <v>10</v>
      </c>
    </row>
    <row r="348" spans="1:9" ht="15.75" thickBot="1">
      <c r="A348" s="4" t="s">
        <v>419</v>
      </c>
      <c r="B348" s="5" t="s">
        <v>431</v>
      </c>
      <c r="C348" s="10" t="s">
        <v>61</v>
      </c>
      <c r="D348" s="4"/>
      <c r="E348" s="11" t="s">
        <v>62</v>
      </c>
      <c r="F348" s="7">
        <v>9</v>
      </c>
      <c r="G348" s="8">
        <v>45</v>
      </c>
      <c r="H348" s="9">
        <f t="shared" si="3"/>
        <v>405</v>
      </c>
      <c r="I348" s="4">
        <f>F348-SUMIFS([1]Pedidos!G:G, [1]Pedidos!D:D, C348, [1]Pedidos!E:E, E348, [1]Pedidos!F:F, B348)</f>
        <v>9</v>
      </c>
    </row>
    <row r="349" spans="1:9" ht="15.75" thickBot="1">
      <c r="A349" s="4" t="s">
        <v>419</v>
      </c>
      <c r="B349" s="5" t="s">
        <v>432</v>
      </c>
      <c r="C349" s="10" t="s">
        <v>61</v>
      </c>
      <c r="D349" s="4"/>
      <c r="E349" s="11" t="s">
        <v>62</v>
      </c>
      <c r="F349" s="7">
        <v>2</v>
      </c>
      <c r="G349" s="8">
        <v>45</v>
      </c>
      <c r="H349" s="9">
        <f t="shared" si="3"/>
        <v>90</v>
      </c>
      <c r="I349" s="4">
        <f>F349-SUMIFS([1]Pedidos!G:G, [1]Pedidos!D:D, C349, [1]Pedidos!E:E, E349, [1]Pedidos!F:F, B349)</f>
        <v>2</v>
      </c>
    </row>
    <row r="350" spans="1:9" ht="15.75" thickBot="1">
      <c r="A350" s="4" t="s">
        <v>419</v>
      </c>
      <c r="B350" s="5" t="s">
        <v>433</v>
      </c>
      <c r="C350" s="10" t="s">
        <v>61</v>
      </c>
      <c r="D350" s="4"/>
      <c r="E350" s="11" t="s">
        <v>62</v>
      </c>
      <c r="F350" s="7">
        <v>12</v>
      </c>
      <c r="G350" s="8">
        <v>880</v>
      </c>
      <c r="H350" s="9">
        <f t="shared" si="3"/>
        <v>10560</v>
      </c>
      <c r="I350" s="4">
        <f>F350-SUMIFS([1]Pedidos!G:G, [1]Pedidos!D:D, C350, [1]Pedidos!E:E, E350, [1]Pedidos!F:F, B350)</f>
        <v>10</v>
      </c>
    </row>
    <row r="351" spans="1:9" ht="15.75" thickBot="1">
      <c r="A351" s="4" t="s">
        <v>419</v>
      </c>
      <c r="B351" s="5" t="s">
        <v>434</v>
      </c>
      <c r="C351" s="4" t="s">
        <v>423</v>
      </c>
      <c r="D351" s="6" t="s">
        <v>435</v>
      </c>
      <c r="E351" s="4">
        <v>2</v>
      </c>
      <c r="F351" s="7">
        <v>100</v>
      </c>
      <c r="G351" s="8">
        <v>46158.6</v>
      </c>
      <c r="H351" s="9">
        <f t="shared" si="3"/>
        <v>4615860</v>
      </c>
      <c r="I351" s="4">
        <f>F351-SUMIFS([1]Pedidos!G:G, [1]Pedidos!D:D, C351, [1]Pedidos!E:E, E351, [1]Pedidos!F:F, B351)</f>
        <v>100</v>
      </c>
    </row>
    <row r="352" spans="1:9" ht="15.75" thickBot="1">
      <c r="A352" s="4" t="s">
        <v>419</v>
      </c>
      <c r="B352" s="5" t="s">
        <v>436</v>
      </c>
      <c r="C352" s="10" t="s">
        <v>61</v>
      </c>
      <c r="D352" s="4"/>
      <c r="E352" s="11" t="s">
        <v>62</v>
      </c>
      <c r="F352" s="7">
        <v>9</v>
      </c>
      <c r="G352" s="8">
        <v>109.53</v>
      </c>
      <c r="H352" s="9">
        <f t="shared" si="3"/>
        <v>985.77</v>
      </c>
      <c r="I352" s="4">
        <f>F352-SUMIFS([1]Pedidos!G:G, [1]Pedidos!D:D, C352, [1]Pedidos!E:E, E352, [1]Pedidos!F:F, B352)</f>
        <v>9</v>
      </c>
    </row>
    <row r="353" spans="1:9" ht="15.75" thickBot="1">
      <c r="A353" s="4" t="s">
        <v>419</v>
      </c>
      <c r="B353" s="5" t="s">
        <v>437</v>
      </c>
      <c r="C353" s="10" t="s">
        <v>61</v>
      </c>
      <c r="D353" s="4"/>
      <c r="E353" s="11" t="s">
        <v>62</v>
      </c>
      <c r="F353" s="7">
        <v>9</v>
      </c>
      <c r="G353" s="8">
        <v>55.55</v>
      </c>
      <c r="H353" s="9">
        <f t="shared" si="3"/>
        <v>499.95</v>
      </c>
      <c r="I353" s="4">
        <f>F353-SUMIFS([1]Pedidos!G:G, [1]Pedidos!D:D, C353, [1]Pedidos!E:E, E353, [1]Pedidos!F:F, B353)</f>
        <v>9</v>
      </c>
    </row>
    <row r="354" spans="1:9" ht="15.75" thickBot="1">
      <c r="A354" s="4" t="s">
        <v>419</v>
      </c>
      <c r="B354" s="5" t="s">
        <v>437</v>
      </c>
      <c r="C354" s="10" t="s">
        <v>67</v>
      </c>
      <c r="D354" s="4"/>
      <c r="E354" s="11" t="s">
        <v>62</v>
      </c>
      <c r="F354" s="7">
        <v>8</v>
      </c>
      <c r="G354" s="8">
        <v>480</v>
      </c>
      <c r="H354" s="9">
        <f t="shared" si="3"/>
        <v>3840</v>
      </c>
      <c r="I354" s="4">
        <f>F354-SUMIFS([1]Pedidos!G:G, [1]Pedidos!D:D, C354, [1]Pedidos!E:E, E354, [1]Pedidos!F:F, B354)</f>
        <v>8</v>
      </c>
    </row>
    <row r="355" spans="1:9" ht="15.75" thickBot="1">
      <c r="A355" s="4" t="s">
        <v>419</v>
      </c>
      <c r="B355" s="5" t="s">
        <v>438</v>
      </c>
      <c r="C355" s="4" t="s">
        <v>423</v>
      </c>
      <c r="D355" s="6" t="s">
        <v>439</v>
      </c>
      <c r="E355" s="4">
        <v>4</v>
      </c>
      <c r="F355" s="7">
        <v>40</v>
      </c>
      <c r="G355" s="8">
        <v>179169.76</v>
      </c>
      <c r="H355" s="9">
        <f t="shared" si="3"/>
        <v>7166790.4000000004</v>
      </c>
      <c r="I355" s="4">
        <f>F355-SUMIFS([1]Pedidos!G:G, [1]Pedidos!D:D, C355, [1]Pedidos!E:E, E355, [1]Pedidos!F:F, B355)</f>
        <v>38</v>
      </c>
    </row>
    <row r="356" spans="1:9" ht="15.75" thickBot="1">
      <c r="A356" s="4" t="s">
        <v>419</v>
      </c>
      <c r="B356" s="5" t="s">
        <v>440</v>
      </c>
      <c r="C356" s="4" t="s">
        <v>423</v>
      </c>
      <c r="D356" s="4" t="s">
        <v>439</v>
      </c>
      <c r="E356" s="4">
        <v>5</v>
      </c>
      <c r="F356" s="7">
        <v>40</v>
      </c>
      <c r="G356" s="8">
        <v>179763.4</v>
      </c>
      <c r="H356" s="9">
        <f t="shared" si="3"/>
        <v>7190536</v>
      </c>
      <c r="I356" s="4">
        <f>F356-SUMIFS([1]Pedidos!G:G, [1]Pedidos!D:D, C356, [1]Pedidos!E:E, E356, [1]Pedidos!F:F, B356)</f>
        <v>40</v>
      </c>
    </row>
    <row r="357" spans="1:9" ht="15.75" thickBot="1">
      <c r="A357" s="4" t="s">
        <v>419</v>
      </c>
      <c r="B357" s="5" t="s">
        <v>440</v>
      </c>
      <c r="C357" s="4" t="s">
        <v>61</v>
      </c>
      <c r="D357" s="4" t="s">
        <v>439</v>
      </c>
      <c r="E357" s="4" t="s">
        <v>62</v>
      </c>
      <c r="F357" s="7">
        <v>1</v>
      </c>
      <c r="G357" s="8">
        <v>195596.51</v>
      </c>
      <c r="H357" s="9">
        <f t="shared" si="3"/>
        <v>195596.51</v>
      </c>
      <c r="I357" s="4">
        <f>F357-SUMIFS([1]Pedidos!G:G, [1]Pedidos!D:D, C357, [1]Pedidos!E:E, E357, [1]Pedidos!F:F, B357)</f>
        <v>1</v>
      </c>
    </row>
    <row r="358" spans="1:9" ht="15.75" thickBot="1">
      <c r="A358" s="4" t="s">
        <v>419</v>
      </c>
      <c r="B358" s="5" t="s">
        <v>441</v>
      </c>
      <c r="C358" s="4" t="s">
        <v>423</v>
      </c>
      <c r="D358" s="4" t="s">
        <v>442</v>
      </c>
      <c r="E358" s="4">
        <v>7</v>
      </c>
      <c r="F358" s="7">
        <v>20</v>
      </c>
      <c r="G358" s="8">
        <v>13198.5</v>
      </c>
      <c r="H358" s="9">
        <f t="shared" si="3"/>
        <v>263970</v>
      </c>
      <c r="I358" s="4">
        <f>F358-SUMIFS([1]Pedidos!G:G, [1]Pedidos!D:D, C358, [1]Pedidos!E:E, E358, [1]Pedidos!F:F, B358)</f>
        <v>18</v>
      </c>
    </row>
    <row r="359" spans="1:9" ht="15.75" thickBot="1">
      <c r="A359" s="4" t="s">
        <v>419</v>
      </c>
      <c r="B359" s="5" t="s">
        <v>443</v>
      </c>
      <c r="C359" s="10" t="s">
        <v>61</v>
      </c>
      <c r="D359" s="4"/>
      <c r="E359" s="11" t="s">
        <v>62</v>
      </c>
      <c r="F359" s="7">
        <v>12</v>
      </c>
      <c r="G359" s="8">
        <v>6.83</v>
      </c>
      <c r="H359" s="9">
        <f t="shared" si="3"/>
        <v>81.960000000000008</v>
      </c>
      <c r="I359" s="4">
        <f>F359-SUMIFS([1]Pedidos!G:G, [1]Pedidos!D:D, C359, [1]Pedidos!E:E, E359, [1]Pedidos!F:F, B359)</f>
        <v>12</v>
      </c>
    </row>
    <row r="360" spans="1:9" ht="15.75" thickBot="1">
      <c r="A360" s="4" t="s">
        <v>419</v>
      </c>
      <c r="B360" s="5" t="s">
        <v>444</v>
      </c>
      <c r="C360" s="10" t="s">
        <v>61</v>
      </c>
      <c r="D360" s="4"/>
      <c r="E360" s="11" t="s">
        <v>62</v>
      </c>
      <c r="F360" s="7">
        <v>1</v>
      </c>
      <c r="G360" s="8">
        <v>23.2</v>
      </c>
      <c r="H360" s="9">
        <f t="shared" si="3"/>
        <v>23.2</v>
      </c>
      <c r="I360" s="4">
        <f>F360-SUMIFS([1]Pedidos!G:G, [1]Pedidos!D:D, C360, [1]Pedidos!E:E, E360, [1]Pedidos!F:F, B360)</f>
        <v>1</v>
      </c>
    </row>
    <row r="361" spans="1:9" ht="15.75" thickBot="1">
      <c r="A361" s="4" t="s">
        <v>419</v>
      </c>
      <c r="B361" s="5" t="s">
        <v>445</v>
      </c>
      <c r="C361" s="4" t="s">
        <v>423</v>
      </c>
      <c r="D361" s="6" t="s">
        <v>446</v>
      </c>
      <c r="E361" s="4">
        <v>3</v>
      </c>
      <c r="F361" s="7">
        <v>20</v>
      </c>
      <c r="G361" s="8">
        <v>110239</v>
      </c>
      <c r="H361" s="9">
        <f t="shared" si="3"/>
        <v>2204780</v>
      </c>
      <c r="I361" s="4">
        <f>F361-SUMIFS([1]Pedidos!G:G, [1]Pedidos!D:D, C361, [1]Pedidos!E:E, E361, [1]Pedidos!F:F, B361)</f>
        <v>20</v>
      </c>
    </row>
    <row r="362" spans="1:9" ht="15.75" thickBot="1">
      <c r="A362" s="4" t="s">
        <v>419</v>
      </c>
      <c r="B362" s="5" t="s">
        <v>447</v>
      </c>
      <c r="C362" s="4" t="s">
        <v>423</v>
      </c>
      <c r="D362" s="4" t="s">
        <v>448</v>
      </c>
      <c r="E362" s="4">
        <v>8</v>
      </c>
      <c r="F362" s="7">
        <v>20</v>
      </c>
      <c r="G362" s="8">
        <v>165538.17000000001</v>
      </c>
      <c r="H362" s="9">
        <f t="shared" si="3"/>
        <v>3310763.4000000004</v>
      </c>
      <c r="I362" s="4">
        <f>F362-SUMIFS([1]Pedidos!G:G, [1]Pedidos!D:D, C362, [1]Pedidos!E:E, E362, [1]Pedidos!F:F, B362)</f>
        <v>19</v>
      </c>
    </row>
    <row r="363" spans="1:9" ht="15.75" thickBot="1">
      <c r="A363" s="4" t="s">
        <v>419</v>
      </c>
      <c r="B363" s="5" t="s">
        <v>449</v>
      </c>
      <c r="C363" s="4" t="s">
        <v>423</v>
      </c>
      <c r="D363" s="4" t="s">
        <v>448</v>
      </c>
      <c r="E363" s="4">
        <v>9</v>
      </c>
      <c r="F363" s="7">
        <v>20</v>
      </c>
      <c r="G363" s="8">
        <v>122998.15</v>
      </c>
      <c r="H363" s="9">
        <f t="shared" si="3"/>
        <v>2459963</v>
      </c>
      <c r="I363" s="4">
        <f>F363-SUMIFS([1]Pedidos!G:G, [1]Pedidos!D:D, C363, [1]Pedidos!E:E, E363, [1]Pedidos!F:F, B363)</f>
        <v>20</v>
      </c>
    </row>
    <row r="364" spans="1:9" ht="15.75" thickBot="1">
      <c r="A364" s="4" t="s">
        <v>419</v>
      </c>
      <c r="B364" s="5" t="s">
        <v>450</v>
      </c>
      <c r="C364" s="10" t="s">
        <v>61</v>
      </c>
      <c r="D364" s="4"/>
      <c r="E364" s="11" t="s">
        <v>62</v>
      </c>
      <c r="F364" s="7">
        <v>3</v>
      </c>
      <c r="G364" s="8">
        <v>106174</v>
      </c>
      <c r="H364" s="9">
        <f t="shared" si="3"/>
        <v>318522</v>
      </c>
      <c r="I364" s="4">
        <f>F364-SUMIFS([1]Pedidos!G:G, [1]Pedidos!D:D, C364, [1]Pedidos!E:E, E364, [1]Pedidos!F:F, B364)</f>
        <v>3</v>
      </c>
    </row>
    <row r="365" spans="1:9" ht="15.75" thickBot="1">
      <c r="A365" s="4" t="s">
        <v>419</v>
      </c>
      <c r="B365" s="5" t="s">
        <v>451</v>
      </c>
      <c r="C365" s="10" t="s">
        <v>61</v>
      </c>
      <c r="D365" s="4"/>
      <c r="E365" s="11" t="s">
        <v>62</v>
      </c>
      <c r="F365" s="7">
        <v>28</v>
      </c>
      <c r="G365" s="8">
        <v>1959</v>
      </c>
      <c r="H365" s="9">
        <f t="shared" si="3"/>
        <v>54852</v>
      </c>
      <c r="I365" s="4">
        <f>F365-SUMIFS([1]Pedidos!G:G, [1]Pedidos!D:D, C365, [1]Pedidos!E:E, E365, [1]Pedidos!F:F, B365)</f>
        <v>28</v>
      </c>
    </row>
    <row r="366" spans="1:9" ht="15.75" thickBot="1">
      <c r="A366" s="4" t="s">
        <v>419</v>
      </c>
      <c r="B366" s="5" t="s">
        <v>452</v>
      </c>
      <c r="C366" s="4" t="s">
        <v>453</v>
      </c>
      <c r="D366" s="6" t="s">
        <v>454</v>
      </c>
      <c r="E366" s="4">
        <v>11</v>
      </c>
      <c r="F366" s="7">
        <v>500</v>
      </c>
      <c r="G366" s="8">
        <v>523</v>
      </c>
      <c r="H366" s="9">
        <f t="shared" si="3"/>
        <v>261500</v>
      </c>
      <c r="I366" s="4">
        <f>F366-SUMIFS([1]Pedidos!G:G, [1]Pedidos!D:D, C366, [1]Pedidos!E:E, E366, [1]Pedidos!F:F, B366)</f>
        <v>500</v>
      </c>
    </row>
    <row r="367" spans="1:9" ht="15.75" thickBot="1">
      <c r="A367" s="4" t="s">
        <v>419</v>
      </c>
      <c r="B367" s="5" t="s">
        <v>452</v>
      </c>
      <c r="C367" s="4" t="s">
        <v>61</v>
      </c>
      <c r="D367" s="4" t="s">
        <v>454</v>
      </c>
      <c r="E367" s="4" t="s">
        <v>62</v>
      </c>
      <c r="F367" s="7">
        <v>29</v>
      </c>
      <c r="G367" s="8">
        <v>1330</v>
      </c>
      <c r="H367" s="9">
        <f t="shared" si="3"/>
        <v>38570</v>
      </c>
      <c r="I367" s="4">
        <f>F367-SUMIFS([1]Pedidos!G:G, [1]Pedidos!D:D, C367, [1]Pedidos!E:E, E367, [1]Pedidos!F:F, B367)</f>
        <v>29</v>
      </c>
    </row>
    <row r="368" spans="1:9" ht="15.75" thickBot="1">
      <c r="A368" s="4" t="s">
        <v>419</v>
      </c>
      <c r="B368" s="5" t="s">
        <v>455</v>
      </c>
      <c r="C368" s="4" t="s">
        <v>453</v>
      </c>
      <c r="D368" s="4" t="s">
        <v>456</v>
      </c>
      <c r="E368" s="4">
        <v>12</v>
      </c>
      <c r="F368" s="7">
        <v>500</v>
      </c>
      <c r="G368" s="8">
        <v>523</v>
      </c>
      <c r="H368" s="9">
        <f t="shared" si="3"/>
        <v>261500</v>
      </c>
      <c r="I368" s="4">
        <f>F368-SUMIFS([1]Pedidos!G:G, [1]Pedidos!D:D, C368, [1]Pedidos!E:E, E368, [1]Pedidos!F:F, B368)</f>
        <v>375</v>
      </c>
    </row>
    <row r="369" spans="1:9" ht="15.75" thickBot="1">
      <c r="A369" s="4" t="s">
        <v>419</v>
      </c>
      <c r="B369" s="5" t="s">
        <v>457</v>
      </c>
      <c r="C369" s="4" t="s">
        <v>453</v>
      </c>
      <c r="D369" s="4" t="s">
        <v>458</v>
      </c>
      <c r="E369" s="4">
        <v>13</v>
      </c>
      <c r="F369" s="7">
        <v>500</v>
      </c>
      <c r="G369" s="8">
        <v>523</v>
      </c>
      <c r="H369" s="9">
        <f t="shared" si="3"/>
        <v>261500</v>
      </c>
      <c r="I369" s="4">
        <f>F369-SUMIFS([1]Pedidos!G:G, [1]Pedidos!D:D, C369, [1]Pedidos!E:E, E369, [1]Pedidos!F:F, B369)</f>
        <v>427</v>
      </c>
    </row>
    <row r="370" spans="1:9" ht="15.75" thickBot="1">
      <c r="A370" s="4" t="s">
        <v>419</v>
      </c>
      <c r="B370" s="5" t="s">
        <v>459</v>
      </c>
      <c r="C370" s="4" t="s">
        <v>423</v>
      </c>
      <c r="D370" s="4" t="s">
        <v>460</v>
      </c>
      <c r="E370" s="4">
        <v>15</v>
      </c>
      <c r="F370" s="7">
        <v>200</v>
      </c>
      <c r="G370" s="8">
        <v>18389.400000000001</v>
      </c>
      <c r="H370" s="9">
        <f t="shared" si="3"/>
        <v>3677880.0000000005</v>
      </c>
      <c r="I370" s="4">
        <f>F370-SUMIFS([1]Pedidos!G:G, [1]Pedidos!D:D, C370, [1]Pedidos!E:E, E370, [1]Pedidos!F:F, B370)</f>
        <v>167</v>
      </c>
    </row>
    <row r="371" spans="1:9" ht="15.75" thickBot="1">
      <c r="A371" s="4" t="s">
        <v>419</v>
      </c>
      <c r="B371" s="5" t="s">
        <v>461</v>
      </c>
      <c r="C371" s="4" t="s">
        <v>423</v>
      </c>
      <c r="D371" s="4" t="s">
        <v>462</v>
      </c>
      <c r="E371" s="4">
        <v>16</v>
      </c>
      <c r="F371" s="7">
        <v>200</v>
      </c>
      <c r="G371" s="8">
        <v>24703.9</v>
      </c>
      <c r="H371" s="9">
        <f t="shared" si="3"/>
        <v>4940780</v>
      </c>
      <c r="I371" s="4">
        <f>F371-SUMIFS([1]Pedidos!G:G, [1]Pedidos!D:D, C371, [1]Pedidos!E:E, E371, [1]Pedidos!F:F, B371)</f>
        <v>177</v>
      </c>
    </row>
    <row r="372" spans="1:9" ht="15.75" thickBot="1">
      <c r="A372" s="4" t="s">
        <v>419</v>
      </c>
      <c r="B372" s="5" t="s">
        <v>463</v>
      </c>
      <c r="C372" s="4" t="s">
        <v>423</v>
      </c>
      <c r="D372" s="4" t="s">
        <v>464</v>
      </c>
      <c r="E372" s="4">
        <v>17</v>
      </c>
      <c r="F372" s="7">
        <v>200</v>
      </c>
      <c r="G372" s="8">
        <v>12357.61</v>
      </c>
      <c r="H372" s="9">
        <f t="shared" si="3"/>
        <v>2471522</v>
      </c>
      <c r="I372" s="4">
        <f>F372-SUMIFS([1]Pedidos!G:G, [1]Pedidos!D:D, C372, [1]Pedidos!E:E, E372, [1]Pedidos!F:F, B372)</f>
        <v>189</v>
      </c>
    </row>
    <row r="373" spans="1:9" ht="15.75" thickBot="1">
      <c r="A373" s="4" t="s">
        <v>419</v>
      </c>
      <c r="B373" s="5" t="s">
        <v>465</v>
      </c>
      <c r="C373" s="4" t="s">
        <v>453</v>
      </c>
      <c r="D373" s="4" t="s">
        <v>466</v>
      </c>
      <c r="E373" s="4">
        <v>14</v>
      </c>
      <c r="F373" s="7">
        <v>100</v>
      </c>
      <c r="G373" s="8">
        <v>7990</v>
      </c>
      <c r="H373" s="9">
        <f t="shared" si="3"/>
        <v>799000</v>
      </c>
      <c r="I373" s="4">
        <f>F373-SUMIFS([1]Pedidos!G:G, [1]Pedidos!D:D, C373, [1]Pedidos!E:E, E373, [1]Pedidos!F:F, B373)</f>
        <v>93</v>
      </c>
    </row>
    <row r="374" spans="1:9" ht="15.75" thickBot="1">
      <c r="A374" s="4" t="s">
        <v>419</v>
      </c>
      <c r="B374" s="5" t="s">
        <v>467</v>
      </c>
      <c r="C374" s="10" t="s">
        <v>61</v>
      </c>
      <c r="D374" s="4"/>
      <c r="E374" s="11" t="s">
        <v>62</v>
      </c>
      <c r="F374" s="7">
        <v>3</v>
      </c>
      <c r="G374" s="8">
        <v>329</v>
      </c>
      <c r="H374" s="9">
        <f t="shared" si="3"/>
        <v>987</v>
      </c>
      <c r="I374" s="4">
        <f>F374-SUMIFS([1]Pedidos!G:G, [1]Pedidos!D:D, C374, [1]Pedidos!E:E, E374, [1]Pedidos!F:F, B374)</f>
        <v>3</v>
      </c>
    </row>
    <row r="375" spans="1:9" ht="15.75" thickBot="1">
      <c r="A375" s="4" t="s">
        <v>419</v>
      </c>
      <c r="B375" s="5" t="s">
        <v>468</v>
      </c>
      <c r="C375" s="4" t="s">
        <v>423</v>
      </c>
      <c r="D375" s="6" t="s">
        <v>469</v>
      </c>
      <c r="E375" s="4">
        <v>18</v>
      </c>
      <c r="F375" s="7">
        <v>200</v>
      </c>
      <c r="G375" s="8">
        <v>14137</v>
      </c>
      <c r="H375" s="9">
        <f t="shared" si="3"/>
        <v>2827400</v>
      </c>
      <c r="I375" s="4">
        <f>F375-SUMIFS([1]Pedidos!G:G, [1]Pedidos!D:D, C375, [1]Pedidos!E:E, E375, [1]Pedidos!F:F, B375)</f>
        <v>167</v>
      </c>
    </row>
    <row r="376" spans="1:9" ht="15.75" thickBot="1">
      <c r="A376" s="4" t="s">
        <v>419</v>
      </c>
      <c r="B376" s="5" t="s">
        <v>470</v>
      </c>
      <c r="C376" s="10" t="s">
        <v>61</v>
      </c>
      <c r="D376" s="4"/>
      <c r="E376" s="11" t="s">
        <v>62</v>
      </c>
      <c r="F376" s="7">
        <v>156</v>
      </c>
      <c r="G376" s="8">
        <v>2.95</v>
      </c>
      <c r="H376" s="9">
        <f t="shared" si="3"/>
        <v>460.20000000000005</v>
      </c>
      <c r="I376" s="4">
        <f>F376-SUMIFS([1]Pedidos!G:G, [1]Pedidos!D:D, C376, [1]Pedidos!E:E, E376, [1]Pedidos!F:F, B376)</f>
        <v>156</v>
      </c>
    </row>
    <row r="377" spans="1:9" ht="15.75" thickBot="1">
      <c r="A377" s="4" t="s">
        <v>419</v>
      </c>
      <c r="B377" s="5" t="s">
        <v>471</v>
      </c>
      <c r="C377" s="10" t="s">
        <v>61</v>
      </c>
      <c r="D377" s="4"/>
      <c r="E377" s="11" t="s">
        <v>62</v>
      </c>
      <c r="F377" s="7">
        <v>10</v>
      </c>
      <c r="G377" s="8">
        <v>6.5</v>
      </c>
      <c r="H377" s="9">
        <f t="shared" si="3"/>
        <v>65</v>
      </c>
      <c r="I377" s="4">
        <f>F377-SUMIFS([1]Pedidos!G:G, [1]Pedidos!D:D, C377, [1]Pedidos!E:E, E377, [1]Pedidos!F:F, B377)</f>
        <v>10</v>
      </c>
    </row>
    <row r="378" spans="1:9" ht="15.75" thickBot="1">
      <c r="A378" s="4" t="s">
        <v>472</v>
      </c>
      <c r="B378" s="5" t="s">
        <v>473</v>
      </c>
      <c r="C378" s="10" t="s">
        <v>61</v>
      </c>
      <c r="D378" s="4"/>
      <c r="E378" s="13" t="s">
        <v>62</v>
      </c>
      <c r="F378" s="7">
        <v>64</v>
      </c>
      <c r="G378" s="8">
        <v>3985</v>
      </c>
      <c r="H378" s="9">
        <f t="shared" si="3"/>
        <v>255040</v>
      </c>
      <c r="I378" s="4">
        <f>F378-SUMIFS([1]Pedidos!G:G, [1]Pedidos!D:D, C378, [1]Pedidos!E:E, E378, [1]Pedidos!F:F, B378)</f>
        <v>59</v>
      </c>
    </row>
    <row r="379" spans="1:9" ht="15.75" thickBot="1">
      <c r="A379" s="4" t="s">
        <v>472</v>
      </c>
      <c r="B379" s="5" t="s">
        <v>474</v>
      </c>
      <c r="C379" s="10" t="s">
        <v>61</v>
      </c>
      <c r="D379" s="4"/>
      <c r="E379" s="13" t="s">
        <v>62</v>
      </c>
      <c r="F379" s="7">
        <v>67</v>
      </c>
      <c r="G379" s="8">
        <v>1175.5999999999999</v>
      </c>
      <c r="H379" s="9">
        <f t="shared" si="3"/>
        <v>78765.2</v>
      </c>
      <c r="I379" s="4">
        <f>F379-SUMIFS([1]Pedidos!G:G, [1]Pedidos!D:D, C379, [1]Pedidos!E:E, E379, [1]Pedidos!F:F, B379)</f>
        <v>58</v>
      </c>
    </row>
    <row r="380" spans="1:9" ht="15.75" thickBot="1">
      <c r="A380" s="4" t="s">
        <v>472</v>
      </c>
      <c r="B380" s="5" t="s">
        <v>475</v>
      </c>
      <c r="C380" s="10" t="s">
        <v>61</v>
      </c>
      <c r="D380" s="4"/>
      <c r="E380" s="13" t="s">
        <v>62</v>
      </c>
      <c r="F380" s="7">
        <v>4</v>
      </c>
      <c r="G380" s="8">
        <v>8975</v>
      </c>
      <c r="H380" s="9">
        <f t="shared" si="3"/>
        <v>35900</v>
      </c>
      <c r="I380" s="4">
        <f>F380-SUMIFS([1]Pedidos!G:G, [1]Pedidos!D:D, C380, [1]Pedidos!E:E, E380, [1]Pedidos!F:F, B380)</f>
        <v>4</v>
      </c>
    </row>
    <row r="381" spans="1:9" ht="15.75" thickBot="1">
      <c r="A381" s="4" t="s">
        <v>472</v>
      </c>
      <c r="B381" s="5" t="s">
        <v>476</v>
      </c>
      <c r="C381" s="10" t="s">
        <v>61</v>
      </c>
      <c r="D381" s="4"/>
      <c r="E381" s="13" t="s">
        <v>62</v>
      </c>
      <c r="F381" s="7">
        <v>74</v>
      </c>
      <c r="G381" s="8">
        <v>2870</v>
      </c>
      <c r="H381" s="9">
        <f t="shared" si="3"/>
        <v>212380</v>
      </c>
      <c r="I381" s="4">
        <f>F381-SUMIFS([1]Pedidos!G:G, [1]Pedidos!D:D, C381, [1]Pedidos!E:E, E381, [1]Pedidos!F:F, B381)</f>
        <v>60</v>
      </c>
    </row>
    <row r="382" spans="1:9" ht="15.75" thickBot="1">
      <c r="A382" s="4" t="s">
        <v>472</v>
      </c>
      <c r="B382" s="5" t="s">
        <v>477</v>
      </c>
      <c r="C382" s="4" t="s">
        <v>478</v>
      </c>
      <c r="D382" s="6" t="s">
        <v>479</v>
      </c>
      <c r="E382" s="14">
        <v>1</v>
      </c>
      <c r="F382" s="7">
        <v>100</v>
      </c>
      <c r="G382" s="8">
        <v>384.94</v>
      </c>
      <c r="H382" s="9">
        <f t="shared" si="3"/>
        <v>38494</v>
      </c>
      <c r="I382" s="4">
        <f>F382-SUMIFS([1]Pedidos!G:G, [1]Pedidos!D:D, C382, [1]Pedidos!E:E, E382, [1]Pedidos!F:F, B382)</f>
        <v>100</v>
      </c>
    </row>
    <row r="383" spans="1:9" ht="15.75" thickBot="1">
      <c r="A383" s="4" t="s">
        <v>472</v>
      </c>
      <c r="B383" s="5" t="s">
        <v>480</v>
      </c>
      <c r="C383" s="10" t="s">
        <v>61</v>
      </c>
      <c r="D383" s="4"/>
      <c r="E383" s="13" t="s">
        <v>62</v>
      </c>
      <c r="F383" s="7">
        <v>117</v>
      </c>
      <c r="G383" s="8">
        <v>298</v>
      </c>
      <c r="H383" s="9">
        <f t="shared" si="3"/>
        <v>34866</v>
      </c>
      <c r="I383" s="4">
        <f>F383-SUMIFS([1]Pedidos!G:G, [1]Pedidos!D:D, C383, [1]Pedidos!E:E, E383, [1]Pedidos!F:F, B383)</f>
        <v>94</v>
      </c>
    </row>
    <row r="384" spans="1:9" ht="15.75" thickBot="1">
      <c r="A384" s="4" t="s">
        <v>472</v>
      </c>
      <c r="B384" s="5" t="s">
        <v>481</v>
      </c>
      <c r="C384" s="10" t="s">
        <v>61</v>
      </c>
      <c r="D384" s="4"/>
      <c r="E384" s="13" t="s">
        <v>62</v>
      </c>
      <c r="F384" s="7">
        <v>281</v>
      </c>
      <c r="G384" s="8">
        <v>13.6</v>
      </c>
      <c r="H384" s="9">
        <f t="shared" si="3"/>
        <v>3821.6</v>
      </c>
      <c r="I384" s="4">
        <f>F384-SUMIFS([1]Pedidos!G:G, [1]Pedidos!D:D, C384, [1]Pedidos!E:E, E384, [1]Pedidos!F:F, B384)</f>
        <v>238</v>
      </c>
    </row>
    <row r="385" spans="1:9" ht="15.75" thickBot="1">
      <c r="A385" s="4" t="s">
        <v>472</v>
      </c>
      <c r="B385" s="5" t="s">
        <v>482</v>
      </c>
      <c r="C385" s="10" t="s">
        <v>61</v>
      </c>
      <c r="D385" s="4"/>
      <c r="E385" s="13" t="s">
        <v>62</v>
      </c>
      <c r="F385" s="7">
        <v>325</v>
      </c>
      <c r="G385" s="8">
        <v>14.6</v>
      </c>
      <c r="H385" s="9">
        <f t="shared" si="3"/>
        <v>4745</v>
      </c>
      <c r="I385" s="4">
        <f>F385-SUMIFS([1]Pedidos!G:G, [1]Pedidos!D:D, C385, [1]Pedidos!E:E, E385, [1]Pedidos!F:F, B385)</f>
        <v>304</v>
      </c>
    </row>
    <row r="386" spans="1:9" ht="15.75" thickBot="1">
      <c r="A386" s="4" t="s">
        <v>472</v>
      </c>
      <c r="B386" s="5" t="s">
        <v>483</v>
      </c>
      <c r="C386" s="10" t="s">
        <v>61</v>
      </c>
      <c r="D386" s="4"/>
      <c r="E386" s="13" t="s">
        <v>62</v>
      </c>
      <c r="F386" s="7">
        <v>94</v>
      </c>
      <c r="G386" s="8">
        <v>384.94</v>
      </c>
      <c r="H386" s="9">
        <f t="shared" si="3"/>
        <v>36184.36</v>
      </c>
      <c r="I386" s="4">
        <f>F386-SUMIFS([1]Pedidos!G:G, [1]Pedidos!D:D, C386, [1]Pedidos!E:E, E386, [1]Pedidos!F:F, B386)</f>
        <v>70</v>
      </c>
    </row>
    <row r="387" spans="1:9" ht="15.75" thickBot="1">
      <c r="A387" s="4" t="s">
        <v>472</v>
      </c>
      <c r="B387" s="5" t="s">
        <v>484</v>
      </c>
      <c r="C387" s="10" t="s">
        <v>61</v>
      </c>
      <c r="D387" s="4"/>
      <c r="E387" s="13" t="s">
        <v>62</v>
      </c>
      <c r="F387" s="7">
        <v>53</v>
      </c>
      <c r="G387" s="8">
        <v>17.8</v>
      </c>
      <c r="H387" s="9">
        <f t="shared" si="3"/>
        <v>943.40000000000009</v>
      </c>
      <c r="I387" s="4">
        <f>F387-SUMIFS([1]Pedidos!G:G, [1]Pedidos!D:D, C387, [1]Pedidos!E:E, E387, [1]Pedidos!F:F, B387)</f>
        <v>53</v>
      </c>
    </row>
    <row r="388" spans="1:9" ht="15.75" thickBot="1">
      <c r="A388" s="4" t="s">
        <v>472</v>
      </c>
      <c r="B388" s="5" t="s">
        <v>485</v>
      </c>
      <c r="C388" s="10" t="s">
        <v>61</v>
      </c>
      <c r="D388" s="4"/>
      <c r="E388" s="13" t="s">
        <v>62</v>
      </c>
      <c r="F388" s="7">
        <v>423</v>
      </c>
      <c r="G388" s="8">
        <v>1966.7</v>
      </c>
      <c r="H388" s="9">
        <f t="shared" si="3"/>
        <v>831914.1</v>
      </c>
      <c r="I388" s="4">
        <f>F388-SUMIFS([1]Pedidos!G:G, [1]Pedidos!D:D, C388, [1]Pedidos!E:E, E388, [1]Pedidos!F:F, B388)</f>
        <v>330</v>
      </c>
    </row>
    <row r="389" spans="1:9" ht="15.75" thickBot="1">
      <c r="A389" s="4" t="s">
        <v>472</v>
      </c>
      <c r="B389" s="5" t="s">
        <v>486</v>
      </c>
      <c r="C389" s="10" t="s">
        <v>61</v>
      </c>
      <c r="D389" s="4"/>
      <c r="E389" s="13" t="s">
        <v>62</v>
      </c>
      <c r="F389" s="7">
        <v>41</v>
      </c>
      <c r="G389" s="8">
        <v>98.8</v>
      </c>
      <c r="H389" s="9">
        <f t="shared" si="3"/>
        <v>4050.7999999999997</v>
      </c>
      <c r="I389" s="4">
        <f>F389-SUMIFS([1]Pedidos!G:G, [1]Pedidos!D:D, C389, [1]Pedidos!E:E, E389, [1]Pedidos!F:F, B389)</f>
        <v>41</v>
      </c>
    </row>
    <row r="390" spans="1:9" ht="15.75" thickBot="1">
      <c r="A390" s="4" t="s">
        <v>472</v>
      </c>
      <c r="B390" s="5" t="s">
        <v>487</v>
      </c>
      <c r="C390" s="4" t="s">
        <v>488</v>
      </c>
      <c r="D390" s="6" t="s">
        <v>489</v>
      </c>
      <c r="E390" s="14">
        <v>2</v>
      </c>
      <c r="F390" s="7">
        <v>100</v>
      </c>
      <c r="G390" s="8">
        <v>4317.66</v>
      </c>
      <c r="H390" s="9">
        <f t="shared" si="3"/>
        <v>431766</v>
      </c>
      <c r="I390" s="4">
        <f>F390-SUMIFS([1]Pedidos!G:G, [1]Pedidos!D:D, C390, [1]Pedidos!E:E, E390, [1]Pedidos!F:F, B390)</f>
        <v>67</v>
      </c>
    </row>
    <row r="391" spans="1:9" ht="15.75" thickBot="1">
      <c r="A391" s="4" t="s">
        <v>472</v>
      </c>
      <c r="B391" s="5" t="s">
        <v>490</v>
      </c>
      <c r="C391" s="4" t="s">
        <v>478</v>
      </c>
      <c r="D391" s="4" t="s">
        <v>491</v>
      </c>
      <c r="E391" s="14">
        <v>3</v>
      </c>
      <c r="F391" s="7">
        <v>100</v>
      </c>
      <c r="G391" s="8">
        <v>2793.28</v>
      </c>
      <c r="H391" s="9">
        <f t="shared" si="3"/>
        <v>279328</v>
      </c>
      <c r="I391" s="4">
        <f>F391-SUMIFS([1]Pedidos!G:G, [1]Pedidos!D:D, C391, [1]Pedidos!E:E, E391, [1]Pedidos!F:F, B391)</f>
        <v>76</v>
      </c>
    </row>
    <row r="392" spans="1:9" ht="15.75" thickBot="1">
      <c r="A392" s="4" t="s">
        <v>472</v>
      </c>
      <c r="B392" s="5" t="s">
        <v>492</v>
      </c>
      <c r="C392" s="4" t="s">
        <v>478</v>
      </c>
      <c r="D392" s="4" t="s">
        <v>493</v>
      </c>
      <c r="E392" s="14">
        <v>4</v>
      </c>
      <c r="F392" s="7">
        <v>100</v>
      </c>
      <c r="G392" s="8">
        <v>2793.28</v>
      </c>
      <c r="H392" s="9">
        <f t="shared" si="3"/>
        <v>279328</v>
      </c>
      <c r="I392" s="4">
        <f>F392-SUMIFS([1]Pedidos!G:G, [1]Pedidos!D:D, C392, [1]Pedidos!E:E, E392, [1]Pedidos!F:F, B392)</f>
        <v>76</v>
      </c>
    </row>
    <row r="393" spans="1:9" ht="15.75" thickBot="1">
      <c r="A393" s="4" t="s">
        <v>472</v>
      </c>
      <c r="B393" s="5" t="s">
        <v>494</v>
      </c>
      <c r="C393" s="4" t="s">
        <v>478</v>
      </c>
      <c r="D393" s="4" t="s">
        <v>495</v>
      </c>
      <c r="E393" s="14">
        <v>5</v>
      </c>
      <c r="F393" s="7">
        <v>1000</v>
      </c>
      <c r="G393" s="8">
        <v>104.28</v>
      </c>
      <c r="H393" s="9">
        <f t="shared" si="3"/>
        <v>104280</v>
      </c>
      <c r="I393" s="4">
        <f>F393-SUMIFS([1]Pedidos!G:G, [1]Pedidos!D:D, C393, [1]Pedidos!E:E, E393, [1]Pedidos!F:F, B393)</f>
        <v>330</v>
      </c>
    </row>
    <row r="394" spans="1:9" ht="15.75" thickBot="1">
      <c r="A394" s="4" t="s">
        <v>472</v>
      </c>
      <c r="B394" s="5" t="s">
        <v>496</v>
      </c>
      <c r="C394" s="10" t="s">
        <v>61</v>
      </c>
      <c r="D394" s="4"/>
      <c r="E394" s="13" t="s">
        <v>62</v>
      </c>
      <c r="F394" s="7">
        <v>1569</v>
      </c>
      <c r="G394" s="8">
        <v>59.38</v>
      </c>
      <c r="H394" s="9">
        <f t="shared" si="3"/>
        <v>93167.22</v>
      </c>
      <c r="I394" s="4">
        <f>F394-SUMIFS([1]Pedidos!G:G, [1]Pedidos!D:D, C394, [1]Pedidos!E:E, E394, [1]Pedidos!F:F, B394)</f>
        <v>1160</v>
      </c>
    </row>
    <row r="395" spans="1:9" ht="15.75" thickBot="1">
      <c r="A395" s="4" t="s">
        <v>472</v>
      </c>
      <c r="B395" s="5" t="s">
        <v>497</v>
      </c>
      <c r="C395" s="4" t="s">
        <v>478</v>
      </c>
      <c r="D395" s="6" t="s">
        <v>495</v>
      </c>
      <c r="E395" s="14">
        <v>6</v>
      </c>
      <c r="F395" s="7">
        <v>500</v>
      </c>
      <c r="G395" s="8">
        <v>104.28</v>
      </c>
      <c r="H395" s="9">
        <f t="shared" si="3"/>
        <v>52140</v>
      </c>
      <c r="I395" s="4">
        <f>F395-SUMIFS([1]Pedidos!G:G, [1]Pedidos!D:D, C395, [1]Pedidos!E:E, E395, [1]Pedidos!F:F, B395)</f>
        <v>500</v>
      </c>
    </row>
    <row r="396" spans="1:9" ht="15.75" thickBot="1">
      <c r="A396" s="4" t="s">
        <v>472</v>
      </c>
      <c r="B396" s="5" t="s">
        <v>497</v>
      </c>
      <c r="C396" s="4" t="s">
        <v>61</v>
      </c>
      <c r="D396" s="4" t="s">
        <v>495</v>
      </c>
      <c r="E396" s="14" t="s">
        <v>62</v>
      </c>
      <c r="F396" s="7">
        <v>498</v>
      </c>
      <c r="G396" s="8">
        <v>59.3</v>
      </c>
      <c r="H396" s="9">
        <f t="shared" si="3"/>
        <v>29531.399999999998</v>
      </c>
      <c r="I396" s="4">
        <f>F396-SUMIFS([1]Pedidos!G:G, [1]Pedidos!D:D, C396, [1]Pedidos!E:E, E396, [1]Pedidos!F:F, B396)</f>
        <v>384</v>
      </c>
    </row>
    <row r="397" spans="1:9" ht="15.75" thickBot="1">
      <c r="A397" s="4" t="s">
        <v>472</v>
      </c>
      <c r="B397" s="5" t="s">
        <v>498</v>
      </c>
      <c r="C397" s="10" t="s">
        <v>61</v>
      </c>
      <c r="D397" s="4"/>
      <c r="E397" s="13" t="s">
        <v>62</v>
      </c>
      <c r="F397" s="7">
        <v>429</v>
      </c>
      <c r="G397" s="8">
        <v>9.27</v>
      </c>
      <c r="H397" s="9">
        <f t="shared" si="3"/>
        <v>3976.83</v>
      </c>
      <c r="I397" s="4">
        <f>F397-SUMIFS([1]Pedidos!G:G, [1]Pedidos!D:D, C397, [1]Pedidos!E:E, E397, [1]Pedidos!F:F, B397)</f>
        <v>349</v>
      </c>
    </row>
    <row r="398" spans="1:9" ht="15.75" thickBot="1">
      <c r="A398" s="4" t="s">
        <v>472</v>
      </c>
      <c r="B398" s="5" t="s">
        <v>498</v>
      </c>
      <c r="C398" s="10" t="s">
        <v>67</v>
      </c>
      <c r="D398" s="4"/>
      <c r="E398" s="13" t="s">
        <v>62</v>
      </c>
      <c r="F398" s="7">
        <v>750</v>
      </c>
      <c r="G398" s="8">
        <v>54</v>
      </c>
      <c r="H398" s="9">
        <f t="shared" si="3"/>
        <v>40500</v>
      </c>
      <c r="I398" s="4">
        <f>F398-SUMIFS([1]Pedidos!G:G, [1]Pedidos!D:D, C398, [1]Pedidos!E:E, E398, [1]Pedidos!F:F, B398)</f>
        <v>750</v>
      </c>
    </row>
    <row r="399" spans="1:9" ht="15.75" thickBot="1">
      <c r="A399" s="4" t="s">
        <v>472</v>
      </c>
      <c r="B399" s="5" t="s">
        <v>499</v>
      </c>
      <c r="C399" s="10" t="s">
        <v>61</v>
      </c>
      <c r="D399" s="4"/>
      <c r="E399" s="13" t="s">
        <v>62</v>
      </c>
      <c r="F399" s="7">
        <v>258</v>
      </c>
      <c r="G399" s="8">
        <v>15.6</v>
      </c>
      <c r="H399" s="9">
        <f t="shared" si="3"/>
        <v>4024.7999999999997</v>
      </c>
      <c r="I399" s="4">
        <f>F399-SUMIFS([1]Pedidos!G:G, [1]Pedidos!D:D, C399, [1]Pedidos!E:E, E399, [1]Pedidos!F:F, B399)</f>
        <v>209</v>
      </c>
    </row>
    <row r="400" spans="1:9" ht="15.75" thickBot="1">
      <c r="A400" s="4" t="s">
        <v>472</v>
      </c>
      <c r="B400" s="5" t="s">
        <v>499</v>
      </c>
      <c r="C400" s="10" t="s">
        <v>67</v>
      </c>
      <c r="D400" s="4"/>
      <c r="E400" s="13" t="s">
        <v>62</v>
      </c>
      <c r="F400" s="7">
        <v>550</v>
      </c>
      <c r="G400" s="8">
        <v>98.66</v>
      </c>
      <c r="H400" s="9">
        <f t="shared" si="3"/>
        <v>54263</v>
      </c>
      <c r="I400" s="4">
        <f>F400-SUMIFS([1]Pedidos!G:G, [1]Pedidos!D:D, C400, [1]Pedidos!E:E, E400, [1]Pedidos!F:F, B400)</f>
        <v>550</v>
      </c>
    </row>
    <row r="401" spans="1:9" ht="15.75" thickBot="1">
      <c r="A401" s="4" t="s">
        <v>472</v>
      </c>
      <c r="B401" s="5" t="s">
        <v>500</v>
      </c>
      <c r="C401" s="4" t="s">
        <v>488</v>
      </c>
      <c r="D401" s="6" t="s">
        <v>501</v>
      </c>
      <c r="E401" s="14">
        <v>7</v>
      </c>
      <c r="F401" s="7">
        <v>100</v>
      </c>
      <c r="G401" s="8">
        <v>259.7</v>
      </c>
      <c r="H401" s="9">
        <f t="shared" si="3"/>
        <v>25970</v>
      </c>
      <c r="I401" s="4">
        <f>F401-SUMIFS([1]Pedidos!G:G, [1]Pedidos!D:D, C401, [1]Pedidos!E:E, E401, [1]Pedidos!F:F, B401)</f>
        <v>100</v>
      </c>
    </row>
    <row r="402" spans="1:9" ht="15.75" thickBot="1">
      <c r="A402" s="4" t="s">
        <v>472</v>
      </c>
      <c r="B402" s="5" t="s">
        <v>500</v>
      </c>
      <c r="C402" s="4" t="s">
        <v>61</v>
      </c>
      <c r="D402" s="4" t="s">
        <v>501</v>
      </c>
      <c r="E402" s="14" t="s">
        <v>62</v>
      </c>
      <c r="F402" s="7">
        <v>201</v>
      </c>
      <c r="G402" s="8">
        <v>83.9</v>
      </c>
      <c r="H402" s="9">
        <f t="shared" si="3"/>
        <v>16863.900000000001</v>
      </c>
      <c r="I402" s="4">
        <f>F402-SUMIFS([1]Pedidos!G:G, [1]Pedidos!D:D, C402, [1]Pedidos!E:E, E402, [1]Pedidos!F:F, B402)</f>
        <v>126</v>
      </c>
    </row>
    <row r="403" spans="1:9" ht="15.75" thickBot="1">
      <c r="A403" s="4" t="s">
        <v>472</v>
      </c>
      <c r="B403" s="5" t="s">
        <v>502</v>
      </c>
      <c r="C403" s="10" t="s">
        <v>61</v>
      </c>
      <c r="D403" s="4"/>
      <c r="E403" s="13" t="s">
        <v>62</v>
      </c>
      <c r="F403" s="7">
        <v>236</v>
      </c>
      <c r="G403" s="8">
        <v>16.3</v>
      </c>
      <c r="H403" s="9">
        <f t="shared" si="3"/>
        <v>3846.8</v>
      </c>
      <c r="I403" s="4">
        <f>F403-SUMIFS([1]Pedidos!G:G, [1]Pedidos!D:D, C403, [1]Pedidos!E:E, E403, [1]Pedidos!F:F, B403)</f>
        <v>171</v>
      </c>
    </row>
    <row r="404" spans="1:9" ht="15.75" thickBot="1">
      <c r="A404" s="4" t="s">
        <v>472</v>
      </c>
      <c r="B404" s="5" t="s">
        <v>502</v>
      </c>
      <c r="C404" s="10" t="s">
        <v>67</v>
      </c>
      <c r="D404" s="4"/>
      <c r="E404" s="13" t="s">
        <v>62</v>
      </c>
      <c r="F404" s="7">
        <v>535</v>
      </c>
      <c r="G404" s="8">
        <v>152</v>
      </c>
      <c r="H404" s="9">
        <f t="shared" si="3"/>
        <v>81320</v>
      </c>
      <c r="I404" s="4">
        <f>F404-SUMIFS([1]Pedidos!G:G, [1]Pedidos!D:D, C404, [1]Pedidos!E:E, E404, [1]Pedidos!F:F, B404)</f>
        <v>535</v>
      </c>
    </row>
    <row r="405" spans="1:9" ht="15.75" thickBot="1">
      <c r="A405" s="4" t="s">
        <v>472</v>
      </c>
      <c r="B405" s="5" t="s">
        <v>503</v>
      </c>
      <c r="C405" s="10" t="s">
        <v>61</v>
      </c>
      <c r="D405" s="4"/>
      <c r="E405" s="13" t="s">
        <v>62</v>
      </c>
      <c r="F405" s="7">
        <v>20</v>
      </c>
      <c r="G405" s="8">
        <v>493</v>
      </c>
      <c r="H405" s="9">
        <f t="shared" si="3"/>
        <v>9860</v>
      </c>
      <c r="I405" s="4">
        <f>F405-SUMIFS([1]Pedidos!G:G, [1]Pedidos!D:D, C405, [1]Pedidos!E:E, E405, [1]Pedidos!F:F, B405)</f>
        <v>20</v>
      </c>
    </row>
    <row r="406" spans="1:9" ht="15.75" thickBot="1">
      <c r="A406" s="4" t="s">
        <v>472</v>
      </c>
      <c r="B406" s="5" t="s">
        <v>504</v>
      </c>
      <c r="C406" s="10" t="s">
        <v>61</v>
      </c>
      <c r="D406" s="4"/>
      <c r="E406" s="13" t="s">
        <v>62</v>
      </c>
      <c r="F406" s="7">
        <v>20</v>
      </c>
      <c r="G406" s="8">
        <v>245</v>
      </c>
      <c r="H406" s="9">
        <f t="shared" si="3"/>
        <v>4900</v>
      </c>
      <c r="I406" s="4">
        <f>F406-SUMIFS([1]Pedidos!G:G, [1]Pedidos!D:D, C406, [1]Pedidos!E:E, E406, [1]Pedidos!F:F, B406)</f>
        <v>20</v>
      </c>
    </row>
    <row r="407" spans="1:9" ht="15.75" thickBot="1">
      <c r="A407" s="4" t="s">
        <v>472</v>
      </c>
      <c r="B407" s="5" t="s">
        <v>505</v>
      </c>
      <c r="C407" s="10" t="s">
        <v>61</v>
      </c>
      <c r="D407" s="4"/>
      <c r="E407" s="13" t="s">
        <v>62</v>
      </c>
      <c r="F407" s="7">
        <v>16</v>
      </c>
      <c r="G407" s="8">
        <v>68.22</v>
      </c>
      <c r="H407" s="9">
        <f t="shared" si="3"/>
        <v>1091.52</v>
      </c>
      <c r="I407" s="4">
        <f>F407-SUMIFS([1]Pedidos!G:G, [1]Pedidos!D:D, C407, [1]Pedidos!E:E, E407, [1]Pedidos!F:F, B407)</f>
        <v>16</v>
      </c>
    </row>
    <row r="408" spans="1:9" ht="15.75" thickBot="1">
      <c r="A408" s="4" t="s">
        <v>472</v>
      </c>
      <c r="B408" s="5" t="s">
        <v>505</v>
      </c>
      <c r="C408" s="10" t="s">
        <v>67</v>
      </c>
      <c r="D408" s="4"/>
      <c r="E408" s="13" t="s">
        <v>62</v>
      </c>
      <c r="F408" s="7">
        <v>50</v>
      </c>
      <c r="G408" s="8">
        <v>64.39</v>
      </c>
      <c r="H408" s="9">
        <f t="shared" si="3"/>
        <v>3219.5</v>
      </c>
      <c r="I408" s="4">
        <f>F408-SUMIFS([1]Pedidos!G:G, [1]Pedidos!D:D, C408, [1]Pedidos!E:E, E408, [1]Pedidos!F:F, B408)</f>
        <v>50</v>
      </c>
    </row>
    <row r="409" spans="1:9" ht="15.75" thickBot="1">
      <c r="A409" s="4" t="s">
        <v>472</v>
      </c>
      <c r="B409" s="5" t="s">
        <v>505</v>
      </c>
      <c r="C409" s="10" t="s">
        <v>119</v>
      </c>
      <c r="D409" s="4"/>
      <c r="E409" s="13" t="s">
        <v>62</v>
      </c>
      <c r="F409" s="7">
        <v>50</v>
      </c>
      <c r="G409" s="8">
        <v>46</v>
      </c>
      <c r="H409" s="9">
        <f t="shared" si="3"/>
        <v>2300</v>
      </c>
      <c r="I409" s="4">
        <f>F409-SUMIFS([1]Pedidos!G:G, [1]Pedidos!D:D, C409, [1]Pedidos!E:E, E409, [1]Pedidos!F:F, B409)</f>
        <v>50</v>
      </c>
    </row>
    <row r="410" spans="1:9" ht="15.75" thickBot="1">
      <c r="A410" s="4" t="s">
        <v>472</v>
      </c>
      <c r="B410" s="5" t="s">
        <v>506</v>
      </c>
      <c r="C410" s="10" t="s">
        <v>61</v>
      </c>
      <c r="D410" s="4"/>
      <c r="E410" s="13" t="s">
        <v>62</v>
      </c>
      <c r="F410" s="7">
        <v>45</v>
      </c>
      <c r="G410" s="8">
        <v>38.700000000000003</v>
      </c>
      <c r="H410" s="9">
        <f t="shared" si="3"/>
        <v>1741.5000000000002</v>
      </c>
      <c r="I410" s="4">
        <f>F410-SUMIFS([1]Pedidos!G:G, [1]Pedidos!D:D, C410, [1]Pedidos!E:E, E410, [1]Pedidos!F:F, B410)</f>
        <v>45</v>
      </c>
    </row>
    <row r="411" spans="1:9" ht="15.75" thickBot="1">
      <c r="A411" s="4" t="s">
        <v>472</v>
      </c>
      <c r="B411" s="5" t="s">
        <v>506</v>
      </c>
      <c r="C411" s="10" t="s">
        <v>67</v>
      </c>
      <c r="D411" s="4"/>
      <c r="E411" s="13" t="s">
        <v>62</v>
      </c>
      <c r="F411" s="7">
        <v>60</v>
      </c>
      <c r="G411" s="8">
        <v>155.34</v>
      </c>
      <c r="H411" s="9">
        <f t="shared" si="3"/>
        <v>9320.4</v>
      </c>
      <c r="I411" s="4">
        <f>F411-SUMIFS([1]Pedidos!G:G, [1]Pedidos!D:D, C411, [1]Pedidos!E:E, E411, [1]Pedidos!F:F, B411)</f>
        <v>60</v>
      </c>
    </row>
    <row r="412" spans="1:9" ht="15.75" thickBot="1">
      <c r="A412" s="4" t="s">
        <v>472</v>
      </c>
      <c r="B412" s="5" t="s">
        <v>507</v>
      </c>
      <c r="C412" s="10" t="s">
        <v>61</v>
      </c>
      <c r="D412" s="4"/>
      <c r="E412" s="13" t="s">
        <v>62</v>
      </c>
      <c r="F412" s="7">
        <v>15</v>
      </c>
      <c r="G412" s="8">
        <v>672.53</v>
      </c>
      <c r="H412" s="9">
        <f t="shared" si="3"/>
        <v>10087.949999999999</v>
      </c>
      <c r="I412" s="4">
        <f>F412-SUMIFS([1]Pedidos!G:G, [1]Pedidos!D:D, C412, [1]Pedidos!E:E, E412, [1]Pedidos!F:F, B412)</f>
        <v>15</v>
      </c>
    </row>
    <row r="413" spans="1:9" ht="15.75" thickBot="1">
      <c r="A413" s="4" t="s">
        <v>472</v>
      </c>
      <c r="B413" s="5" t="s">
        <v>508</v>
      </c>
      <c r="C413" s="10" t="s">
        <v>61</v>
      </c>
      <c r="D413" s="4"/>
      <c r="E413" s="13" t="s">
        <v>62</v>
      </c>
      <c r="F413" s="7">
        <v>1176</v>
      </c>
      <c r="G413" s="8">
        <v>53.58</v>
      </c>
      <c r="H413" s="9">
        <f t="shared" si="3"/>
        <v>63010.079999999994</v>
      </c>
      <c r="I413" s="4">
        <f>F413-SUMIFS([1]Pedidos!G:G, [1]Pedidos!D:D, C413, [1]Pedidos!E:E, E413, [1]Pedidos!F:F, B413)</f>
        <v>1176</v>
      </c>
    </row>
    <row r="414" spans="1:9" ht="15.75" thickBot="1">
      <c r="A414" s="4" t="s">
        <v>472</v>
      </c>
      <c r="B414" s="5" t="s">
        <v>509</v>
      </c>
      <c r="C414" s="10" t="s">
        <v>61</v>
      </c>
      <c r="D414" s="4"/>
      <c r="E414" s="13" t="s">
        <v>62</v>
      </c>
      <c r="F414" s="7">
        <v>1193</v>
      </c>
      <c r="G414" s="8">
        <v>25.91</v>
      </c>
      <c r="H414" s="9">
        <f t="shared" si="3"/>
        <v>30910.63</v>
      </c>
      <c r="I414" s="4">
        <f>F414-SUMIFS([1]Pedidos!G:G, [1]Pedidos!D:D, C414, [1]Pedidos!E:E, E414, [1]Pedidos!F:F, B414)</f>
        <v>1193</v>
      </c>
    </row>
    <row r="415" spans="1:9" ht="15.75" thickBot="1">
      <c r="A415" s="4" t="s">
        <v>472</v>
      </c>
      <c r="B415" s="5" t="s">
        <v>510</v>
      </c>
      <c r="C415" s="4" t="s">
        <v>511</v>
      </c>
      <c r="D415" s="6" t="s">
        <v>512</v>
      </c>
      <c r="E415" s="14">
        <v>8</v>
      </c>
      <c r="F415" s="7">
        <v>500</v>
      </c>
      <c r="G415" s="8">
        <v>1966.7</v>
      </c>
      <c r="H415" s="9">
        <f t="shared" si="3"/>
        <v>983350</v>
      </c>
      <c r="I415" s="4">
        <f>F415-SUMIFS([1]Pedidos!G:G, [1]Pedidos!D:D, C415, [1]Pedidos!E:E, E415, [1]Pedidos!F:F, B415)</f>
        <v>500</v>
      </c>
    </row>
    <row r="416" spans="1:9" ht="15.75" thickBot="1">
      <c r="A416" s="4" t="s">
        <v>472</v>
      </c>
      <c r="B416" s="5" t="s">
        <v>513</v>
      </c>
      <c r="C416" s="10" t="s">
        <v>61</v>
      </c>
      <c r="D416" s="6"/>
      <c r="E416" s="13" t="s">
        <v>62</v>
      </c>
      <c r="F416" s="7">
        <v>540</v>
      </c>
      <c r="G416" s="8">
        <v>118.4</v>
      </c>
      <c r="H416" s="9">
        <f t="shared" si="3"/>
        <v>63936</v>
      </c>
      <c r="I416" s="4">
        <f>F416-SUMIFS([1]Pedidos!G:G, [1]Pedidos!D:D, C416, [1]Pedidos!E:E, E416, [1]Pedidos!F:F, B416)</f>
        <v>71</v>
      </c>
    </row>
    <row r="417" spans="1:9" ht="15.75" thickBot="1">
      <c r="A417" s="4" t="s">
        <v>472</v>
      </c>
      <c r="B417" s="5" t="s">
        <v>514</v>
      </c>
      <c r="C417" s="10" t="s">
        <v>61</v>
      </c>
      <c r="D417" s="4"/>
      <c r="E417" s="13" t="s">
        <v>62</v>
      </c>
      <c r="F417" s="7">
        <v>1570</v>
      </c>
      <c r="G417" s="8">
        <v>26</v>
      </c>
      <c r="H417" s="9">
        <f t="shared" si="3"/>
        <v>40820</v>
      </c>
      <c r="I417" s="4">
        <f>F417-SUMIFS([1]Pedidos!G:G, [1]Pedidos!D:D, C417, [1]Pedidos!E:E, E417, [1]Pedidos!F:F, B417)</f>
        <v>1570</v>
      </c>
    </row>
    <row r="418" spans="1:9" ht="15.75" thickBot="1">
      <c r="A418" s="4" t="s">
        <v>472</v>
      </c>
      <c r="B418" s="5" t="s">
        <v>515</v>
      </c>
      <c r="C418" s="10" t="s">
        <v>61</v>
      </c>
      <c r="D418" s="4"/>
      <c r="E418" s="13" t="s">
        <v>62</v>
      </c>
      <c r="F418" s="7">
        <v>495</v>
      </c>
      <c r="G418" s="8">
        <v>7.8</v>
      </c>
      <c r="H418" s="9">
        <f t="shared" si="3"/>
        <v>3861</v>
      </c>
      <c r="I418" s="4">
        <f>F418-SUMIFS([1]Pedidos!G:G, [1]Pedidos!D:D, C418, [1]Pedidos!E:E, E418, [1]Pedidos!F:F, B418)</f>
        <v>360</v>
      </c>
    </row>
    <row r="419" spans="1:9" ht="15.75" thickBot="1">
      <c r="A419" s="4" t="s">
        <v>472</v>
      </c>
      <c r="B419" s="5" t="s">
        <v>515</v>
      </c>
      <c r="C419" s="10" t="s">
        <v>67</v>
      </c>
      <c r="D419" s="4"/>
      <c r="E419" s="13" t="s">
        <v>62</v>
      </c>
      <c r="F419" s="7">
        <v>1000</v>
      </c>
      <c r="G419" s="8">
        <v>52</v>
      </c>
      <c r="H419" s="9">
        <f t="shared" si="3"/>
        <v>52000</v>
      </c>
      <c r="I419" s="4">
        <f>F419-SUMIFS([1]Pedidos!G:G, [1]Pedidos!D:D, C419, [1]Pedidos!E:E, E419, [1]Pedidos!F:F, B419)</f>
        <v>1000</v>
      </c>
    </row>
    <row r="420" spans="1:9" ht="15.75" thickBot="1">
      <c r="A420" s="4" t="s">
        <v>472</v>
      </c>
      <c r="B420" s="5" t="s">
        <v>516</v>
      </c>
      <c r="C420" s="4" t="s">
        <v>478</v>
      </c>
      <c r="D420" s="6" t="s">
        <v>517</v>
      </c>
      <c r="E420" s="14">
        <v>9</v>
      </c>
      <c r="F420" s="7">
        <v>500</v>
      </c>
      <c r="G420" s="8">
        <v>310.02999999999997</v>
      </c>
      <c r="H420" s="9">
        <f t="shared" si="3"/>
        <v>155015</v>
      </c>
      <c r="I420" s="4">
        <f>F420-SUMIFS([1]Pedidos!G:G, [1]Pedidos!D:D, C420, [1]Pedidos!E:E, E420, [1]Pedidos!F:F, B420)</f>
        <v>69</v>
      </c>
    </row>
    <row r="421" spans="1:9" ht="15.75" thickBot="1">
      <c r="A421" s="4" t="s">
        <v>472</v>
      </c>
      <c r="B421" s="5" t="s">
        <v>518</v>
      </c>
      <c r="C421" s="4" t="s">
        <v>519</v>
      </c>
      <c r="D421" s="4" t="s">
        <v>520</v>
      </c>
      <c r="E421" s="14">
        <v>10</v>
      </c>
      <c r="F421" s="7">
        <v>1000</v>
      </c>
      <c r="G421" s="8">
        <v>294.83</v>
      </c>
      <c r="H421" s="9">
        <f t="shared" si="3"/>
        <v>294830</v>
      </c>
      <c r="I421" s="4">
        <f>F421-SUMIFS([1]Pedidos!G:G, [1]Pedidos!D:D, C421, [1]Pedidos!E:E, E421, [1]Pedidos!F:F, B421)</f>
        <v>745</v>
      </c>
    </row>
    <row r="422" spans="1:9" ht="15.75" thickBot="1">
      <c r="A422" s="4" t="s">
        <v>472</v>
      </c>
      <c r="B422" s="5" t="s">
        <v>521</v>
      </c>
      <c r="C422" s="10" t="s">
        <v>61</v>
      </c>
      <c r="D422" s="4"/>
      <c r="E422" s="13" t="s">
        <v>62</v>
      </c>
      <c r="F422" s="7">
        <v>717</v>
      </c>
      <c r="G422" s="8">
        <v>20.59</v>
      </c>
      <c r="H422" s="9">
        <f t="shared" si="3"/>
        <v>14763.03</v>
      </c>
      <c r="I422" s="4">
        <f>F422-SUMIFS([1]Pedidos!G:G, [1]Pedidos!D:D, C422, [1]Pedidos!E:E, E422, [1]Pedidos!F:F, B422)</f>
        <v>672</v>
      </c>
    </row>
    <row r="423" spans="1:9" ht="15.75" thickBot="1">
      <c r="A423" s="4" t="s">
        <v>472</v>
      </c>
      <c r="B423" s="5" t="s">
        <v>521</v>
      </c>
      <c r="C423" s="10" t="s">
        <v>67</v>
      </c>
      <c r="D423" s="4"/>
      <c r="E423" s="13" t="s">
        <v>62</v>
      </c>
      <c r="F423" s="7">
        <v>1500</v>
      </c>
      <c r="G423" s="8">
        <v>143.66</v>
      </c>
      <c r="H423" s="9">
        <f t="shared" si="3"/>
        <v>215490</v>
      </c>
      <c r="I423" s="4">
        <f>F423-SUMIFS([1]Pedidos!G:G, [1]Pedidos!D:D, C423, [1]Pedidos!E:E, E423, [1]Pedidos!F:F, B423)</f>
        <v>1500</v>
      </c>
    </row>
    <row r="424" spans="1:9" ht="15.75" thickBot="1">
      <c r="A424" s="4" t="s">
        <v>472</v>
      </c>
      <c r="B424" s="5" t="s">
        <v>522</v>
      </c>
      <c r="C424" s="10" t="s">
        <v>61</v>
      </c>
      <c r="D424" s="4"/>
      <c r="E424" s="13" t="s">
        <v>62</v>
      </c>
      <c r="F424" s="7">
        <v>60</v>
      </c>
      <c r="G424" s="8">
        <v>59.5</v>
      </c>
      <c r="H424" s="9">
        <f t="shared" si="3"/>
        <v>3570</v>
      </c>
      <c r="I424" s="4">
        <f>F424-SUMIFS([1]Pedidos!G:G, [1]Pedidos!D:D, C424, [1]Pedidos!E:E, E424, [1]Pedidos!F:F, B424)</f>
        <v>30</v>
      </c>
    </row>
    <row r="425" spans="1:9" ht="15.75" thickBot="1">
      <c r="A425" s="4" t="s">
        <v>472</v>
      </c>
      <c r="B425" s="5" t="s">
        <v>523</v>
      </c>
      <c r="C425" s="10" t="s">
        <v>61</v>
      </c>
      <c r="D425" s="4"/>
      <c r="E425" s="13" t="s">
        <v>62</v>
      </c>
      <c r="F425" s="7">
        <v>6366</v>
      </c>
      <c r="G425" s="8">
        <v>0.66</v>
      </c>
      <c r="H425" s="9">
        <f t="shared" si="3"/>
        <v>4201.5600000000004</v>
      </c>
      <c r="I425" s="4">
        <f>F425-SUMIFS([1]Pedidos!G:G, [1]Pedidos!D:D, C425, [1]Pedidos!E:E, E425, [1]Pedidos!F:F, B425)</f>
        <v>6366</v>
      </c>
    </row>
    <row r="426" spans="1:9" ht="15.75" thickBot="1">
      <c r="A426" s="4" t="s">
        <v>472</v>
      </c>
      <c r="B426" s="5" t="s">
        <v>523</v>
      </c>
      <c r="C426" s="10" t="s">
        <v>67</v>
      </c>
      <c r="D426" s="4"/>
      <c r="E426" s="13" t="s">
        <v>62</v>
      </c>
      <c r="F426" s="7">
        <v>200</v>
      </c>
      <c r="G426" s="8">
        <v>6.15</v>
      </c>
      <c r="H426" s="9">
        <f t="shared" si="3"/>
        <v>1230</v>
      </c>
      <c r="I426" s="4">
        <f>F426-SUMIFS([1]Pedidos!G:G, [1]Pedidos!D:D, C426, [1]Pedidos!E:E, E426, [1]Pedidos!F:F, B426)</f>
        <v>200</v>
      </c>
    </row>
    <row r="427" spans="1:9" ht="15.75" thickBot="1">
      <c r="A427" s="4" t="s">
        <v>472</v>
      </c>
      <c r="B427" s="5" t="s">
        <v>524</v>
      </c>
      <c r="C427" s="10" t="s">
        <v>61</v>
      </c>
      <c r="D427" s="4"/>
      <c r="E427" s="13" t="s">
        <v>62</v>
      </c>
      <c r="F427" s="7">
        <v>520</v>
      </c>
      <c r="G427" s="8">
        <v>19.8</v>
      </c>
      <c r="H427" s="9">
        <f t="shared" si="3"/>
        <v>10296</v>
      </c>
      <c r="I427" s="4">
        <f>F427-SUMIFS([1]Pedidos!G:G, [1]Pedidos!D:D, C427, [1]Pedidos!E:E, E427, [1]Pedidos!F:F, B427)</f>
        <v>520</v>
      </c>
    </row>
    <row r="428" spans="1:9" ht="15.75" thickBot="1">
      <c r="A428" s="4" t="s">
        <v>472</v>
      </c>
      <c r="B428" s="5" t="s">
        <v>525</v>
      </c>
      <c r="C428" s="4" t="s">
        <v>61</v>
      </c>
      <c r="D428" s="6" t="s">
        <v>526</v>
      </c>
      <c r="E428" s="14" t="s">
        <v>62</v>
      </c>
      <c r="F428" s="7">
        <v>195</v>
      </c>
      <c r="G428" s="8">
        <v>294.83</v>
      </c>
      <c r="H428" s="9">
        <f t="shared" si="3"/>
        <v>57491.85</v>
      </c>
      <c r="I428" s="4">
        <f>F428-SUMIFS([1]Pedidos!G:G, [1]Pedidos!D:D, C428, [1]Pedidos!E:E, E428, [1]Pedidos!F:F, B428)</f>
        <v>195</v>
      </c>
    </row>
    <row r="429" spans="1:9" ht="15.75" thickBot="1">
      <c r="A429" s="4" t="s">
        <v>472</v>
      </c>
      <c r="B429" s="5" t="s">
        <v>527</v>
      </c>
      <c r="C429" s="10" t="s">
        <v>61</v>
      </c>
      <c r="D429" s="4"/>
      <c r="E429" s="13" t="s">
        <v>62</v>
      </c>
      <c r="F429" s="7">
        <v>7766</v>
      </c>
      <c r="G429" s="8">
        <v>7.16</v>
      </c>
      <c r="H429" s="9">
        <f t="shared" si="3"/>
        <v>55604.56</v>
      </c>
      <c r="I429" s="4">
        <f>F429-SUMIFS([1]Pedidos!G:G, [1]Pedidos!D:D, C429, [1]Pedidos!E:E, E429, [1]Pedidos!F:F, B429)</f>
        <v>7766</v>
      </c>
    </row>
    <row r="430" spans="1:9" ht="15.75" thickBot="1">
      <c r="A430" s="4" t="s">
        <v>472</v>
      </c>
      <c r="B430" s="5" t="s">
        <v>528</v>
      </c>
      <c r="C430" s="10" t="s">
        <v>61</v>
      </c>
      <c r="D430" s="4"/>
      <c r="E430" s="13" t="s">
        <v>62</v>
      </c>
      <c r="F430" s="7">
        <v>122</v>
      </c>
      <c r="G430" s="8">
        <v>9.7200000000000006</v>
      </c>
      <c r="H430" s="9">
        <f t="shared" si="3"/>
        <v>1185.8400000000001</v>
      </c>
      <c r="I430" s="4">
        <f>F430-SUMIFS([1]Pedidos!G:G, [1]Pedidos!D:D, C430, [1]Pedidos!E:E, E430, [1]Pedidos!F:F, B430)</f>
        <v>122</v>
      </c>
    </row>
    <row r="431" spans="1:9" ht="15.75" thickBot="1">
      <c r="A431" s="4" t="s">
        <v>472</v>
      </c>
      <c r="B431" s="5" t="s">
        <v>528</v>
      </c>
      <c r="C431" s="10" t="s">
        <v>67</v>
      </c>
      <c r="D431" s="4"/>
      <c r="E431" s="13" t="s">
        <v>62</v>
      </c>
      <c r="F431" s="7">
        <v>150</v>
      </c>
      <c r="G431" s="8">
        <v>196</v>
      </c>
      <c r="H431" s="9">
        <f t="shared" si="3"/>
        <v>29400</v>
      </c>
      <c r="I431" s="4">
        <f>F431-SUMIFS([1]Pedidos!G:G, [1]Pedidos!D:D, C431, [1]Pedidos!E:E, E431, [1]Pedidos!F:F, B431)</f>
        <v>150</v>
      </c>
    </row>
    <row r="432" spans="1:9" ht="15.75" thickBot="1">
      <c r="A432" s="4" t="s">
        <v>472</v>
      </c>
      <c r="B432" s="5" t="s">
        <v>529</v>
      </c>
      <c r="C432" s="4" t="s">
        <v>530</v>
      </c>
      <c r="D432" s="6" t="s">
        <v>531</v>
      </c>
      <c r="E432" s="14">
        <v>11</v>
      </c>
      <c r="F432" s="7">
        <v>100</v>
      </c>
      <c r="G432" s="8">
        <v>667.6</v>
      </c>
      <c r="H432" s="9">
        <f t="shared" si="3"/>
        <v>66760</v>
      </c>
      <c r="I432" s="4">
        <f>F432-SUMIFS([1]Pedidos!G:G, [1]Pedidos!D:D, C432, [1]Pedidos!E:E, E432, [1]Pedidos!F:F, B432)</f>
        <v>100</v>
      </c>
    </row>
    <row r="433" spans="1:9" ht="15.75" thickBot="1">
      <c r="A433" s="4" t="s">
        <v>472</v>
      </c>
      <c r="B433" s="5" t="s">
        <v>529</v>
      </c>
      <c r="C433" s="4" t="s">
        <v>61</v>
      </c>
      <c r="D433" s="4" t="s">
        <v>531</v>
      </c>
      <c r="E433" s="14" t="s">
        <v>62</v>
      </c>
      <c r="F433" s="7">
        <v>68</v>
      </c>
      <c r="G433" s="8">
        <v>277.66000000000003</v>
      </c>
      <c r="H433" s="9">
        <f t="shared" si="3"/>
        <v>18880.88</v>
      </c>
      <c r="I433" s="4">
        <f>F433-SUMIFS([1]Pedidos!G:G, [1]Pedidos!D:D, C433, [1]Pedidos!E:E, E433, [1]Pedidos!F:F, B433)</f>
        <v>68</v>
      </c>
    </row>
    <row r="434" spans="1:9" ht="15.75" thickBot="1">
      <c r="A434" s="4" t="s">
        <v>472</v>
      </c>
      <c r="B434" s="5" t="s">
        <v>532</v>
      </c>
      <c r="C434" s="4" t="s">
        <v>530</v>
      </c>
      <c r="D434" s="4" t="s">
        <v>533</v>
      </c>
      <c r="E434" s="14">
        <v>12</v>
      </c>
      <c r="F434" s="7">
        <v>200</v>
      </c>
      <c r="G434" s="8">
        <v>667.6</v>
      </c>
      <c r="H434" s="9">
        <f t="shared" si="3"/>
        <v>133520</v>
      </c>
      <c r="I434" s="4">
        <f>F434-SUMIFS([1]Pedidos!G:G, [1]Pedidos!D:D, C434, [1]Pedidos!E:E, E434, [1]Pedidos!F:F, B434)</f>
        <v>200</v>
      </c>
    </row>
    <row r="435" spans="1:9" ht="15.75" thickBot="1">
      <c r="A435" s="4" t="s">
        <v>472</v>
      </c>
      <c r="B435" s="5" t="s">
        <v>532</v>
      </c>
      <c r="C435" s="4" t="s">
        <v>61</v>
      </c>
      <c r="D435" s="4" t="s">
        <v>533</v>
      </c>
      <c r="E435" s="14" t="s">
        <v>62</v>
      </c>
      <c r="F435" s="7">
        <v>76</v>
      </c>
      <c r="G435" s="8">
        <v>277.66000000000003</v>
      </c>
      <c r="H435" s="9">
        <f t="shared" si="3"/>
        <v>21102.160000000003</v>
      </c>
      <c r="I435" s="4">
        <f>F435-SUMIFS([1]Pedidos!G:G, [1]Pedidos!D:D, C435, [1]Pedidos!E:E, E435, [1]Pedidos!F:F, B435)</f>
        <v>1</v>
      </c>
    </row>
    <row r="436" spans="1:9" ht="15.75" thickBot="1">
      <c r="A436" s="4" t="s">
        <v>472</v>
      </c>
      <c r="B436" s="5" t="s">
        <v>534</v>
      </c>
      <c r="C436" s="10" t="s">
        <v>61</v>
      </c>
      <c r="D436" s="4"/>
      <c r="E436" s="13" t="s">
        <v>62</v>
      </c>
      <c r="F436" s="7">
        <v>38</v>
      </c>
      <c r="G436" s="8">
        <v>1085</v>
      </c>
      <c r="H436" s="9">
        <f t="shared" si="3"/>
        <v>41230</v>
      </c>
      <c r="I436" s="4">
        <f>F436-SUMIFS([1]Pedidos!G:G, [1]Pedidos!D:D, C436, [1]Pedidos!E:E, E436, [1]Pedidos!F:F, B436)</f>
        <v>38</v>
      </c>
    </row>
    <row r="437" spans="1:9" ht="15.75" thickBot="1">
      <c r="A437" s="4" t="s">
        <v>472</v>
      </c>
      <c r="B437" s="5" t="s">
        <v>535</v>
      </c>
      <c r="C437" s="4" t="s">
        <v>488</v>
      </c>
      <c r="D437" s="6" t="s">
        <v>536</v>
      </c>
      <c r="E437" s="14">
        <v>13</v>
      </c>
      <c r="F437" s="7">
        <v>300</v>
      </c>
      <c r="G437" s="8">
        <v>254.7</v>
      </c>
      <c r="H437" s="9">
        <f t="shared" si="3"/>
        <v>76410</v>
      </c>
      <c r="I437" s="4">
        <f>F437-SUMIFS([1]Pedidos!G:G, [1]Pedidos!D:D, C437, [1]Pedidos!E:E, E437, [1]Pedidos!F:F, B437)</f>
        <v>288</v>
      </c>
    </row>
    <row r="438" spans="1:9" ht="15.75" thickBot="1">
      <c r="A438" s="4" t="s">
        <v>472</v>
      </c>
      <c r="B438" s="5" t="s">
        <v>537</v>
      </c>
      <c r="C438" s="10" t="s">
        <v>61</v>
      </c>
      <c r="D438" s="4"/>
      <c r="E438" s="13" t="s">
        <v>62</v>
      </c>
      <c r="F438" s="7">
        <v>10</v>
      </c>
      <c r="G438" s="8">
        <v>173.42</v>
      </c>
      <c r="H438" s="9">
        <f t="shared" si="3"/>
        <v>1734.1999999999998</v>
      </c>
      <c r="I438" s="4">
        <f>F438-SUMIFS([1]Pedidos!G:G, [1]Pedidos!D:D, C438, [1]Pedidos!E:E, E438, [1]Pedidos!F:F, B438)</f>
        <v>10</v>
      </c>
    </row>
    <row r="439" spans="1:9" ht="15.75" thickBot="1">
      <c r="A439" s="4" t="s">
        <v>472</v>
      </c>
      <c r="B439" s="5" t="s">
        <v>538</v>
      </c>
      <c r="C439" s="10" t="s">
        <v>61</v>
      </c>
      <c r="D439" s="4"/>
      <c r="E439" s="13" t="s">
        <v>62</v>
      </c>
      <c r="F439" s="7">
        <v>13</v>
      </c>
      <c r="G439" s="8">
        <v>99</v>
      </c>
      <c r="H439" s="9">
        <f t="shared" si="3"/>
        <v>1287</v>
      </c>
      <c r="I439" s="4">
        <f>F439-SUMIFS([1]Pedidos!G:G, [1]Pedidos!D:D, C439, [1]Pedidos!E:E, E439, [1]Pedidos!F:F, B439)</f>
        <v>13</v>
      </c>
    </row>
    <row r="440" spans="1:9" ht="15.75" thickBot="1">
      <c r="A440" s="4" t="s">
        <v>472</v>
      </c>
      <c r="B440" s="5" t="s">
        <v>539</v>
      </c>
      <c r="C440" s="4" t="s">
        <v>488</v>
      </c>
      <c r="D440" s="6" t="s">
        <v>540</v>
      </c>
      <c r="E440" s="14">
        <v>14</v>
      </c>
      <c r="F440" s="7">
        <v>200</v>
      </c>
      <c r="G440" s="8">
        <v>1848</v>
      </c>
      <c r="H440" s="9">
        <f t="shared" si="3"/>
        <v>369600</v>
      </c>
      <c r="I440" s="4">
        <f>F440-SUMIFS([1]Pedidos!G:G, [1]Pedidos!D:D, C440, [1]Pedidos!E:E, E440, [1]Pedidos!F:F, B440)</f>
        <v>110</v>
      </c>
    </row>
    <row r="441" spans="1:9" ht="15.75" thickBot="1">
      <c r="A441" s="4" t="s">
        <v>472</v>
      </c>
      <c r="B441" s="5" t="s">
        <v>541</v>
      </c>
      <c r="C441" s="4" t="s">
        <v>478</v>
      </c>
      <c r="D441" s="4" t="s">
        <v>542</v>
      </c>
      <c r="E441" s="14">
        <v>15</v>
      </c>
      <c r="F441" s="7">
        <v>100</v>
      </c>
      <c r="G441" s="8">
        <v>2173.52</v>
      </c>
      <c r="H441" s="9">
        <f t="shared" si="3"/>
        <v>217352</v>
      </c>
      <c r="I441" s="4">
        <f>F441-SUMIFS([1]Pedidos!G:G, [1]Pedidos!D:D, C441, [1]Pedidos!E:E, E441, [1]Pedidos!F:F, B441)</f>
        <v>19</v>
      </c>
    </row>
    <row r="442" spans="1:9" ht="15.75" thickBot="1">
      <c r="A442" s="4" t="s">
        <v>472</v>
      </c>
      <c r="B442" s="5" t="s">
        <v>543</v>
      </c>
      <c r="C442" s="4" t="s">
        <v>478</v>
      </c>
      <c r="D442" s="4" t="s">
        <v>544</v>
      </c>
      <c r="E442" s="14">
        <v>16</v>
      </c>
      <c r="F442" s="7">
        <v>250</v>
      </c>
      <c r="G442" s="8">
        <v>2173.52</v>
      </c>
      <c r="H442" s="9">
        <f t="shared" si="3"/>
        <v>543380</v>
      </c>
      <c r="I442" s="4">
        <f>F442-SUMIFS([1]Pedidos!G:G, [1]Pedidos!D:D, C442, [1]Pedidos!E:E, E442, [1]Pedidos!F:F, B442)</f>
        <v>72</v>
      </c>
    </row>
    <row r="443" spans="1:9" ht="15.75" thickBot="1">
      <c r="A443" s="4" t="s">
        <v>472</v>
      </c>
      <c r="B443" s="5" t="s">
        <v>545</v>
      </c>
      <c r="C443" s="4" t="s">
        <v>478</v>
      </c>
      <c r="D443" s="4" t="s">
        <v>546</v>
      </c>
      <c r="E443" s="14">
        <v>17</v>
      </c>
      <c r="F443" s="7">
        <v>100</v>
      </c>
      <c r="G443" s="8">
        <v>238.81</v>
      </c>
      <c r="H443" s="9">
        <f t="shared" si="3"/>
        <v>23881</v>
      </c>
      <c r="I443" s="4">
        <f>F443-SUMIFS([1]Pedidos!G:G, [1]Pedidos!D:D, C443, [1]Pedidos!E:E, E443, [1]Pedidos!F:F, B443)</f>
        <v>100</v>
      </c>
    </row>
    <row r="444" spans="1:9" ht="15.75" thickBot="1">
      <c r="A444" s="4" t="s">
        <v>472</v>
      </c>
      <c r="B444" s="5" t="s">
        <v>545</v>
      </c>
      <c r="C444" s="4" t="s">
        <v>61</v>
      </c>
      <c r="D444" s="4" t="s">
        <v>546</v>
      </c>
      <c r="E444" s="14" t="s">
        <v>62</v>
      </c>
      <c r="F444" s="7">
        <v>38</v>
      </c>
      <c r="G444" s="8">
        <v>187</v>
      </c>
      <c r="H444" s="9">
        <f t="shared" si="3"/>
        <v>7106</v>
      </c>
      <c r="I444" s="4">
        <f>F444-SUMIFS([1]Pedidos!G:G, [1]Pedidos!D:D, C444, [1]Pedidos!E:E, E444, [1]Pedidos!F:F, B444)</f>
        <v>7</v>
      </c>
    </row>
    <row r="445" spans="1:9" ht="15.75" thickBot="1">
      <c r="A445" s="4" t="s">
        <v>472</v>
      </c>
      <c r="B445" s="5" t="s">
        <v>547</v>
      </c>
      <c r="C445" s="4" t="s">
        <v>530</v>
      </c>
      <c r="D445" s="4" t="s">
        <v>548</v>
      </c>
      <c r="E445" s="14">
        <v>18</v>
      </c>
      <c r="F445" s="7">
        <v>10000</v>
      </c>
      <c r="G445" s="8">
        <v>44.54</v>
      </c>
      <c r="H445" s="9">
        <f t="shared" si="3"/>
        <v>445400</v>
      </c>
      <c r="I445" s="4">
        <f>F445-SUMIFS([1]Pedidos!G:G, [1]Pedidos!D:D, C445, [1]Pedidos!E:E, E445, [1]Pedidos!F:F, B445)</f>
        <v>4850</v>
      </c>
    </row>
    <row r="446" spans="1:9" ht="15.75" thickBot="1">
      <c r="A446" s="4" t="s">
        <v>472</v>
      </c>
      <c r="B446" s="5" t="s">
        <v>549</v>
      </c>
      <c r="C446" s="10" t="s">
        <v>61</v>
      </c>
      <c r="D446" s="4"/>
      <c r="E446" s="13" t="s">
        <v>62</v>
      </c>
      <c r="F446" s="7">
        <v>2470</v>
      </c>
      <c r="G446" s="8">
        <v>8.26</v>
      </c>
      <c r="H446" s="9">
        <f t="shared" si="3"/>
        <v>20402.2</v>
      </c>
      <c r="I446" s="4">
        <f>F446-SUMIFS([1]Pedidos!G:G, [1]Pedidos!D:D, C446, [1]Pedidos!E:E, E446, [1]Pedidos!F:F, B446)</f>
        <v>1725</v>
      </c>
    </row>
    <row r="447" spans="1:9" ht="15.75" thickBot="1">
      <c r="A447" s="4" t="s">
        <v>472</v>
      </c>
      <c r="B447" s="5" t="s">
        <v>550</v>
      </c>
      <c r="C447" s="10" t="s">
        <v>61</v>
      </c>
      <c r="D447" s="4"/>
      <c r="E447" s="13" t="s">
        <v>62</v>
      </c>
      <c r="F447" s="7">
        <v>405</v>
      </c>
      <c r="G447" s="8">
        <v>41</v>
      </c>
      <c r="H447" s="9">
        <f t="shared" si="3"/>
        <v>16605</v>
      </c>
      <c r="I447" s="4">
        <f>F447-SUMIFS([1]Pedidos!G:G, [1]Pedidos!D:D, C447, [1]Pedidos!E:E, E447, [1]Pedidos!F:F, B447)</f>
        <v>321</v>
      </c>
    </row>
    <row r="448" spans="1:9" ht="15.75" thickBot="1">
      <c r="A448" s="4" t="s">
        <v>472</v>
      </c>
      <c r="B448" s="5" t="s">
        <v>551</v>
      </c>
      <c r="C448" s="10" t="s">
        <v>61</v>
      </c>
      <c r="D448" s="4"/>
      <c r="E448" s="13" t="s">
        <v>62</v>
      </c>
      <c r="F448" s="7">
        <v>60</v>
      </c>
      <c r="G448" s="8">
        <v>52</v>
      </c>
      <c r="H448" s="9">
        <f t="shared" si="3"/>
        <v>3120</v>
      </c>
      <c r="I448" s="4">
        <f>F448-SUMIFS([1]Pedidos!G:G, [1]Pedidos!D:D, C448, [1]Pedidos!E:E, E448, [1]Pedidos!F:F, B448)</f>
        <v>55</v>
      </c>
    </row>
    <row r="449" spans="1:9" ht="15.75" thickBot="1">
      <c r="A449" s="4" t="s">
        <v>472</v>
      </c>
      <c r="B449" s="5" t="s">
        <v>552</v>
      </c>
      <c r="C449" s="4" t="s">
        <v>511</v>
      </c>
      <c r="D449" s="6" t="s">
        <v>553</v>
      </c>
      <c r="E449" s="14">
        <v>19</v>
      </c>
      <c r="F449" s="7">
        <v>50</v>
      </c>
      <c r="G449" s="8">
        <v>6560.4</v>
      </c>
      <c r="H449" s="9">
        <f t="shared" si="3"/>
        <v>328020</v>
      </c>
      <c r="I449" s="4">
        <f>F449-SUMIFS([1]Pedidos!G:G, [1]Pedidos!D:D, C449, [1]Pedidos!E:E, E449, [1]Pedidos!F:F, B449)</f>
        <v>50</v>
      </c>
    </row>
    <row r="450" spans="1:9" ht="15.75" thickBot="1">
      <c r="A450" s="4" t="s">
        <v>472</v>
      </c>
      <c r="B450" s="5" t="s">
        <v>554</v>
      </c>
      <c r="C450" s="10" t="s">
        <v>61</v>
      </c>
      <c r="D450" s="4"/>
      <c r="E450" s="13" t="s">
        <v>62</v>
      </c>
      <c r="F450" s="7">
        <v>120</v>
      </c>
      <c r="G450" s="8">
        <v>83</v>
      </c>
      <c r="H450" s="9">
        <f t="shared" si="3"/>
        <v>9960</v>
      </c>
      <c r="I450" s="4">
        <f>F450-SUMIFS([1]Pedidos!G:G, [1]Pedidos!D:D, C450, [1]Pedidos!E:E, E450, [1]Pedidos!F:F, B450)</f>
        <v>120</v>
      </c>
    </row>
    <row r="451" spans="1:9" ht="15.75" thickBot="1">
      <c r="A451" s="4" t="s">
        <v>472</v>
      </c>
      <c r="B451" s="5" t="s">
        <v>555</v>
      </c>
      <c r="C451" s="10" t="s">
        <v>61</v>
      </c>
      <c r="D451" s="4"/>
      <c r="E451" s="13" t="s">
        <v>62</v>
      </c>
      <c r="F451" s="7">
        <v>240</v>
      </c>
      <c r="G451" s="8">
        <v>83</v>
      </c>
      <c r="H451" s="9">
        <f t="shared" si="3"/>
        <v>19920</v>
      </c>
      <c r="I451" s="4">
        <f>F451-SUMIFS([1]Pedidos!G:G, [1]Pedidos!D:D, C451, [1]Pedidos!E:E, E451, [1]Pedidos!F:F, B451)</f>
        <v>240</v>
      </c>
    </row>
    <row r="452" spans="1:9" ht="15.75" thickBot="1">
      <c r="A452" s="4" t="s">
        <v>472</v>
      </c>
      <c r="B452" s="5" t="s">
        <v>556</v>
      </c>
      <c r="C452" s="10" t="s">
        <v>61</v>
      </c>
      <c r="D452" s="4"/>
      <c r="E452" s="13" t="s">
        <v>62</v>
      </c>
      <c r="F452" s="7">
        <v>265</v>
      </c>
      <c r="G452" s="8">
        <v>45.25</v>
      </c>
      <c r="H452" s="9">
        <f t="shared" si="3"/>
        <v>11991.25</v>
      </c>
      <c r="I452" s="4">
        <f>F452-SUMIFS([1]Pedidos!G:G, [1]Pedidos!D:D, C452, [1]Pedidos!E:E, E452, [1]Pedidos!F:F, B452)</f>
        <v>86</v>
      </c>
    </row>
    <row r="453" spans="1:9" ht="15.75" thickBot="1">
      <c r="A453" s="4" t="s">
        <v>472</v>
      </c>
      <c r="B453" s="5" t="s">
        <v>557</v>
      </c>
      <c r="C453" s="4" t="s">
        <v>558</v>
      </c>
      <c r="D453" s="6" t="s">
        <v>559</v>
      </c>
      <c r="E453" s="14">
        <v>20</v>
      </c>
      <c r="F453" s="7">
        <v>20</v>
      </c>
      <c r="G453" s="8">
        <v>9350</v>
      </c>
      <c r="H453" s="9">
        <f t="shared" si="3"/>
        <v>187000</v>
      </c>
      <c r="I453" s="4">
        <f>F453-SUMIFS([1]Pedidos!G:G, [1]Pedidos!D:D, C453, [1]Pedidos!E:E, E453, [1]Pedidos!F:F, B453)</f>
        <v>4</v>
      </c>
    </row>
    <row r="454" spans="1:9" ht="15.75" thickBot="1">
      <c r="A454" s="4" t="s">
        <v>472</v>
      </c>
      <c r="B454" s="5" t="s">
        <v>560</v>
      </c>
      <c r="C454" s="4" t="s">
        <v>558</v>
      </c>
      <c r="D454" s="4" t="s">
        <v>561</v>
      </c>
      <c r="E454" s="14">
        <v>21</v>
      </c>
      <c r="F454" s="7">
        <v>50</v>
      </c>
      <c r="G454" s="8">
        <v>2244</v>
      </c>
      <c r="H454" s="9">
        <f t="shared" si="3"/>
        <v>112200</v>
      </c>
      <c r="I454" s="4">
        <f>F454-SUMIFS([1]Pedidos!G:G, [1]Pedidos!D:D, C454, [1]Pedidos!E:E, E454, [1]Pedidos!F:F, B454)</f>
        <v>50</v>
      </c>
    </row>
    <row r="455" spans="1:9" ht="15.75" thickBot="1">
      <c r="A455" s="4" t="s">
        <v>472</v>
      </c>
      <c r="B455" s="5" t="s">
        <v>562</v>
      </c>
      <c r="C455" s="4" t="s">
        <v>511</v>
      </c>
      <c r="D455" s="4" t="s">
        <v>563</v>
      </c>
      <c r="E455" s="14">
        <v>22</v>
      </c>
      <c r="F455" s="7">
        <v>20</v>
      </c>
      <c r="G455" s="8">
        <v>18142.7</v>
      </c>
      <c r="H455" s="9">
        <f t="shared" si="3"/>
        <v>362854</v>
      </c>
      <c r="I455" s="4">
        <f>F455-SUMIFS([1]Pedidos!G:G, [1]Pedidos!D:D, C455, [1]Pedidos!E:E, E455, [1]Pedidos!F:F, B455)</f>
        <v>13</v>
      </c>
    </row>
    <row r="456" spans="1:9" ht="15.75" thickBot="1">
      <c r="A456" s="4" t="s">
        <v>472</v>
      </c>
      <c r="B456" s="5" t="s">
        <v>564</v>
      </c>
      <c r="C456" s="10" t="s">
        <v>61</v>
      </c>
      <c r="D456" s="4"/>
      <c r="E456" s="13" t="s">
        <v>62</v>
      </c>
      <c r="F456" s="7">
        <v>187</v>
      </c>
      <c r="G456" s="8">
        <v>168</v>
      </c>
      <c r="H456" s="9">
        <f t="shared" si="3"/>
        <v>31416</v>
      </c>
      <c r="I456" s="4">
        <f>F456-SUMIFS([1]Pedidos!G:G, [1]Pedidos!D:D, C456, [1]Pedidos!E:E, E456, [1]Pedidos!F:F, B456)</f>
        <v>162</v>
      </c>
    </row>
    <row r="457" spans="1:9" ht="15.75" thickBot="1">
      <c r="A457" s="4" t="s">
        <v>472</v>
      </c>
      <c r="B457" s="5" t="s">
        <v>565</v>
      </c>
      <c r="C457" s="10" t="s">
        <v>61</v>
      </c>
      <c r="D457" s="4"/>
      <c r="E457" s="13" t="s">
        <v>62</v>
      </c>
      <c r="F457" s="7">
        <v>201</v>
      </c>
      <c r="G457" s="8">
        <v>168</v>
      </c>
      <c r="H457" s="9">
        <f t="shared" si="3"/>
        <v>33768</v>
      </c>
      <c r="I457" s="4">
        <f>F457-SUMIFS([1]Pedidos!G:G, [1]Pedidos!D:D, C457, [1]Pedidos!E:E, E457, [1]Pedidos!F:F, B457)</f>
        <v>178</v>
      </c>
    </row>
    <row r="458" spans="1:9" ht="15.75" thickBot="1">
      <c r="A458" s="4" t="s">
        <v>472</v>
      </c>
      <c r="B458" s="5" t="s">
        <v>566</v>
      </c>
      <c r="C458" s="4" t="s">
        <v>567</v>
      </c>
      <c r="D458" s="6" t="s">
        <v>568</v>
      </c>
      <c r="E458" s="14">
        <v>23</v>
      </c>
      <c r="F458" s="7">
        <v>240</v>
      </c>
      <c r="G458" s="8">
        <v>377.98</v>
      </c>
      <c r="H458" s="9">
        <f t="shared" si="3"/>
        <v>90715.200000000012</v>
      </c>
      <c r="I458" s="4">
        <f>F458-SUMIFS([1]Pedidos!G:G, [1]Pedidos!D:D, C458, [1]Pedidos!E:E, E458, [1]Pedidos!F:F, B458)</f>
        <v>240</v>
      </c>
    </row>
    <row r="459" spans="1:9" ht="15.75" thickBot="1">
      <c r="A459" s="4" t="s">
        <v>472</v>
      </c>
      <c r="B459" s="5" t="s">
        <v>566</v>
      </c>
      <c r="C459" s="4" t="s">
        <v>61</v>
      </c>
      <c r="D459" s="4" t="s">
        <v>568</v>
      </c>
      <c r="E459" s="14" t="s">
        <v>62</v>
      </c>
      <c r="F459" s="7">
        <v>115</v>
      </c>
      <c r="G459" s="8">
        <v>18.62</v>
      </c>
      <c r="H459" s="9">
        <f t="shared" si="3"/>
        <v>2141.3000000000002</v>
      </c>
      <c r="I459" s="4">
        <f>F459-SUMIFS([1]Pedidos!G:G, [1]Pedidos!D:D, C459, [1]Pedidos!E:E, E459, [1]Pedidos!F:F, B459)</f>
        <v>115</v>
      </c>
    </row>
    <row r="460" spans="1:9" ht="15.75" thickBot="1">
      <c r="A460" s="4" t="s">
        <v>472</v>
      </c>
      <c r="B460" s="5" t="s">
        <v>569</v>
      </c>
      <c r="C460" s="4" t="s">
        <v>567</v>
      </c>
      <c r="D460" s="4" t="s">
        <v>570</v>
      </c>
      <c r="E460" s="14">
        <v>24</v>
      </c>
      <c r="F460" s="7">
        <v>240</v>
      </c>
      <c r="G460" s="8">
        <v>377.98</v>
      </c>
      <c r="H460" s="9">
        <f t="shared" si="3"/>
        <v>90715.200000000012</v>
      </c>
      <c r="I460" s="4">
        <f>F460-SUMIFS([1]Pedidos!G:G, [1]Pedidos!D:D, C460, [1]Pedidos!E:E, E460, [1]Pedidos!F:F, B460)</f>
        <v>240</v>
      </c>
    </row>
    <row r="461" spans="1:9" ht="15.75" thickBot="1">
      <c r="A461" s="4" t="s">
        <v>472</v>
      </c>
      <c r="B461" s="5" t="s">
        <v>571</v>
      </c>
      <c r="C461" s="4" t="s">
        <v>567</v>
      </c>
      <c r="D461" s="4" t="s">
        <v>572</v>
      </c>
      <c r="E461" s="14">
        <v>25</v>
      </c>
      <c r="F461" s="7">
        <v>240</v>
      </c>
      <c r="G461" s="8">
        <v>377.98</v>
      </c>
      <c r="H461" s="9">
        <f t="shared" si="3"/>
        <v>90715.200000000012</v>
      </c>
      <c r="I461" s="4">
        <f>F461-SUMIFS([1]Pedidos!G:G, [1]Pedidos!D:D, C461, [1]Pedidos!E:E, E461, [1]Pedidos!F:F, B461)</f>
        <v>240</v>
      </c>
    </row>
    <row r="462" spans="1:9" ht="15.75" thickBot="1">
      <c r="A462" s="4" t="s">
        <v>472</v>
      </c>
      <c r="B462" s="5" t="s">
        <v>571</v>
      </c>
      <c r="C462" s="4" t="s">
        <v>61</v>
      </c>
      <c r="D462" s="4" t="s">
        <v>572</v>
      </c>
      <c r="E462" s="14" t="s">
        <v>62</v>
      </c>
      <c r="F462" s="7">
        <v>102</v>
      </c>
      <c r="G462" s="8">
        <v>18.62</v>
      </c>
      <c r="H462" s="9">
        <f t="shared" si="3"/>
        <v>1899.24</v>
      </c>
      <c r="I462" s="4">
        <f>F462-SUMIFS([1]Pedidos!G:G, [1]Pedidos!D:D, C462, [1]Pedidos!E:E, E462, [1]Pedidos!F:F, B462)</f>
        <v>102</v>
      </c>
    </row>
    <row r="463" spans="1:9" ht="15.75" thickBot="1">
      <c r="A463" s="4" t="s">
        <v>472</v>
      </c>
      <c r="B463" s="5" t="s">
        <v>573</v>
      </c>
      <c r="C463" s="4" t="s">
        <v>567</v>
      </c>
      <c r="D463" s="4" t="s">
        <v>574</v>
      </c>
      <c r="E463" s="14">
        <v>26</v>
      </c>
      <c r="F463" s="7">
        <v>240</v>
      </c>
      <c r="G463" s="8">
        <v>377.98</v>
      </c>
      <c r="H463" s="9">
        <f t="shared" si="3"/>
        <v>90715.200000000012</v>
      </c>
      <c r="I463" s="4">
        <f>F463-SUMIFS([1]Pedidos!G:G, [1]Pedidos!D:D, C463, [1]Pedidos!E:E, E463, [1]Pedidos!F:F, B463)</f>
        <v>240</v>
      </c>
    </row>
    <row r="464" spans="1:9" ht="15.75" thickBot="1">
      <c r="A464" s="4" t="s">
        <v>472</v>
      </c>
      <c r="B464" s="5" t="s">
        <v>573</v>
      </c>
      <c r="C464" s="4" t="s">
        <v>61</v>
      </c>
      <c r="D464" s="4" t="s">
        <v>574</v>
      </c>
      <c r="E464" s="14" t="s">
        <v>62</v>
      </c>
      <c r="F464" s="7">
        <v>160</v>
      </c>
      <c r="G464" s="8">
        <v>18.62</v>
      </c>
      <c r="H464" s="9">
        <f t="shared" si="3"/>
        <v>2979.2000000000003</v>
      </c>
      <c r="I464" s="4">
        <f>F464-SUMIFS([1]Pedidos!G:G, [1]Pedidos!D:D, C464, [1]Pedidos!E:E, E464, [1]Pedidos!F:F, B464)</f>
        <v>151</v>
      </c>
    </row>
    <row r="465" spans="1:9" ht="15.75" thickBot="1">
      <c r="A465" s="4" t="s">
        <v>472</v>
      </c>
      <c r="B465" s="5" t="s">
        <v>575</v>
      </c>
      <c r="C465" s="10" t="s">
        <v>61</v>
      </c>
      <c r="D465" s="4"/>
      <c r="E465" s="13" t="s">
        <v>62</v>
      </c>
      <c r="F465" s="7">
        <v>50</v>
      </c>
      <c r="G465" s="8">
        <v>3.3</v>
      </c>
      <c r="H465" s="9">
        <f t="shared" si="3"/>
        <v>165</v>
      </c>
      <c r="I465" s="4">
        <f>F465-SUMIFS([1]Pedidos!G:G, [1]Pedidos!D:D, C465, [1]Pedidos!E:E, E465, [1]Pedidos!F:F, B465)</f>
        <v>18</v>
      </c>
    </row>
    <row r="466" spans="1:9" ht="15.75" thickBot="1">
      <c r="A466" s="4" t="s">
        <v>472</v>
      </c>
      <c r="B466" s="5" t="s">
        <v>576</v>
      </c>
      <c r="C466" s="10" t="s">
        <v>61</v>
      </c>
      <c r="D466" s="4"/>
      <c r="E466" s="13" t="s">
        <v>62</v>
      </c>
      <c r="F466" s="7">
        <v>37</v>
      </c>
      <c r="G466" s="8">
        <v>229.9</v>
      </c>
      <c r="H466" s="9">
        <f t="shared" si="3"/>
        <v>8506.3000000000011</v>
      </c>
      <c r="I466" s="4">
        <f>F466-SUMIFS([1]Pedidos!G:G, [1]Pedidos!D:D, C466, [1]Pedidos!E:E, E466, [1]Pedidos!F:F, B466)</f>
        <v>26</v>
      </c>
    </row>
    <row r="467" spans="1:9" ht="15.75" thickBot="1">
      <c r="A467" s="4" t="s">
        <v>472</v>
      </c>
      <c r="B467" s="5" t="s">
        <v>577</v>
      </c>
      <c r="C467" s="10" t="s">
        <v>61</v>
      </c>
      <c r="D467" s="4"/>
      <c r="E467" s="13" t="s">
        <v>62</v>
      </c>
      <c r="F467" s="7">
        <v>27</v>
      </c>
      <c r="G467" s="8">
        <v>229.9</v>
      </c>
      <c r="H467" s="9">
        <f t="shared" si="3"/>
        <v>6207.3</v>
      </c>
      <c r="I467" s="4">
        <f>F467-SUMIFS([1]Pedidos!G:G, [1]Pedidos!D:D, C467, [1]Pedidos!E:E, E467, [1]Pedidos!F:F, B467)</f>
        <v>8</v>
      </c>
    </row>
    <row r="468" spans="1:9" ht="15.75" thickBot="1">
      <c r="A468" s="4" t="s">
        <v>472</v>
      </c>
      <c r="B468" s="5" t="s">
        <v>578</v>
      </c>
      <c r="C468" s="10" t="s">
        <v>61</v>
      </c>
      <c r="D468" s="4"/>
      <c r="E468" s="13" t="s">
        <v>62</v>
      </c>
      <c r="F468" s="7">
        <v>232</v>
      </c>
      <c r="G468" s="8">
        <v>180.29</v>
      </c>
      <c r="H468" s="9">
        <f t="shared" si="3"/>
        <v>41827.279999999999</v>
      </c>
      <c r="I468" s="4">
        <f>F468-SUMIFS([1]Pedidos!G:G, [1]Pedidos!D:D, C468, [1]Pedidos!E:E, E468, [1]Pedidos!F:F, B468)</f>
        <v>213</v>
      </c>
    </row>
    <row r="469" spans="1:9" ht="15.75" thickBot="1">
      <c r="A469" s="4" t="s">
        <v>472</v>
      </c>
      <c r="B469" s="5" t="s">
        <v>579</v>
      </c>
      <c r="C469" s="10" t="s">
        <v>61</v>
      </c>
      <c r="D469" s="4"/>
      <c r="E469" s="13" t="s">
        <v>62</v>
      </c>
      <c r="F469" s="7">
        <v>205</v>
      </c>
      <c r="G469" s="8">
        <v>180.29</v>
      </c>
      <c r="H469" s="9">
        <f t="shared" si="3"/>
        <v>36959.449999999997</v>
      </c>
      <c r="I469" s="4">
        <f>F469-SUMIFS([1]Pedidos!G:G, [1]Pedidos!D:D, C469, [1]Pedidos!E:E, E469, [1]Pedidos!F:F, B469)</f>
        <v>192</v>
      </c>
    </row>
    <row r="470" spans="1:9" ht="15.75" thickBot="1">
      <c r="A470" s="4" t="s">
        <v>472</v>
      </c>
      <c r="B470" s="5" t="s">
        <v>580</v>
      </c>
      <c r="C470" s="10" t="s">
        <v>61</v>
      </c>
      <c r="D470" s="4"/>
      <c r="E470" s="13" t="s">
        <v>62</v>
      </c>
      <c r="F470" s="7">
        <v>240</v>
      </c>
      <c r="G470" s="8">
        <v>180.29</v>
      </c>
      <c r="H470" s="9">
        <f t="shared" si="3"/>
        <v>43269.599999999999</v>
      </c>
      <c r="I470" s="4">
        <f>F470-SUMIFS([1]Pedidos!G:G, [1]Pedidos!D:D, C470, [1]Pedidos!E:E, E470, [1]Pedidos!F:F, B470)</f>
        <v>217</v>
      </c>
    </row>
    <row r="471" spans="1:9" ht="15.75" thickBot="1">
      <c r="A471" s="4" t="s">
        <v>472</v>
      </c>
      <c r="B471" s="5" t="s">
        <v>581</v>
      </c>
      <c r="C471" s="10" t="s">
        <v>61</v>
      </c>
      <c r="D471" s="4"/>
      <c r="E471" s="13" t="s">
        <v>62</v>
      </c>
      <c r="F471" s="7">
        <v>294</v>
      </c>
      <c r="G471" s="8">
        <v>180.29</v>
      </c>
      <c r="H471" s="9">
        <f t="shared" si="3"/>
        <v>53005.259999999995</v>
      </c>
      <c r="I471" s="4">
        <f>F471-SUMIFS([1]Pedidos!G:G, [1]Pedidos!D:D, C471, [1]Pedidos!E:E, E471, [1]Pedidos!F:F, B471)</f>
        <v>281</v>
      </c>
    </row>
    <row r="472" spans="1:9" ht="15.75" thickBot="1">
      <c r="A472" s="4" t="s">
        <v>472</v>
      </c>
      <c r="B472" s="5" t="s">
        <v>582</v>
      </c>
      <c r="C472" s="10" t="s">
        <v>61</v>
      </c>
      <c r="D472" s="4"/>
      <c r="E472" s="13" t="s">
        <v>62</v>
      </c>
      <c r="F472" s="7">
        <v>201</v>
      </c>
      <c r="G472" s="8">
        <v>180.29</v>
      </c>
      <c r="H472" s="9">
        <f t="shared" si="3"/>
        <v>36238.29</v>
      </c>
      <c r="I472" s="4">
        <f>F472-SUMIFS([1]Pedidos!G:G, [1]Pedidos!D:D, C472, [1]Pedidos!E:E, E472, [1]Pedidos!F:F, B472)</f>
        <v>191</v>
      </c>
    </row>
    <row r="473" spans="1:9" ht="15.75" thickBot="1">
      <c r="A473" s="4" t="s">
        <v>472</v>
      </c>
      <c r="B473" s="5" t="s">
        <v>583</v>
      </c>
      <c r="C473" s="10" t="s">
        <v>61</v>
      </c>
      <c r="D473" s="4"/>
      <c r="E473" s="13" t="s">
        <v>62</v>
      </c>
      <c r="F473" s="7">
        <v>221</v>
      </c>
      <c r="G473" s="8">
        <v>180.29</v>
      </c>
      <c r="H473" s="9">
        <f t="shared" si="3"/>
        <v>39844.089999999997</v>
      </c>
      <c r="I473" s="4">
        <f>F473-SUMIFS([1]Pedidos!G:G, [1]Pedidos!D:D, C473, [1]Pedidos!E:E, E473, [1]Pedidos!F:F, B473)</f>
        <v>221</v>
      </c>
    </row>
    <row r="474" spans="1:9" ht="15.75" thickBot="1">
      <c r="A474" s="4" t="s">
        <v>472</v>
      </c>
      <c r="B474" s="5" t="s">
        <v>584</v>
      </c>
      <c r="C474" s="4" t="s">
        <v>585</v>
      </c>
      <c r="D474" s="6" t="s">
        <v>586</v>
      </c>
      <c r="E474" s="14">
        <v>1</v>
      </c>
      <c r="F474" s="7">
        <v>1000</v>
      </c>
      <c r="G474" s="8">
        <v>4310</v>
      </c>
      <c r="H474" s="9">
        <f t="shared" si="3"/>
        <v>4310000</v>
      </c>
      <c r="I474" s="4">
        <f>F474-SUMIFS([1]Pedidos!G:G, [1]Pedidos!D:D, C474, [1]Pedidos!E:E, E474, [1]Pedidos!F:F, B474)</f>
        <v>814</v>
      </c>
    </row>
    <row r="475" spans="1:9" ht="15.75" thickBot="1">
      <c r="A475" s="4" t="s">
        <v>472</v>
      </c>
      <c r="B475" s="5" t="s">
        <v>587</v>
      </c>
      <c r="C475" s="10" t="s">
        <v>61</v>
      </c>
      <c r="D475" s="4"/>
      <c r="E475" s="13" t="s">
        <v>62</v>
      </c>
      <c r="F475" s="7">
        <v>391</v>
      </c>
      <c r="G475" s="8">
        <v>1880</v>
      </c>
      <c r="H475" s="9">
        <f t="shared" si="3"/>
        <v>735080</v>
      </c>
      <c r="I475" s="4">
        <f>F475-SUMIFS([1]Pedidos!G:G, [1]Pedidos!D:D, C475, [1]Pedidos!E:E, E475, [1]Pedidos!F:F, B475)</f>
        <v>334</v>
      </c>
    </row>
    <row r="476" spans="1:9" ht="15.75" thickBot="1">
      <c r="A476" s="4" t="s">
        <v>472</v>
      </c>
      <c r="B476" s="5" t="s">
        <v>588</v>
      </c>
      <c r="C476" s="10" t="s">
        <v>61</v>
      </c>
      <c r="D476" s="4"/>
      <c r="E476" s="13" t="s">
        <v>62</v>
      </c>
      <c r="F476" s="7">
        <v>5</v>
      </c>
      <c r="G476" s="8">
        <v>4089.8</v>
      </c>
      <c r="H476" s="9">
        <f t="shared" si="3"/>
        <v>20449</v>
      </c>
      <c r="I476" s="4">
        <f>F476-SUMIFS([1]Pedidos!G:G, [1]Pedidos!D:D, C476, [1]Pedidos!E:E, E476, [1]Pedidos!F:F, B476)</f>
        <v>5</v>
      </c>
    </row>
    <row r="477" spans="1:9" ht="15.75" thickBot="1">
      <c r="A477" s="4" t="s">
        <v>472</v>
      </c>
      <c r="B477" s="5" t="s">
        <v>589</v>
      </c>
      <c r="C477" s="10" t="s">
        <v>61</v>
      </c>
      <c r="D477" s="4"/>
      <c r="E477" s="13" t="s">
        <v>62</v>
      </c>
      <c r="F477" s="7">
        <v>12</v>
      </c>
      <c r="G477" s="8">
        <v>135</v>
      </c>
      <c r="H477" s="9">
        <f t="shared" si="3"/>
        <v>1620</v>
      </c>
      <c r="I477" s="4">
        <f>F477-SUMIFS([1]Pedidos!G:G, [1]Pedidos!D:D, C477, [1]Pedidos!E:E, E477, [1]Pedidos!F:F, B477)</f>
        <v>12</v>
      </c>
    </row>
    <row r="478" spans="1:9" ht="15.75" thickBot="1">
      <c r="A478" s="4" t="s">
        <v>472</v>
      </c>
      <c r="B478" s="5" t="s">
        <v>590</v>
      </c>
      <c r="C478" s="10" t="s">
        <v>61</v>
      </c>
      <c r="D478" s="4"/>
      <c r="E478" s="13" t="s">
        <v>62</v>
      </c>
      <c r="F478" s="7">
        <v>806</v>
      </c>
      <c r="G478" s="8">
        <v>1</v>
      </c>
      <c r="H478" s="9">
        <f t="shared" si="3"/>
        <v>806</v>
      </c>
      <c r="I478" s="4">
        <f>F478-SUMIFS([1]Pedidos!G:G, [1]Pedidos!D:D, C478, [1]Pedidos!E:E, E478, [1]Pedidos!F:F, B478)</f>
        <v>806</v>
      </c>
    </row>
    <row r="479" spans="1:9" ht="15.75" thickBot="1">
      <c r="A479" s="4" t="s">
        <v>472</v>
      </c>
      <c r="B479" s="5" t="s">
        <v>591</v>
      </c>
      <c r="C479" s="10" t="s">
        <v>61</v>
      </c>
      <c r="D479" s="4"/>
      <c r="E479" s="13" t="s">
        <v>62</v>
      </c>
      <c r="F479" s="7">
        <v>62</v>
      </c>
      <c r="G479" s="8">
        <v>2.8</v>
      </c>
      <c r="H479" s="9">
        <f t="shared" si="3"/>
        <v>173.6</v>
      </c>
      <c r="I479" s="4">
        <f>F479-SUMIFS([1]Pedidos!G:G, [1]Pedidos!D:D, C479, [1]Pedidos!E:E, E479, [1]Pedidos!F:F, B479)</f>
        <v>62</v>
      </c>
    </row>
    <row r="480" spans="1:9" ht="15.75" thickBot="1">
      <c r="A480" s="4" t="s">
        <v>472</v>
      </c>
      <c r="B480" s="5" t="s">
        <v>592</v>
      </c>
      <c r="C480" s="10" t="s">
        <v>61</v>
      </c>
      <c r="D480" s="4"/>
      <c r="E480" s="13" t="s">
        <v>62</v>
      </c>
      <c r="F480" s="7">
        <v>22</v>
      </c>
      <c r="G480" s="15">
        <v>93.5</v>
      </c>
      <c r="H480" s="9">
        <f t="shared" si="3"/>
        <v>2057</v>
      </c>
      <c r="I480" s="4">
        <f>F480-SUMIFS([1]Pedidos!G:G, [1]Pedidos!D:D, C480, [1]Pedidos!E:E, E480, [1]Pedidos!F:F, B480)</f>
        <v>13</v>
      </c>
    </row>
    <row r="481" spans="1:9" ht="15.75" thickBot="1">
      <c r="A481" s="4" t="s">
        <v>472</v>
      </c>
      <c r="B481" s="5" t="s">
        <v>592</v>
      </c>
      <c r="C481" s="10" t="s">
        <v>67</v>
      </c>
      <c r="D481" s="4"/>
      <c r="E481" s="13" t="s">
        <v>62</v>
      </c>
      <c r="F481" s="7">
        <v>30</v>
      </c>
      <c r="G481" s="15">
        <v>498</v>
      </c>
      <c r="H481" s="9">
        <f t="shared" si="3"/>
        <v>14940</v>
      </c>
      <c r="I481" s="4">
        <f>F481-SUMIFS([1]Pedidos!G:G, [1]Pedidos!D:D, C481, [1]Pedidos!E:E, E481, [1]Pedidos!F:F, B481)</f>
        <v>30</v>
      </c>
    </row>
    <row r="482" spans="1:9" ht="15.75" thickBot="1">
      <c r="A482" s="4" t="s">
        <v>472</v>
      </c>
      <c r="B482" s="5" t="s">
        <v>593</v>
      </c>
      <c r="C482" s="10" t="s">
        <v>61</v>
      </c>
      <c r="D482" s="4"/>
      <c r="E482" s="13" t="s">
        <v>62</v>
      </c>
      <c r="F482" s="7">
        <v>27</v>
      </c>
      <c r="G482" s="15">
        <v>765</v>
      </c>
      <c r="H482" s="9">
        <f t="shared" si="3"/>
        <v>20655</v>
      </c>
      <c r="I482" s="4">
        <f>F482-SUMIFS([1]Pedidos!G:G, [1]Pedidos!D:D, C482, [1]Pedidos!E:E, E482, [1]Pedidos!F:F, B482)</f>
        <v>27</v>
      </c>
    </row>
    <row r="483" spans="1:9" ht="15.75" thickBot="1">
      <c r="A483" s="4" t="s">
        <v>472</v>
      </c>
      <c r="B483" s="5" t="s">
        <v>594</v>
      </c>
      <c r="C483" s="10" t="s">
        <v>61</v>
      </c>
      <c r="D483" s="4"/>
      <c r="E483" s="13" t="s">
        <v>62</v>
      </c>
      <c r="F483" s="7">
        <v>63</v>
      </c>
      <c r="G483" s="15">
        <v>188.4</v>
      </c>
      <c r="H483" s="9">
        <f t="shared" si="3"/>
        <v>11869.2</v>
      </c>
      <c r="I483" s="4">
        <f>F483-SUMIFS([1]Pedidos!G:G, [1]Pedidos!D:D, C483, [1]Pedidos!E:E, E483, [1]Pedidos!F:F, B483)</f>
        <v>63</v>
      </c>
    </row>
    <row r="484" spans="1:9" ht="15.75" thickBot="1">
      <c r="A484" s="4" t="s">
        <v>472</v>
      </c>
      <c r="B484" s="5" t="s">
        <v>595</v>
      </c>
      <c r="C484" s="10" t="s">
        <v>61</v>
      </c>
      <c r="D484" s="4"/>
      <c r="E484" s="13" t="s">
        <v>62</v>
      </c>
      <c r="F484" s="7">
        <v>38</v>
      </c>
      <c r="G484" s="15">
        <v>196.4</v>
      </c>
      <c r="H484" s="9">
        <f t="shared" si="3"/>
        <v>7463.2</v>
      </c>
      <c r="I484" s="4">
        <f>F484-SUMIFS([1]Pedidos!G:G, [1]Pedidos!D:D, C484, [1]Pedidos!E:E, E484, [1]Pedidos!F:F, B484)</f>
        <v>38</v>
      </c>
    </row>
    <row r="485" spans="1:9" ht="15.75" thickBot="1">
      <c r="A485" s="4" t="s">
        <v>472</v>
      </c>
      <c r="B485" s="5" t="s">
        <v>596</v>
      </c>
      <c r="C485" s="10" t="s">
        <v>61</v>
      </c>
      <c r="D485" s="4"/>
      <c r="E485" s="13" t="s">
        <v>62</v>
      </c>
      <c r="F485" s="7">
        <v>47</v>
      </c>
      <c r="G485" s="15">
        <v>28.16</v>
      </c>
      <c r="H485" s="9">
        <f t="shared" si="3"/>
        <v>1323.52</v>
      </c>
      <c r="I485" s="4">
        <f>F485-SUMIFS([1]Pedidos!G:G, [1]Pedidos!D:D, C485, [1]Pedidos!E:E, E485, [1]Pedidos!F:F, B485)</f>
        <v>47</v>
      </c>
    </row>
    <row r="486" spans="1:9" ht="15.75" thickBot="1">
      <c r="A486" s="4" t="s">
        <v>472</v>
      </c>
      <c r="B486" s="5" t="s">
        <v>597</v>
      </c>
      <c r="C486" s="10" t="s">
        <v>61</v>
      </c>
      <c r="D486" s="4"/>
      <c r="E486" s="13" t="s">
        <v>62</v>
      </c>
      <c r="F486" s="7">
        <v>113</v>
      </c>
      <c r="G486" s="15">
        <v>111.49</v>
      </c>
      <c r="H486" s="9">
        <f t="shared" si="3"/>
        <v>12598.369999999999</v>
      </c>
      <c r="I486" s="4">
        <f>F486-SUMIFS([1]Pedidos!G:G, [1]Pedidos!D:D, C486, [1]Pedidos!E:E, E486, [1]Pedidos!F:F, B486)</f>
        <v>94</v>
      </c>
    </row>
    <row r="487" spans="1:9" ht="15.75" thickBot="1">
      <c r="A487" s="4" t="s">
        <v>472</v>
      </c>
      <c r="B487" s="5" t="s">
        <v>598</v>
      </c>
      <c r="C487" s="10" t="s">
        <v>61</v>
      </c>
      <c r="D487" s="4"/>
      <c r="E487" s="13" t="s">
        <v>62</v>
      </c>
      <c r="F487" s="7">
        <v>10</v>
      </c>
      <c r="G487" s="15">
        <v>1825</v>
      </c>
      <c r="H487" s="9">
        <f t="shared" si="3"/>
        <v>18250</v>
      </c>
      <c r="I487" s="4">
        <f>F487-SUMIFS([1]Pedidos!G:G, [1]Pedidos!D:D, C487, [1]Pedidos!E:E, E487, [1]Pedidos!F:F, B487)</f>
        <v>10</v>
      </c>
    </row>
    <row r="488" spans="1:9" ht="15.75" thickBot="1">
      <c r="A488" s="4" t="s">
        <v>472</v>
      </c>
      <c r="B488" s="5" t="s">
        <v>599</v>
      </c>
      <c r="C488" s="10" t="s">
        <v>61</v>
      </c>
      <c r="D488" s="4"/>
      <c r="E488" s="13" t="s">
        <v>62</v>
      </c>
      <c r="F488" s="7">
        <v>10</v>
      </c>
      <c r="G488" s="15">
        <v>568</v>
      </c>
      <c r="H488" s="9">
        <f t="shared" si="3"/>
        <v>5680</v>
      </c>
      <c r="I488" s="4">
        <f>F488-SUMIFS([1]Pedidos!G:G, [1]Pedidos!D:D, C488, [1]Pedidos!E:E, E488, [1]Pedidos!F:F, B488)</f>
        <v>10</v>
      </c>
    </row>
    <row r="489" spans="1:9" ht="15.75" thickBot="1">
      <c r="A489" s="4" t="s">
        <v>472</v>
      </c>
      <c r="B489" s="5" t="s">
        <v>600</v>
      </c>
      <c r="C489" s="10" t="s">
        <v>61</v>
      </c>
      <c r="D489" s="4"/>
      <c r="E489" s="13" t="s">
        <v>62</v>
      </c>
      <c r="F489" s="7">
        <v>390</v>
      </c>
      <c r="G489" s="8">
        <v>29.8</v>
      </c>
      <c r="H489" s="9">
        <f t="shared" si="3"/>
        <v>11622</v>
      </c>
      <c r="I489" s="4">
        <f>F489-SUMIFS([1]Pedidos!G:G, [1]Pedidos!D:D, C489, [1]Pedidos!E:E, E489, [1]Pedidos!F:F, B489)</f>
        <v>390</v>
      </c>
    </row>
    <row r="490" spans="1:9" ht="15.75" thickBot="1">
      <c r="A490" s="4" t="s">
        <v>472</v>
      </c>
      <c r="B490" s="5" t="s">
        <v>601</v>
      </c>
      <c r="C490" s="4" t="s">
        <v>488</v>
      </c>
      <c r="D490" s="6" t="s">
        <v>602</v>
      </c>
      <c r="E490" s="14">
        <v>27</v>
      </c>
      <c r="F490" s="7">
        <v>420</v>
      </c>
      <c r="G490" s="8">
        <v>202.6</v>
      </c>
      <c r="H490" s="9">
        <f t="shared" si="3"/>
        <v>85092</v>
      </c>
      <c r="I490" s="4">
        <f>F490-SUMIFS([1]Pedidos!G:G, [1]Pedidos!D:D, C490, [1]Pedidos!E:E, E490, [1]Pedidos!F:F, B490)</f>
        <v>223</v>
      </c>
    </row>
    <row r="491" spans="1:9" ht="15.75" thickBot="1">
      <c r="A491" s="4" t="s">
        <v>472</v>
      </c>
      <c r="B491" s="5" t="s">
        <v>603</v>
      </c>
      <c r="C491" s="4" t="s">
        <v>488</v>
      </c>
      <c r="D491" s="4" t="s">
        <v>604</v>
      </c>
      <c r="E491" s="14">
        <v>28</v>
      </c>
      <c r="F491" s="7">
        <v>420</v>
      </c>
      <c r="G491" s="8">
        <v>202.6</v>
      </c>
      <c r="H491" s="9">
        <f t="shared" si="3"/>
        <v>85092</v>
      </c>
      <c r="I491" s="4">
        <f>F491-SUMIFS([1]Pedidos!G:G, [1]Pedidos!D:D, C491, [1]Pedidos!E:E, E491, [1]Pedidos!F:F, B491)</f>
        <v>234</v>
      </c>
    </row>
    <row r="492" spans="1:9" ht="15.75" thickBot="1">
      <c r="A492" s="4" t="s">
        <v>472</v>
      </c>
      <c r="B492" s="5" t="s">
        <v>605</v>
      </c>
      <c r="C492" s="4" t="s">
        <v>488</v>
      </c>
      <c r="D492" s="4" t="s">
        <v>606</v>
      </c>
      <c r="E492" s="14">
        <v>29</v>
      </c>
      <c r="F492" s="7">
        <v>420</v>
      </c>
      <c r="G492" s="8">
        <v>202.6</v>
      </c>
      <c r="H492" s="9">
        <f t="shared" si="3"/>
        <v>85092</v>
      </c>
      <c r="I492" s="4">
        <f>F492-SUMIFS([1]Pedidos!G:G, [1]Pedidos!D:D, C492, [1]Pedidos!E:E, E492, [1]Pedidos!F:F, B492)</f>
        <v>224</v>
      </c>
    </row>
    <row r="493" spans="1:9" ht="15.75" thickBot="1">
      <c r="A493" s="4" t="s">
        <v>472</v>
      </c>
      <c r="B493" s="5" t="s">
        <v>607</v>
      </c>
      <c r="C493" s="4" t="s">
        <v>488</v>
      </c>
      <c r="D493" s="4" t="s">
        <v>606</v>
      </c>
      <c r="E493" s="14">
        <v>30</v>
      </c>
      <c r="F493" s="7">
        <v>420</v>
      </c>
      <c r="G493" s="8">
        <v>202.6</v>
      </c>
      <c r="H493" s="9">
        <f t="shared" si="3"/>
        <v>85092</v>
      </c>
      <c r="I493" s="4">
        <f>F493-SUMIFS([1]Pedidos!G:G, [1]Pedidos!D:D, C493, [1]Pedidos!E:E, E493, [1]Pedidos!F:F, B493)</f>
        <v>230</v>
      </c>
    </row>
    <row r="494" spans="1:9" ht="15.75" thickBot="1">
      <c r="A494" s="4" t="s">
        <v>472</v>
      </c>
      <c r="B494" s="5" t="s">
        <v>608</v>
      </c>
      <c r="C494" s="4" t="s">
        <v>488</v>
      </c>
      <c r="D494" s="4" t="s">
        <v>606</v>
      </c>
      <c r="E494" s="14">
        <v>31</v>
      </c>
      <c r="F494" s="7">
        <v>420</v>
      </c>
      <c r="G494" s="8">
        <v>202.6</v>
      </c>
      <c r="H494" s="9">
        <f t="shared" si="3"/>
        <v>85092</v>
      </c>
      <c r="I494" s="4">
        <f>F494-SUMIFS([1]Pedidos!G:G, [1]Pedidos!D:D, C494, [1]Pedidos!E:E, E494, [1]Pedidos!F:F, B494)</f>
        <v>224</v>
      </c>
    </row>
    <row r="495" spans="1:9" ht="15.75" thickBot="1">
      <c r="A495" s="4" t="s">
        <v>472</v>
      </c>
      <c r="B495" s="5" t="s">
        <v>609</v>
      </c>
      <c r="C495" s="10" t="s">
        <v>61</v>
      </c>
      <c r="D495" s="4"/>
      <c r="E495" s="13" t="s">
        <v>62</v>
      </c>
      <c r="F495" s="7">
        <v>907</v>
      </c>
      <c r="G495" s="8">
        <v>363</v>
      </c>
      <c r="H495" s="9">
        <f t="shared" si="3"/>
        <v>329241</v>
      </c>
      <c r="I495" s="4">
        <f>F495-SUMIFS([1]Pedidos!G:G, [1]Pedidos!D:D, C495, [1]Pedidos!E:E, E495, [1]Pedidos!F:F, B495)</f>
        <v>898</v>
      </c>
    </row>
    <row r="496" spans="1:9" ht="15.75" thickBot="1">
      <c r="A496" s="4" t="s">
        <v>472</v>
      </c>
      <c r="B496" s="5" t="s">
        <v>610</v>
      </c>
      <c r="C496" s="4" t="s">
        <v>478</v>
      </c>
      <c r="D496" s="6" t="s">
        <v>611</v>
      </c>
      <c r="E496" s="14">
        <v>32</v>
      </c>
      <c r="F496" s="7">
        <v>100</v>
      </c>
      <c r="G496" s="8">
        <v>142.08000000000001</v>
      </c>
      <c r="H496" s="9">
        <f t="shared" si="3"/>
        <v>14208.000000000002</v>
      </c>
      <c r="I496" s="4">
        <f>F496-SUMIFS([1]Pedidos!G:G, [1]Pedidos!D:D, C496, [1]Pedidos!E:E, E496, [1]Pedidos!F:F, B496)</f>
        <v>10</v>
      </c>
    </row>
    <row r="497" spans="1:9" ht="15.75" thickBot="1">
      <c r="A497" s="4" t="s">
        <v>472</v>
      </c>
      <c r="B497" s="5" t="s">
        <v>612</v>
      </c>
      <c r="C497" s="10" t="s">
        <v>61</v>
      </c>
      <c r="D497" s="4"/>
      <c r="E497" s="13" t="s">
        <v>62</v>
      </c>
      <c r="F497" s="7">
        <v>40</v>
      </c>
      <c r="G497" s="8">
        <v>38</v>
      </c>
      <c r="H497" s="9">
        <f t="shared" si="3"/>
        <v>1520</v>
      </c>
      <c r="I497" s="4">
        <f>F497-SUMIFS([1]Pedidos!G:G, [1]Pedidos!D:D, C497, [1]Pedidos!E:E, E497, [1]Pedidos!F:F, B497)</f>
        <v>39</v>
      </c>
    </row>
    <row r="498" spans="1:9" ht="15.75" thickBot="1">
      <c r="A498" s="4" t="s">
        <v>472</v>
      </c>
      <c r="B498" s="5" t="s">
        <v>612</v>
      </c>
      <c r="C498" s="10" t="s">
        <v>67</v>
      </c>
      <c r="D498" s="4"/>
      <c r="E498" s="13" t="s">
        <v>62</v>
      </c>
      <c r="F498" s="7">
        <v>20</v>
      </c>
      <c r="G498" s="8">
        <v>138.47999999999999</v>
      </c>
      <c r="H498" s="9">
        <f t="shared" si="3"/>
        <v>2769.6</v>
      </c>
      <c r="I498" s="4">
        <f>F498-SUMIFS([1]Pedidos!G:G, [1]Pedidos!D:D, C498, [1]Pedidos!E:E, E498, [1]Pedidos!F:F, B498)</f>
        <v>20</v>
      </c>
    </row>
    <row r="499" spans="1:9" ht="15.75" thickBot="1">
      <c r="A499" s="4" t="s">
        <v>472</v>
      </c>
      <c r="B499" s="5" t="s">
        <v>613</v>
      </c>
      <c r="C499" s="10" t="s">
        <v>61</v>
      </c>
      <c r="D499" s="4"/>
      <c r="E499" s="13" t="s">
        <v>62</v>
      </c>
      <c r="F499" s="7">
        <v>28</v>
      </c>
      <c r="G499" s="8">
        <v>58</v>
      </c>
      <c r="H499" s="9">
        <f t="shared" si="3"/>
        <v>1624</v>
      </c>
      <c r="I499" s="4">
        <f>F499-SUMIFS([1]Pedidos!G:G, [1]Pedidos!D:D, C499, [1]Pedidos!E:E, E499, [1]Pedidos!F:F, B499)</f>
        <v>28</v>
      </c>
    </row>
    <row r="500" spans="1:9" ht="15.75" thickBot="1">
      <c r="A500" s="4" t="s">
        <v>472</v>
      </c>
      <c r="B500" s="5" t="s">
        <v>613</v>
      </c>
      <c r="C500" s="10" t="s">
        <v>67</v>
      </c>
      <c r="D500" s="4"/>
      <c r="E500" s="13" t="s">
        <v>62</v>
      </c>
      <c r="F500" s="7">
        <v>20</v>
      </c>
      <c r="G500" s="8">
        <v>178</v>
      </c>
      <c r="H500" s="9">
        <f t="shared" si="3"/>
        <v>3560</v>
      </c>
      <c r="I500" s="4">
        <f>F500-SUMIFS([1]Pedidos!G:G, [1]Pedidos!D:D, C500, [1]Pedidos!E:E, E500, [1]Pedidos!F:F, B500)</f>
        <v>20</v>
      </c>
    </row>
    <row r="501" spans="1:9" ht="15.75" thickBot="1">
      <c r="A501" s="4" t="s">
        <v>472</v>
      </c>
      <c r="B501" s="5" t="s">
        <v>614</v>
      </c>
      <c r="C501" s="10" t="s">
        <v>61</v>
      </c>
      <c r="D501" s="4"/>
      <c r="E501" s="13" t="s">
        <v>62</v>
      </c>
      <c r="F501" s="7">
        <v>453</v>
      </c>
      <c r="G501" s="8">
        <v>138</v>
      </c>
      <c r="H501" s="9">
        <f t="shared" si="3"/>
        <v>62514</v>
      </c>
      <c r="I501" s="4">
        <f>F501-SUMIFS([1]Pedidos!G:G, [1]Pedidos!D:D, C501, [1]Pedidos!E:E, E501, [1]Pedidos!F:F, B501)</f>
        <v>453</v>
      </c>
    </row>
    <row r="502" spans="1:9" ht="15.75" thickBot="1">
      <c r="A502" s="4" t="s">
        <v>472</v>
      </c>
      <c r="B502" s="5" t="s">
        <v>615</v>
      </c>
      <c r="C502" s="10" t="s">
        <v>61</v>
      </c>
      <c r="D502" s="4"/>
      <c r="E502" s="13" t="s">
        <v>62</v>
      </c>
      <c r="F502" s="7">
        <v>4269</v>
      </c>
      <c r="G502" s="8">
        <v>0.42399999999999999</v>
      </c>
      <c r="H502" s="9">
        <f t="shared" si="3"/>
        <v>1810.056</v>
      </c>
      <c r="I502" s="4">
        <f>F502-SUMIFS([1]Pedidos!G:G, [1]Pedidos!D:D, C502, [1]Pedidos!E:E, E502, [1]Pedidos!F:F, B502)</f>
        <v>4269</v>
      </c>
    </row>
    <row r="503" spans="1:9" ht="15.75" thickBot="1">
      <c r="A503" s="4" t="s">
        <v>472</v>
      </c>
      <c r="B503" s="5" t="s">
        <v>616</v>
      </c>
      <c r="C503" s="10" t="s">
        <v>61</v>
      </c>
      <c r="D503" s="4"/>
      <c r="E503" s="13" t="s">
        <v>62</v>
      </c>
      <c r="F503" s="7">
        <v>4510</v>
      </c>
      <c r="G503" s="8">
        <v>13.74</v>
      </c>
      <c r="H503" s="9">
        <f t="shared" si="3"/>
        <v>61967.4</v>
      </c>
      <c r="I503" s="4">
        <f>F503-SUMIFS([1]Pedidos!G:G, [1]Pedidos!D:D, C503, [1]Pedidos!E:E, E503, [1]Pedidos!F:F, B503)</f>
        <v>4420</v>
      </c>
    </row>
    <row r="504" spans="1:9" ht="15.75" thickBot="1">
      <c r="A504" s="4" t="s">
        <v>472</v>
      </c>
      <c r="B504" s="5" t="s">
        <v>617</v>
      </c>
      <c r="C504" s="10" t="s">
        <v>61</v>
      </c>
      <c r="D504" s="4"/>
      <c r="E504" s="13" t="s">
        <v>62</v>
      </c>
      <c r="F504" s="7">
        <v>1110</v>
      </c>
      <c r="G504" s="16">
        <v>0.91</v>
      </c>
      <c r="H504" s="9">
        <f t="shared" si="3"/>
        <v>1010.1</v>
      </c>
      <c r="I504" s="4">
        <f>F504-SUMIFS([1]Pedidos!G:G, [1]Pedidos!D:D, C504, [1]Pedidos!E:E, E504, [1]Pedidos!F:F, B504)</f>
        <v>1110</v>
      </c>
    </row>
    <row r="505" spans="1:9" ht="15.75" thickBot="1">
      <c r="A505" s="4" t="s">
        <v>472</v>
      </c>
      <c r="B505" s="5" t="s">
        <v>618</v>
      </c>
      <c r="C505" s="10" t="s">
        <v>61</v>
      </c>
      <c r="D505" s="4"/>
      <c r="E505" s="13" t="s">
        <v>62</v>
      </c>
      <c r="F505" s="7">
        <v>5830</v>
      </c>
      <c r="G505" s="16">
        <v>13.977</v>
      </c>
      <c r="H505" s="9">
        <f t="shared" si="3"/>
        <v>81485.91</v>
      </c>
      <c r="I505" s="4">
        <f>F505-SUMIFS([1]Pedidos!G:G, [1]Pedidos!D:D, C505, [1]Pedidos!E:E, E505, [1]Pedidos!F:F, B505)</f>
        <v>5580</v>
      </c>
    </row>
    <row r="506" spans="1:9" ht="15.75" thickBot="1">
      <c r="A506" s="4" t="s">
        <v>472</v>
      </c>
      <c r="B506" s="5" t="s">
        <v>618</v>
      </c>
      <c r="C506" s="10" t="s">
        <v>67</v>
      </c>
      <c r="D506" s="4"/>
      <c r="E506" s="13" t="s">
        <v>62</v>
      </c>
      <c r="F506" s="7">
        <v>10000</v>
      </c>
      <c r="G506" s="16">
        <v>12.96</v>
      </c>
      <c r="H506" s="9">
        <f t="shared" si="3"/>
        <v>129600.00000000001</v>
      </c>
      <c r="I506" s="4">
        <f>F506-SUMIFS([1]Pedidos!G:G, [1]Pedidos!D:D, C506, [1]Pedidos!E:E, E506, [1]Pedidos!F:F, B506)</f>
        <v>10000</v>
      </c>
    </row>
    <row r="507" spans="1:9" ht="15.75" thickBot="1">
      <c r="A507" s="4" t="s">
        <v>472</v>
      </c>
      <c r="B507" s="5" t="s">
        <v>619</v>
      </c>
      <c r="C507" s="10" t="s">
        <v>61</v>
      </c>
      <c r="D507" s="4"/>
      <c r="E507" s="13" t="s">
        <v>62</v>
      </c>
      <c r="F507" s="7">
        <v>4200</v>
      </c>
      <c r="G507" s="16">
        <v>4.3499999999999996</v>
      </c>
      <c r="H507" s="9">
        <f t="shared" si="3"/>
        <v>18270</v>
      </c>
      <c r="I507" s="4">
        <f>F507-SUMIFS([1]Pedidos!G:G, [1]Pedidos!D:D, C507, [1]Pedidos!E:E, E507, [1]Pedidos!F:F, B507)</f>
        <v>4200</v>
      </c>
    </row>
    <row r="508" spans="1:9" ht="15.75" thickBot="1">
      <c r="A508" s="4" t="s">
        <v>472</v>
      </c>
      <c r="B508" s="5" t="s">
        <v>620</v>
      </c>
      <c r="C508" s="10" t="s">
        <v>61</v>
      </c>
      <c r="D508" s="4"/>
      <c r="E508" s="13" t="s">
        <v>62</v>
      </c>
      <c r="F508" s="7">
        <v>4605</v>
      </c>
      <c r="G508" s="16">
        <v>5.17</v>
      </c>
      <c r="H508" s="9">
        <f t="shared" si="3"/>
        <v>23807.85</v>
      </c>
      <c r="I508" s="4">
        <f>F508-SUMIFS([1]Pedidos!G:G, [1]Pedidos!D:D, C508, [1]Pedidos!E:E, E508, [1]Pedidos!F:F, B508)</f>
        <v>4605</v>
      </c>
    </row>
    <row r="509" spans="1:9" ht="15.75" thickBot="1">
      <c r="A509" s="4" t="s">
        <v>472</v>
      </c>
      <c r="B509" s="5" t="s">
        <v>621</v>
      </c>
      <c r="C509" s="10" t="s">
        <v>61</v>
      </c>
      <c r="D509" s="4"/>
      <c r="E509" s="13" t="s">
        <v>62</v>
      </c>
      <c r="F509" s="7">
        <v>4735</v>
      </c>
      <c r="G509" s="16">
        <v>4.2225999999999999</v>
      </c>
      <c r="H509" s="9">
        <f t="shared" si="3"/>
        <v>19994.010999999999</v>
      </c>
      <c r="I509" s="4">
        <f>F509-SUMIFS([1]Pedidos!G:G, [1]Pedidos!D:D, C509, [1]Pedidos!E:E, E509, [1]Pedidos!F:F, B509)</f>
        <v>4735</v>
      </c>
    </row>
    <row r="510" spans="1:9" ht="15.75" thickBot="1">
      <c r="A510" s="4" t="s">
        <v>472</v>
      </c>
      <c r="B510" s="5" t="s">
        <v>622</v>
      </c>
      <c r="C510" s="10" t="s">
        <v>61</v>
      </c>
      <c r="D510" s="4"/>
      <c r="E510" s="13" t="s">
        <v>62</v>
      </c>
      <c r="F510" s="7">
        <v>12875</v>
      </c>
      <c r="G510" s="16">
        <v>13.95</v>
      </c>
      <c r="H510" s="9">
        <f t="shared" si="3"/>
        <v>179606.25</v>
      </c>
      <c r="I510" s="4">
        <f>F510-SUMIFS([1]Pedidos!G:G, [1]Pedidos!D:D, C510, [1]Pedidos!E:E, E510, [1]Pedidos!F:F, B510)</f>
        <v>12875</v>
      </c>
    </row>
    <row r="511" spans="1:9" ht="15.75" thickBot="1">
      <c r="A511" s="4" t="s">
        <v>472</v>
      </c>
      <c r="B511" s="5" t="s">
        <v>623</v>
      </c>
      <c r="C511" s="10" t="s">
        <v>61</v>
      </c>
      <c r="D511" s="4"/>
      <c r="E511" s="13" t="s">
        <v>62</v>
      </c>
      <c r="F511" s="7">
        <v>11780</v>
      </c>
      <c r="G511" s="16">
        <v>16.98</v>
      </c>
      <c r="H511" s="9">
        <f t="shared" si="3"/>
        <v>200024.4</v>
      </c>
      <c r="I511" s="4">
        <f>F511-SUMIFS([1]Pedidos!G:G, [1]Pedidos!D:D, C511, [1]Pedidos!E:E, E511, [1]Pedidos!F:F, B511)</f>
        <v>11265</v>
      </c>
    </row>
    <row r="512" spans="1:9" ht="15.75" thickBot="1">
      <c r="A512" s="4" t="s">
        <v>472</v>
      </c>
      <c r="B512" s="5" t="s">
        <v>624</v>
      </c>
      <c r="C512" s="10" t="s">
        <v>61</v>
      </c>
      <c r="D512" s="4"/>
      <c r="E512" s="13" t="s">
        <v>62</v>
      </c>
      <c r="F512" s="7">
        <v>2175</v>
      </c>
      <c r="G512" s="16">
        <v>4.8899999999999997</v>
      </c>
      <c r="H512" s="9">
        <f t="shared" ref="H512:H625" si="4">F512*G512</f>
        <v>10635.75</v>
      </c>
      <c r="I512" s="4">
        <f>F512-SUMIFS([1]Pedidos!G:G, [1]Pedidos!D:D, C512, [1]Pedidos!E:E, E512, [1]Pedidos!F:F, B512)</f>
        <v>2175</v>
      </c>
    </row>
    <row r="513" spans="1:9" ht="15.75" thickBot="1">
      <c r="A513" s="4" t="s">
        <v>472</v>
      </c>
      <c r="B513" s="5" t="s">
        <v>625</v>
      </c>
      <c r="C513" s="10" t="s">
        <v>61</v>
      </c>
      <c r="D513" s="4"/>
      <c r="E513" s="13" t="s">
        <v>62</v>
      </c>
      <c r="F513" s="7">
        <v>2618</v>
      </c>
      <c r="G513" s="16">
        <v>5.58</v>
      </c>
      <c r="H513" s="9">
        <f t="shared" si="4"/>
        <v>14608.44</v>
      </c>
      <c r="I513" s="4">
        <f>F513-SUMIFS([1]Pedidos!G:G, [1]Pedidos!D:D, C513, [1]Pedidos!E:E, E513, [1]Pedidos!F:F, B513)</f>
        <v>2618</v>
      </c>
    </row>
    <row r="514" spans="1:9" ht="15.75" thickBot="1">
      <c r="A514" s="4" t="s">
        <v>472</v>
      </c>
      <c r="B514" s="5" t="s">
        <v>626</v>
      </c>
      <c r="C514" s="10" t="s">
        <v>61</v>
      </c>
      <c r="D514" s="4"/>
      <c r="E514" s="13" t="s">
        <v>62</v>
      </c>
      <c r="F514" s="7">
        <v>7150</v>
      </c>
      <c r="G514" s="16">
        <v>5.16</v>
      </c>
      <c r="H514" s="9">
        <f t="shared" si="4"/>
        <v>36894</v>
      </c>
      <c r="I514" s="4">
        <f>F514-SUMIFS([1]Pedidos!G:G, [1]Pedidos!D:D, C514, [1]Pedidos!E:E, E514, [1]Pedidos!F:F, B514)</f>
        <v>7050</v>
      </c>
    </row>
    <row r="515" spans="1:9" ht="15.75" thickBot="1">
      <c r="A515" s="4" t="s">
        <v>472</v>
      </c>
      <c r="B515" s="5" t="s">
        <v>627</v>
      </c>
      <c r="C515" s="4" t="s">
        <v>478</v>
      </c>
      <c r="D515" s="6" t="s">
        <v>628</v>
      </c>
      <c r="E515" s="14">
        <v>33</v>
      </c>
      <c r="F515" s="7">
        <v>500</v>
      </c>
      <c r="G515" s="8">
        <v>1092.1600000000001</v>
      </c>
      <c r="H515" s="9">
        <f t="shared" si="4"/>
        <v>546080</v>
      </c>
      <c r="I515" s="4">
        <f>F515-SUMIFS([1]Pedidos!G:G, [1]Pedidos!D:D, C515, [1]Pedidos!E:E, E515, [1]Pedidos!F:F, B515)</f>
        <v>452</v>
      </c>
    </row>
    <row r="516" spans="1:9" ht="15.75" thickBot="1">
      <c r="A516" s="4" t="s">
        <v>472</v>
      </c>
      <c r="B516" s="5" t="s">
        <v>629</v>
      </c>
      <c r="C516" s="10" t="s">
        <v>61</v>
      </c>
      <c r="D516" s="4"/>
      <c r="E516" s="13" t="s">
        <v>62</v>
      </c>
      <c r="F516" s="7">
        <v>141</v>
      </c>
      <c r="G516" s="8">
        <v>273</v>
      </c>
      <c r="H516" s="9">
        <f t="shared" si="4"/>
        <v>38493</v>
      </c>
      <c r="I516" s="4">
        <f>F516-SUMIFS([1]Pedidos!G:G, [1]Pedidos!D:D, C516, [1]Pedidos!E:E, E516, [1]Pedidos!F:F, B516)</f>
        <v>84</v>
      </c>
    </row>
    <row r="517" spans="1:9" ht="15.75" thickBot="1">
      <c r="A517" s="4" t="s">
        <v>472</v>
      </c>
      <c r="B517" s="5" t="s">
        <v>630</v>
      </c>
      <c r="C517" s="4" t="s">
        <v>488</v>
      </c>
      <c r="D517" s="6" t="s">
        <v>631</v>
      </c>
      <c r="E517" s="14">
        <v>34</v>
      </c>
      <c r="F517" s="7">
        <v>100</v>
      </c>
      <c r="G517" s="8">
        <v>1566.6</v>
      </c>
      <c r="H517" s="9">
        <f t="shared" si="4"/>
        <v>156660</v>
      </c>
      <c r="I517" s="4">
        <f>F517-SUMIFS([1]Pedidos!G:G, [1]Pedidos!D:D, C517, [1]Pedidos!E:E, E517, [1]Pedidos!F:F, B517)</f>
        <v>96</v>
      </c>
    </row>
    <row r="518" spans="1:9" ht="15.75" thickBot="1">
      <c r="A518" s="4" t="s">
        <v>472</v>
      </c>
      <c r="B518" s="5" t="s">
        <v>632</v>
      </c>
      <c r="C518" s="10" t="s">
        <v>61</v>
      </c>
      <c r="D518" s="4"/>
      <c r="E518" s="13" t="s">
        <v>62</v>
      </c>
      <c r="F518" s="7">
        <v>7</v>
      </c>
      <c r="G518" s="4">
        <v>74.05</v>
      </c>
      <c r="H518" s="9">
        <f t="shared" si="4"/>
        <v>518.35</v>
      </c>
      <c r="I518" s="4">
        <f>F518-SUMIFS([1]Pedidos!G:G, [1]Pedidos!D:D, C518, [1]Pedidos!E:E, E518, [1]Pedidos!F:F, B518)</f>
        <v>4</v>
      </c>
    </row>
    <row r="519" spans="1:9" ht="15.75" thickBot="1">
      <c r="A519" s="4" t="s">
        <v>472</v>
      </c>
      <c r="B519" s="5" t="s">
        <v>632</v>
      </c>
      <c r="C519" s="10" t="s">
        <v>67</v>
      </c>
      <c r="D519" s="4"/>
      <c r="E519" s="13" t="s">
        <v>62</v>
      </c>
      <c r="F519" s="7">
        <v>30</v>
      </c>
      <c r="G519" s="4">
        <v>38.799999999999997</v>
      </c>
      <c r="H519" s="9">
        <f t="shared" si="4"/>
        <v>1164</v>
      </c>
      <c r="I519" s="4">
        <f>F519-SUMIFS([1]Pedidos!G:G, [1]Pedidos!D:D, C519, [1]Pedidos!E:E, E519, [1]Pedidos!F:F, B519)</f>
        <v>30</v>
      </c>
    </row>
    <row r="520" spans="1:9" ht="15.75" thickBot="1">
      <c r="A520" s="4" t="s">
        <v>472</v>
      </c>
      <c r="B520" s="5" t="s">
        <v>633</v>
      </c>
      <c r="C520" s="4" t="s">
        <v>61</v>
      </c>
      <c r="D520" s="6" t="s">
        <v>634</v>
      </c>
      <c r="E520" s="14" t="s">
        <v>62</v>
      </c>
      <c r="F520" s="7">
        <v>181</v>
      </c>
      <c r="G520" s="8">
        <v>7.69</v>
      </c>
      <c r="H520" s="9">
        <f t="shared" si="4"/>
        <v>1391.89</v>
      </c>
      <c r="I520" s="4">
        <f>F520-SUMIFS([1]Pedidos!G:G, [1]Pedidos!D:D, C520, [1]Pedidos!E:E, E520, [1]Pedidos!F:F, B520)</f>
        <v>181</v>
      </c>
    </row>
    <row r="521" spans="1:9" ht="15.75" thickBot="1">
      <c r="A521" s="4" t="s">
        <v>635</v>
      </c>
      <c r="B521" s="5" t="s">
        <v>636</v>
      </c>
      <c r="C521" s="10" t="s">
        <v>61</v>
      </c>
      <c r="D521" s="4"/>
      <c r="E521" s="11" t="s">
        <v>62</v>
      </c>
      <c r="F521" s="7">
        <v>16</v>
      </c>
      <c r="G521" s="8">
        <v>1.18</v>
      </c>
      <c r="H521" s="9">
        <f t="shared" si="4"/>
        <v>18.88</v>
      </c>
      <c r="I521" s="4">
        <f>F521-SUMIFS([1]Pedidos!G:G, [1]Pedidos!D:D, C521, [1]Pedidos!E:E, E521, [1]Pedidos!F:F, B521)</f>
        <v>16</v>
      </c>
    </row>
    <row r="522" spans="1:9" ht="15.75" thickBot="1">
      <c r="A522" s="4" t="s">
        <v>635</v>
      </c>
      <c r="B522" s="5" t="s">
        <v>636</v>
      </c>
      <c r="C522" s="10" t="s">
        <v>67</v>
      </c>
      <c r="D522" s="4"/>
      <c r="E522" s="11" t="s">
        <v>62</v>
      </c>
      <c r="F522" s="7">
        <v>30</v>
      </c>
      <c r="G522" s="8">
        <v>0.95</v>
      </c>
      <c r="H522" s="9">
        <f t="shared" si="4"/>
        <v>28.5</v>
      </c>
      <c r="I522" s="4">
        <f>F522-SUMIFS([1]Pedidos!G:G, [1]Pedidos!D:D, C522, [1]Pedidos!E:E, E522, [1]Pedidos!F:F, B522)</f>
        <v>30</v>
      </c>
    </row>
    <row r="523" spans="1:9" ht="15.75" thickBot="1">
      <c r="A523" s="4" t="s">
        <v>635</v>
      </c>
      <c r="B523" s="5" t="s">
        <v>636</v>
      </c>
      <c r="C523" s="10" t="s">
        <v>119</v>
      </c>
      <c r="D523" s="4"/>
      <c r="E523" s="11" t="s">
        <v>62</v>
      </c>
      <c r="F523" s="7">
        <v>50</v>
      </c>
      <c r="G523" s="8">
        <v>0.8</v>
      </c>
      <c r="H523" s="9">
        <f t="shared" si="4"/>
        <v>40</v>
      </c>
      <c r="I523" s="4">
        <f>F523-SUMIFS([1]Pedidos!G:G, [1]Pedidos!D:D, C523, [1]Pedidos!E:E, E523, [1]Pedidos!F:F, B523)</f>
        <v>50</v>
      </c>
    </row>
    <row r="524" spans="1:9" ht="15.75" thickBot="1">
      <c r="A524" s="4" t="s">
        <v>635</v>
      </c>
      <c r="B524" s="5" t="s">
        <v>637</v>
      </c>
      <c r="C524" s="10" t="s">
        <v>61</v>
      </c>
      <c r="D524" s="4"/>
      <c r="E524" s="11" t="s">
        <v>62</v>
      </c>
      <c r="F524" s="7">
        <v>13</v>
      </c>
      <c r="G524" s="8">
        <v>2.95</v>
      </c>
      <c r="H524" s="9">
        <f t="shared" si="4"/>
        <v>38.35</v>
      </c>
      <c r="I524" s="4">
        <f>F524-SUMIFS([1]Pedidos!G:G, [1]Pedidos!D:D, C524, [1]Pedidos!E:E, E524, [1]Pedidos!F:F, B524)</f>
        <v>13</v>
      </c>
    </row>
    <row r="525" spans="1:9" ht="15.75" thickBot="1">
      <c r="A525" s="4" t="s">
        <v>635</v>
      </c>
      <c r="B525" s="5" t="s">
        <v>637</v>
      </c>
      <c r="C525" s="10" t="s">
        <v>67</v>
      </c>
      <c r="D525" s="4"/>
      <c r="E525" s="11" t="s">
        <v>62</v>
      </c>
      <c r="F525" s="7">
        <v>30</v>
      </c>
      <c r="G525" s="8">
        <v>2.75</v>
      </c>
      <c r="H525" s="9">
        <f t="shared" si="4"/>
        <v>82.5</v>
      </c>
      <c r="I525" s="4">
        <f>F525-SUMIFS([1]Pedidos!G:G, [1]Pedidos!D:D, C525, [1]Pedidos!E:E, E525, [1]Pedidos!F:F, B525)</f>
        <v>30</v>
      </c>
    </row>
    <row r="526" spans="1:9" ht="15.75" thickBot="1">
      <c r="A526" s="4" t="s">
        <v>635</v>
      </c>
      <c r="B526" s="5" t="s">
        <v>637</v>
      </c>
      <c r="C526" s="10" t="s">
        <v>119</v>
      </c>
      <c r="D526" s="4"/>
      <c r="E526" s="11" t="s">
        <v>62</v>
      </c>
      <c r="F526" s="7">
        <v>50</v>
      </c>
      <c r="G526" s="8">
        <v>2.5</v>
      </c>
      <c r="H526" s="9">
        <f t="shared" si="4"/>
        <v>125</v>
      </c>
      <c r="I526" s="4">
        <f>F526-SUMIFS([1]Pedidos!G:G, [1]Pedidos!D:D, C526, [1]Pedidos!E:E, E526, [1]Pedidos!F:F, B526)</f>
        <v>50</v>
      </c>
    </row>
    <row r="527" spans="1:9" ht="15.75" thickBot="1">
      <c r="A527" s="4" t="s">
        <v>635</v>
      </c>
      <c r="B527" s="5" t="s">
        <v>638</v>
      </c>
      <c r="C527" s="10" t="s">
        <v>61</v>
      </c>
      <c r="D527" s="4"/>
      <c r="E527" s="11" t="s">
        <v>62</v>
      </c>
      <c r="F527" s="7">
        <v>24</v>
      </c>
      <c r="G527" s="8">
        <v>1.18</v>
      </c>
      <c r="H527" s="9">
        <f t="shared" si="4"/>
        <v>28.32</v>
      </c>
      <c r="I527" s="4">
        <f>F527-SUMIFS([1]Pedidos!G:G, [1]Pedidos!D:D, C527, [1]Pedidos!E:E, E527, [1]Pedidos!F:F, B527)</f>
        <v>24</v>
      </c>
    </row>
    <row r="528" spans="1:9" ht="15.75" thickBot="1">
      <c r="A528" s="4" t="s">
        <v>635</v>
      </c>
      <c r="B528" s="5" t="s">
        <v>638</v>
      </c>
      <c r="C528" s="10" t="s">
        <v>67</v>
      </c>
      <c r="D528" s="4"/>
      <c r="E528" s="11" t="s">
        <v>62</v>
      </c>
      <c r="F528" s="7">
        <v>40</v>
      </c>
      <c r="G528" s="8">
        <v>0.95</v>
      </c>
      <c r="H528" s="9">
        <f t="shared" si="4"/>
        <v>38</v>
      </c>
      <c r="I528" s="4">
        <f>F528-SUMIFS([1]Pedidos!G:G, [1]Pedidos!D:D, C528, [1]Pedidos!E:E, E528, [1]Pedidos!F:F, B528)</f>
        <v>40</v>
      </c>
    </row>
    <row r="529" spans="1:9" ht="15.75" thickBot="1">
      <c r="A529" s="4" t="s">
        <v>635</v>
      </c>
      <c r="B529" s="5" t="s">
        <v>638</v>
      </c>
      <c r="C529" s="10" t="s">
        <v>119</v>
      </c>
      <c r="D529" s="4"/>
      <c r="E529" s="11" t="s">
        <v>62</v>
      </c>
      <c r="F529" s="7">
        <v>80</v>
      </c>
      <c r="G529" s="8">
        <v>0.8</v>
      </c>
      <c r="H529" s="9">
        <f t="shared" si="4"/>
        <v>64</v>
      </c>
      <c r="I529" s="4">
        <f>F529-SUMIFS([1]Pedidos!G:G, [1]Pedidos!D:D, C529, [1]Pedidos!E:E, E529, [1]Pedidos!F:F, B529)</f>
        <v>80</v>
      </c>
    </row>
    <row r="530" spans="1:9" ht="15.75" thickBot="1">
      <c r="A530" s="4" t="s">
        <v>635</v>
      </c>
      <c r="B530" s="5" t="s">
        <v>639</v>
      </c>
      <c r="C530" s="10" t="s">
        <v>61</v>
      </c>
      <c r="D530" s="4"/>
      <c r="E530" s="11" t="s">
        <v>62</v>
      </c>
      <c r="F530" s="7">
        <v>56</v>
      </c>
      <c r="G530" s="8">
        <v>257</v>
      </c>
      <c r="H530" s="9">
        <f t="shared" si="4"/>
        <v>14392</v>
      </c>
      <c r="I530" s="4">
        <f>F530-SUMIFS([1]Pedidos!G:G, [1]Pedidos!D:D, C530, [1]Pedidos!E:E, E530, [1]Pedidos!F:F, B530)</f>
        <v>56</v>
      </c>
    </row>
    <row r="531" spans="1:9" ht="15.75" thickBot="1">
      <c r="A531" s="4" t="s">
        <v>635</v>
      </c>
      <c r="B531" s="5" t="s">
        <v>639</v>
      </c>
      <c r="C531" s="10" t="s">
        <v>67</v>
      </c>
      <c r="D531" s="4"/>
      <c r="E531" s="11" t="s">
        <v>62</v>
      </c>
      <c r="F531" s="7">
        <v>90</v>
      </c>
      <c r="G531" s="8">
        <v>338.69</v>
      </c>
      <c r="H531" s="9">
        <f t="shared" si="4"/>
        <v>30482.1</v>
      </c>
      <c r="I531" s="4">
        <f>F531-SUMIFS([1]Pedidos!G:G, [1]Pedidos!D:D, C531, [1]Pedidos!E:E, E531, [1]Pedidos!F:F, B531)</f>
        <v>90</v>
      </c>
    </row>
    <row r="532" spans="1:9" ht="15.75" thickBot="1">
      <c r="A532" s="4" t="s">
        <v>635</v>
      </c>
      <c r="B532" s="5" t="s">
        <v>640</v>
      </c>
      <c r="C532" s="10" t="s">
        <v>61</v>
      </c>
      <c r="D532" s="4"/>
      <c r="E532" s="11" t="s">
        <v>62</v>
      </c>
      <c r="F532" s="7">
        <v>40</v>
      </c>
      <c r="G532" s="8">
        <v>1748</v>
      </c>
      <c r="H532" s="9">
        <f t="shared" si="4"/>
        <v>69920</v>
      </c>
      <c r="I532" s="4">
        <f>F532-SUMIFS([1]Pedidos!G:G, [1]Pedidos!D:D, C532, [1]Pedidos!E:E, E532, [1]Pedidos!F:F, B532)</f>
        <v>40</v>
      </c>
    </row>
    <row r="533" spans="1:9" ht="15.75" thickBot="1">
      <c r="A533" s="4" t="s">
        <v>635</v>
      </c>
      <c r="B533" s="5" t="s">
        <v>641</v>
      </c>
      <c r="C533" s="10" t="s">
        <v>61</v>
      </c>
      <c r="D533" s="4"/>
      <c r="E533" s="11" t="s">
        <v>62</v>
      </c>
      <c r="F533" s="7">
        <v>6</v>
      </c>
      <c r="G533" s="8">
        <v>16.52</v>
      </c>
      <c r="H533" s="9">
        <f t="shared" si="4"/>
        <v>99.12</v>
      </c>
      <c r="I533" s="4">
        <f>F533-SUMIFS([1]Pedidos!G:G, [1]Pedidos!D:D, C533, [1]Pedidos!E:E, E533, [1]Pedidos!F:F, B533)</f>
        <v>6</v>
      </c>
    </row>
    <row r="534" spans="1:9" ht="15.75" thickBot="1">
      <c r="A534" s="4" t="s">
        <v>635</v>
      </c>
      <c r="B534" s="5" t="s">
        <v>642</v>
      </c>
      <c r="C534" s="10" t="s">
        <v>61</v>
      </c>
      <c r="D534" s="4"/>
      <c r="E534" s="11" t="s">
        <v>62</v>
      </c>
      <c r="F534" s="7">
        <v>25</v>
      </c>
      <c r="G534" s="8">
        <v>12214.68</v>
      </c>
      <c r="H534" s="9">
        <f t="shared" si="4"/>
        <v>305367</v>
      </c>
      <c r="I534" s="4">
        <f>F534-SUMIFS([1]Pedidos!G:G, [1]Pedidos!D:D, C534, [1]Pedidos!E:E, E534, [1]Pedidos!F:F, B534)</f>
        <v>25</v>
      </c>
    </row>
    <row r="535" spans="1:9" ht="15.75" thickBot="1">
      <c r="A535" s="4" t="s">
        <v>635</v>
      </c>
      <c r="B535" s="5" t="s">
        <v>643</v>
      </c>
      <c r="C535" s="10" t="s">
        <v>61</v>
      </c>
      <c r="D535" s="4"/>
      <c r="E535" s="11" t="s">
        <v>62</v>
      </c>
      <c r="F535" s="7">
        <v>41</v>
      </c>
      <c r="G535" s="8">
        <v>12.01</v>
      </c>
      <c r="H535" s="9">
        <f t="shared" si="4"/>
        <v>492.40999999999997</v>
      </c>
      <c r="I535" s="4">
        <f>F535-SUMIFS([1]Pedidos!G:G, [1]Pedidos!D:D, C535, [1]Pedidos!E:E, E535, [1]Pedidos!F:F, B535)</f>
        <v>41</v>
      </c>
    </row>
    <row r="536" spans="1:9" ht="15.75" thickBot="1">
      <c r="A536" s="4" t="s">
        <v>635</v>
      </c>
      <c r="B536" s="5" t="s">
        <v>644</v>
      </c>
      <c r="C536" s="10" t="s">
        <v>61</v>
      </c>
      <c r="D536" s="4"/>
      <c r="E536" s="11" t="s">
        <v>62</v>
      </c>
      <c r="F536" s="7">
        <v>80</v>
      </c>
      <c r="G536" s="8">
        <v>1.18</v>
      </c>
      <c r="H536" s="9">
        <f t="shared" si="4"/>
        <v>94.399999999999991</v>
      </c>
      <c r="I536" s="4">
        <f>F536-SUMIFS([1]Pedidos!G:G, [1]Pedidos!D:D, C536, [1]Pedidos!E:E, E536, [1]Pedidos!F:F, B536)</f>
        <v>80</v>
      </c>
    </row>
    <row r="537" spans="1:9" ht="15.75" thickBot="1">
      <c r="A537" s="4" t="s">
        <v>635</v>
      </c>
      <c r="B537" s="5" t="s">
        <v>644</v>
      </c>
      <c r="C537" s="10" t="s">
        <v>67</v>
      </c>
      <c r="D537" s="4"/>
      <c r="E537" s="11" t="s">
        <v>62</v>
      </c>
      <c r="F537" s="7">
        <v>40</v>
      </c>
      <c r="G537" s="8">
        <v>0.95</v>
      </c>
      <c r="H537" s="9">
        <f t="shared" si="4"/>
        <v>38</v>
      </c>
      <c r="I537" s="4">
        <f>F537-SUMIFS([1]Pedidos!G:G, [1]Pedidos!D:D, C537, [1]Pedidos!E:E, E537, [1]Pedidos!F:F, B537)</f>
        <v>40</v>
      </c>
    </row>
    <row r="538" spans="1:9" ht="15.75" thickBot="1">
      <c r="A538" s="4" t="s">
        <v>635</v>
      </c>
      <c r="B538" s="5" t="s">
        <v>644</v>
      </c>
      <c r="C538" s="10" t="s">
        <v>119</v>
      </c>
      <c r="D538" s="4"/>
      <c r="E538" s="11" t="s">
        <v>62</v>
      </c>
      <c r="F538" s="7">
        <v>80</v>
      </c>
      <c r="G538" s="8">
        <v>0.8</v>
      </c>
      <c r="H538" s="9">
        <f t="shared" si="4"/>
        <v>64</v>
      </c>
      <c r="I538" s="4">
        <f>F538-SUMIFS([1]Pedidos!G:G, [1]Pedidos!D:D, C538, [1]Pedidos!E:E, E538, [1]Pedidos!F:F, B538)</f>
        <v>80</v>
      </c>
    </row>
    <row r="539" spans="1:9" ht="15.75" thickBot="1">
      <c r="A539" s="4" t="s">
        <v>645</v>
      </c>
      <c r="B539" s="5" t="s">
        <v>646</v>
      </c>
      <c r="C539" s="10" t="s">
        <v>61</v>
      </c>
      <c r="D539" s="4"/>
      <c r="E539" s="11" t="s">
        <v>62</v>
      </c>
      <c r="F539" s="7">
        <v>18</v>
      </c>
      <c r="G539" s="8">
        <v>275</v>
      </c>
      <c r="H539" s="9">
        <f t="shared" si="4"/>
        <v>4950</v>
      </c>
      <c r="I539" s="4">
        <f>F539-SUMIFS([1]Pedidos!G:G, [1]Pedidos!D:D, C539, [1]Pedidos!E:E, E539, [1]Pedidos!F:F, B539)</f>
        <v>18</v>
      </c>
    </row>
    <row r="540" spans="1:9" ht="15.75" thickBot="1">
      <c r="A540" s="4" t="s">
        <v>645</v>
      </c>
      <c r="B540" s="5" t="s">
        <v>647</v>
      </c>
      <c r="C540" s="10" t="s">
        <v>61</v>
      </c>
      <c r="D540" s="4"/>
      <c r="E540" s="11" t="s">
        <v>62</v>
      </c>
      <c r="F540" s="7">
        <v>26</v>
      </c>
      <c r="G540" s="8">
        <v>7995</v>
      </c>
      <c r="H540" s="9">
        <f t="shared" si="4"/>
        <v>207870</v>
      </c>
      <c r="I540" s="4">
        <f>F540-SUMIFS([1]Pedidos!G:G, [1]Pedidos!D:D, C540, [1]Pedidos!E:E, E540, [1]Pedidos!F:F, B540)</f>
        <v>18</v>
      </c>
    </row>
    <row r="541" spans="1:9" ht="15.75" thickBot="1">
      <c r="A541" s="4" t="s">
        <v>645</v>
      </c>
      <c r="B541" s="5" t="s">
        <v>648</v>
      </c>
      <c r="C541" s="10" t="s">
        <v>61</v>
      </c>
      <c r="D541" s="4"/>
      <c r="E541" s="11" t="s">
        <v>62</v>
      </c>
      <c r="F541" s="7">
        <v>12</v>
      </c>
      <c r="G541" s="8">
        <v>759.76</v>
      </c>
      <c r="H541" s="9">
        <f t="shared" si="4"/>
        <v>9117.119999999999</v>
      </c>
      <c r="I541" s="4">
        <f>F541-SUMIFS([1]Pedidos!G:G, [1]Pedidos!D:D, C541, [1]Pedidos!E:E, E541, [1]Pedidos!F:F, B541)</f>
        <v>12</v>
      </c>
    </row>
    <row r="542" spans="1:9" ht="15.75" thickBot="1">
      <c r="A542" s="4" t="s">
        <v>645</v>
      </c>
      <c r="B542" s="5" t="s">
        <v>649</v>
      </c>
      <c r="C542" s="10" t="s">
        <v>61</v>
      </c>
      <c r="D542" s="4"/>
      <c r="E542" s="11" t="s">
        <v>62</v>
      </c>
      <c r="F542" s="7">
        <v>10</v>
      </c>
      <c r="G542" s="8">
        <v>12800</v>
      </c>
      <c r="H542" s="9">
        <f t="shared" si="4"/>
        <v>128000</v>
      </c>
      <c r="I542" s="4">
        <f>F542-SUMIFS([1]Pedidos!G:G, [1]Pedidos!D:D, C542, [1]Pedidos!E:E, E542, [1]Pedidos!F:F, B542)</f>
        <v>10</v>
      </c>
    </row>
    <row r="543" spans="1:9" ht="15.75" thickBot="1">
      <c r="A543" s="4" t="s">
        <v>645</v>
      </c>
      <c r="B543" s="5" t="s">
        <v>650</v>
      </c>
      <c r="C543" s="10" t="s">
        <v>61</v>
      </c>
      <c r="D543" s="4"/>
      <c r="E543" s="11" t="s">
        <v>62</v>
      </c>
      <c r="F543" s="7">
        <v>23</v>
      </c>
      <c r="G543" s="8">
        <v>1085</v>
      </c>
      <c r="H543" s="9">
        <f t="shared" si="4"/>
        <v>24955</v>
      </c>
      <c r="I543" s="4">
        <f>F543-SUMIFS([1]Pedidos!G:G, [1]Pedidos!D:D, C543, [1]Pedidos!E:E, E543, [1]Pedidos!F:F, B543)</f>
        <v>21</v>
      </c>
    </row>
    <row r="544" spans="1:9" ht="15.75" thickBot="1">
      <c r="A544" s="4" t="s">
        <v>645</v>
      </c>
      <c r="B544" s="5" t="s">
        <v>651</v>
      </c>
      <c r="C544" s="10" t="s">
        <v>61</v>
      </c>
      <c r="D544" s="4"/>
      <c r="E544" s="11" t="s">
        <v>62</v>
      </c>
      <c r="F544" s="7">
        <v>22</v>
      </c>
      <c r="G544" s="8">
        <v>464</v>
      </c>
      <c r="H544" s="9">
        <f t="shared" si="4"/>
        <v>10208</v>
      </c>
      <c r="I544" s="4">
        <f>F544-SUMIFS([1]Pedidos!G:G, [1]Pedidos!D:D, C544, [1]Pedidos!E:E, E544, [1]Pedidos!F:F, B544)</f>
        <v>22</v>
      </c>
    </row>
    <row r="545" spans="1:9" ht="15.75" thickBot="1">
      <c r="A545" s="4" t="s">
        <v>645</v>
      </c>
      <c r="B545" s="5" t="s">
        <v>652</v>
      </c>
      <c r="C545" s="10" t="s">
        <v>61</v>
      </c>
      <c r="D545" s="4"/>
      <c r="E545" s="11" t="s">
        <v>62</v>
      </c>
      <c r="F545" s="7">
        <v>27</v>
      </c>
      <c r="G545" s="8">
        <v>7150</v>
      </c>
      <c r="H545" s="9">
        <f t="shared" si="4"/>
        <v>193050</v>
      </c>
      <c r="I545" s="4">
        <f>F545-SUMIFS([1]Pedidos!G:G, [1]Pedidos!D:D, C545, [1]Pedidos!E:E, E545, [1]Pedidos!F:F, B545)</f>
        <v>27</v>
      </c>
    </row>
    <row r="546" spans="1:9" ht="15.75" thickBot="1">
      <c r="A546" s="4" t="s">
        <v>645</v>
      </c>
      <c r="B546" s="5" t="s">
        <v>653</v>
      </c>
      <c r="C546" s="10" t="s">
        <v>61</v>
      </c>
      <c r="D546" s="4"/>
      <c r="E546" s="11" t="s">
        <v>62</v>
      </c>
      <c r="F546" s="7">
        <v>6</v>
      </c>
      <c r="G546" s="8">
        <v>368</v>
      </c>
      <c r="H546" s="9">
        <f t="shared" si="4"/>
        <v>2208</v>
      </c>
      <c r="I546" s="4">
        <f>F546-SUMIFS([1]Pedidos!G:G, [1]Pedidos!D:D, C546, [1]Pedidos!E:E, E546, [1]Pedidos!F:F, B546)</f>
        <v>6</v>
      </c>
    </row>
    <row r="547" spans="1:9" ht="15.75" thickBot="1">
      <c r="A547" s="4" t="s">
        <v>645</v>
      </c>
      <c r="B547" s="5" t="s">
        <v>654</v>
      </c>
      <c r="C547" s="10" t="s">
        <v>61</v>
      </c>
      <c r="D547" s="4"/>
      <c r="E547" s="11" t="s">
        <v>62</v>
      </c>
      <c r="F547" s="7">
        <v>48</v>
      </c>
      <c r="G547" s="8">
        <v>7150</v>
      </c>
      <c r="H547" s="9">
        <f t="shared" si="4"/>
        <v>343200</v>
      </c>
      <c r="I547" s="4">
        <f>F547-SUMIFS([1]Pedidos!G:G, [1]Pedidos!D:D, C547, [1]Pedidos!E:E, E547, [1]Pedidos!F:F, B547)</f>
        <v>48</v>
      </c>
    </row>
    <row r="548" spans="1:9" ht="15.75" thickBot="1">
      <c r="A548" s="4" t="s">
        <v>645</v>
      </c>
      <c r="B548" s="5" t="s">
        <v>655</v>
      </c>
      <c r="C548" s="10" t="s">
        <v>61</v>
      </c>
      <c r="D548" s="4"/>
      <c r="E548" s="11" t="s">
        <v>62</v>
      </c>
      <c r="F548" s="7">
        <v>10</v>
      </c>
      <c r="G548" s="8">
        <v>32.1</v>
      </c>
      <c r="H548" s="9">
        <f t="shared" si="4"/>
        <v>321</v>
      </c>
      <c r="I548" s="4">
        <f>F548-SUMIFS([1]Pedidos!G:G, [1]Pedidos!D:D, C548, [1]Pedidos!E:E, E548, [1]Pedidos!F:F, B548)</f>
        <v>10</v>
      </c>
    </row>
    <row r="549" spans="1:9" ht="15.75" thickBot="1">
      <c r="A549" s="4" t="s">
        <v>645</v>
      </c>
      <c r="B549" s="5" t="s">
        <v>656</v>
      </c>
      <c r="C549" s="10" t="s">
        <v>61</v>
      </c>
      <c r="D549" s="4"/>
      <c r="E549" s="11" t="s">
        <v>62</v>
      </c>
      <c r="F549" s="7">
        <v>41</v>
      </c>
      <c r="G549" s="8">
        <v>6530</v>
      </c>
      <c r="H549" s="9">
        <f t="shared" si="4"/>
        <v>267730</v>
      </c>
      <c r="I549" s="4">
        <f>F549-SUMIFS([1]Pedidos!G:G, [1]Pedidos!D:D, C549, [1]Pedidos!E:E, E549, [1]Pedidos!F:F, B549)</f>
        <v>41</v>
      </c>
    </row>
    <row r="550" spans="1:9" ht="15.75" thickBot="1">
      <c r="A550" s="4" t="s">
        <v>645</v>
      </c>
      <c r="B550" s="5" t="s">
        <v>657</v>
      </c>
      <c r="C550" s="10" t="s">
        <v>61</v>
      </c>
      <c r="D550" s="4"/>
      <c r="E550" s="11" t="s">
        <v>62</v>
      </c>
      <c r="F550" s="7">
        <v>107</v>
      </c>
      <c r="G550" s="8">
        <v>297.79000000000002</v>
      </c>
      <c r="H550" s="9">
        <f t="shared" si="4"/>
        <v>31863.530000000002</v>
      </c>
      <c r="I550" s="4">
        <f>F550-SUMIFS([1]Pedidos!G:G, [1]Pedidos!D:D, C550, [1]Pedidos!E:E, E550, [1]Pedidos!F:F, B550)</f>
        <v>107</v>
      </c>
    </row>
    <row r="551" spans="1:9" ht="15.75" thickBot="1">
      <c r="A551" s="4" t="s">
        <v>645</v>
      </c>
      <c r="B551" s="5" t="s">
        <v>658</v>
      </c>
      <c r="C551" s="10" t="s">
        <v>61</v>
      </c>
      <c r="D551" s="4"/>
      <c r="E551" s="11" t="s">
        <v>62</v>
      </c>
      <c r="F551" s="7">
        <v>3</v>
      </c>
      <c r="G551" s="8">
        <v>43.2</v>
      </c>
      <c r="H551" s="9">
        <f t="shared" si="4"/>
        <v>129.60000000000002</v>
      </c>
      <c r="I551" s="4">
        <f>F551-SUMIFS([1]Pedidos!G:G, [1]Pedidos!D:D, C551, [1]Pedidos!E:E, E551, [1]Pedidos!F:F, B551)</f>
        <v>3</v>
      </c>
    </row>
    <row r="552" spans="1:9" ht="15.75" thickBot="1">
      <c r="A552" s="4" t="s">
        <v>645</v>
      </c>
      <c r="B552" s="5" t="s">
        <v>658</v>
      </c>
      <c r="C552" s="10" t="s">
        <v>67</v>
      </c>
      <c r="D552" s="4"/>
      <c r="E552" s="11" t="s">
        <v>62</v>
      </c>
      <c r="F552" s="7">
        <v>8</v>
      </c>
      <c r="G552" s="8">
        <v>121</v>
      </c>
      <c r="H552" s="9">
        <f t="shared" si="4"/>
        <v>968</v>
      </c>
      <c r="I552" s="4">
        <f>F552-SUMIFS([1]Pedidos!G:G, [1]Pedidos!D:D, C552, [1]Pedidos!E:E, E552, [1]Pedidos!F:F, B552)</f>
        <v>8</v>
      </c>
    </row>
    <row r="553" spans="1:9" ht="15.75" thickBot="1">
      <c r="A553" s="4" t="s">
        <v>645</v>
      </c>
      <c r="B553" s="5" t="s">
        <v>658</v>
      </c>
      <c r="C553" s="10" t="s">
        <v>119</v>
      </c>
      <c r="D553" s="4"/>
      <c r="E553" s="11" t="s">
        <v>62</v>
      </c>
      <c r="F553" s="7">
        <v>12</v>
      </c>
      <c r="G553" s="8">
        <v>328</v>
      </c>
      <c r="H553" s="9">
        <f t="shared" si="4"/>
        <v>3936</v>
      </c>
      <c r="I553" s="4">
        <f>F553-SUMIFS([1]Pedidos!G:G, [1]Pedidos!D:D, C553, [1]Pedidos!E:E, E553, [1]Pedidos!F:F, B553)</f>
        <v>12</v>
      </c>
    </row>
    <row r="554" spans="1:9" ht="15.75" thickBot="1">
      <c r="A554" s="4" t="s">
        <v>645</v>
      </c>
      <c r="B554" s="5" t="s">
        <v>659</v>
      </c>
      <c r="C554" s="10" t="s">
        <v>61</v>
      </c>
      <c r="D554" s="4"/>
      <c r="E554" s="11" t="s">
        <v>62</v>
      </c>
      <c r="F554" s="7">
        <v>76</v>
      </c>
      <c r="G554" s="8">
        <v>461.8</v>
      </c>
      <c r="H554" s="9">
        <f t="shared" si="4"/>
        <v>35096.800000000003</v>
      </c>
      <c r="I554" s="4">
        <f>F554-SUMIFS([1]Pedidos!G:G, [1]Pedidos!D:D, C554, [1]Pedidos!E:E, E554, [1]Pedidos!F:F, B554)</f>
        <v>76</v>
      </c>
    </row>
    <row r="555" spans="1:9" ht="15.75" thickBot="1">
      <c r="A555" s="4" t="s">
        <v>645</v>
      </c>
      <c r="B555" s="5" t="s">
        <v>660</v>
      </c>
      <c r="C555" s="10" t="s">
        <v>61</v>
      </c>
      <c r="D555" s="4"/>
      <c r="E555" s="11" t="s">
        <v>62</v>
      </c>
      <c r="F555" s="7">
        <v>64</v>
      </c>
      <c r="G555" s="8">
        <v>481.6</v>
      </c>
      <c r="H555" s="9">
        <f t="shared" si="4"/>
        <v>30822.400000000001</v>
      </c>
      <c r="I555" s="4">
        <f>F555-SUMIFS([1]Pedidos!G:G, [1]Pedidos!D:D, C555, [1]Pedidos!E:E, E555, [1]Pedidos!F:F, B555)</f>
        <v>57</v>
      </c>
    </row>
    <row r="556" spans="1:9" ht="15.75" thickBot="1">
      <c r="A556" s="4" t="s">
        <v>645</v>
      </c>
      <c r="B556" s="5" t="s">
        <v>661</v>
      </c>
      <c r="C556" s="10" t="s">
        <v>61</v>
      </c>
      <c r="D556" s="4"/>
      <c r="E556" s="11" t="s">
        <v>62</v>
      </c>
      <c r="F556" s="7">
        <v>19</v>
      </c>
      <c r="G556" s="8">
        <v>1480</v>
      </c>
      <c r="H556" s="9">
        <f t="shared" si="4"/>
        <v>28120</v>
      </c>
      <c r="I556" s="4">
        <f>F556-SUMIFS([1]Pedidos!G:G, [1]Pedidos!D:D, C556, [1]Pedidos!E:E, E556, [1]Pedidos!F:F, B556)</f>
        <v>13</v>
      </c>
    </row>
    <row r="557" spans="1:9" ht="15.75" thickBot="1">
      <c r="A557" s="4" t="s">
        <v>645</v>
      </c>
      <c r="B557" s="5" t="s">
        <v>662</v>
      </c>
      <c r="C557" s="10" t="s">
        <v>61</v>
      </c>
      <c r="D557" s="4"/>
      <c r="E557" s="11" t="s">
        <v>62</v>
      </c>
      <c r="F557" s="7">
        <v>35</v>
      </c>
      <c r="G557" s="8">
        <v>10200</v>
      </c>
      <c r="H557" s="9">
        <f t="shared" si="4"/>
        <v>357000</v>
      </c>
      <c r="I557" s="4">
        <f>F557-SUMIFS([1]Pedidos!G:G, [1]Pedidos!D:D, C557, [1]Pedidos!E:E, E557, [1]Pedidos!F:F, B557)</f>
        <v>20</v>
      </c>
    </row>
    <row r="558" spans="1:9" ht="15.75" thickBot="1">
      <c r="A558" s="4" t="s">
        <v>645</v>
      </c>
      <c r="B558" s="5" t="s">
        <v>663</v>
      </c>
      <c r="C558" s="10" t="s">
        <v>61</v>
      </c>
      <c r="D558" s="4"/>
      <c r="E558" s="11" t="s">
        <v>62</v>
      </c>
      <c r="F558" s="7">
        <v>23</v>
      </c>
      <c r="G558" s="8">
        <v>990</v>
      </c>
      <c r="H558" s="9">
        <f t="shared" si="4"/>
        <v>22770</v>
      </c>
      <c r="I558" s="4">
        <f>F558-SUMIFS([1]Pedidos!G:G, [1]Pedidos!D:D, C558, [1]Pedidos!E:E, E558, [1]Pedidos!F:F, B558)</f>
        <v>23</v>
      </c>
    </row>
    <row r="559" spans="1:9" ht="15.75" thickBot="1">
      <c r="A559" s="4" t="s">
        <v>645</v>
      </c>
      <c r="B559" s="5" t="s">
        <v>664</v>
      </c>
      <c r="C559" s="10" t="s">
        <v>61</v>
      </c>
      <c r="D559" s="4"/>
      <c r="E559" s="11" t="s">
        <v>62</v>
      </c>
      <c r="F559" s="7">
        <v>9</v>
      </c>
      <c r="G559" s="8">
        <v>6.9</v>
      </c>
      <c r="H559" s="9">
        <f t="shared" si="4"/>
        <v>62.1</v>
      </c>
      <c r="I559" s="4">
        <f>F559-SUMIFS([1]Pedidos!G:G, [1]Pedidos!D:D, C559, [1]Pedidos!E:E, E559, [1]Pedidos!F:F, B559)</f>
        <v>9</v>
      </c>
    </row>
    <row r="560" spans="1:9" ht="15.75" thickBot="1">
      <c r="A560" s="4" t="s">
        <v>645</v>
      </c>
      <c r="B560" s="5" t="s">
        <v>665</v>
      </c>
      <c r="C560" s="10" t="s">
        <v>61</v>
      </c>
      <c r="D560" s="4"/>
      <c r="E560" s="11" t="s">
        <v>62</v>
      </c>
      <c r="F560" s="7">
        <v>9</v>
      </c>
      <c r="G560" s="8">
        <v>74.099999999999994</v>
      </c>
      <c r="H560" s="9">
        <f t="shared" si="4"/>
        <v>666.9</v>
      </c>
      <c r="I560" s="4">
        <f>F560-SUMIFS([1]Pedidos!G:G, [1]Pedidos!D:D, C560, [1]Pedidos!E:E, E560, [1]Pedidos!F:F, B560)</f>
        <v>9</v>
      </c>
    </row>
    <row r="561" spans="1:9" ht="15.75" thickBot="1">
      <c r="A561" s="4" t="s">
        <v>645</v>
      </c>
      <c r="B561" s="5" t="s">
        <v>665</v>
      </c>
      <c r="C561" s="10" t="s">
        <v>67</v>
      </c>
      <c r="D561" s="4"/>
      <c r="E561" s="11" t="s">
        <v>62</v>
      </c>
      <c r="F561" s="7">
        <v>148</v>
      </c>
      <c r="G561" s="8">
        <v>585</v>
      </c>
      <c r="H561" s="9">
        <f t="shared" si="4"/>
        <v>86580</v>
      </c>
      <c r="I561" s="4">
        <f>F561-SUMIFS([1]Pedidos!G:G, [1]Pedidos!D:D, C561, [1]Pedidos!E:E, E561, [1]Pedidos!F:F, B561)</f>
        <v>148</v>
      </c>
    </row>
    <row r="562" spans="1:9" ht="15.75" thickBot="1">
      <c r="A562" s="4" t="s">
        <v>645</v>
      </c>
      <c r="B562" s="5" t="s">
        <v>665</v>
      </c>
      <c r="C562" s="10" t="s">
        <v>119</v>
      </c>
      <c r="D562" s="4"/>
      <c r="E562" s="11" t="s">
        <v>62</v>
      </c>
      <c r="F562" s="7">
        <v>19</v>
      </c>
      <c r="G562" s="8">
        <v>9640</v>
      </c>
      <c r="H562" s="9">
        <f t="shared" si="4"/>
        <v>183160</v>
      </c>
      <c r="I562" s="4">
        <f>F562-SUMIFS([1]Pedidos!G:G, [1]Pedidos!D:D, C562, [1]Pedidos!E:E, E562, [1]Pedidos!F:F, B562)</f>
        <v>19</v>
      </c>
    </row>
    <row r="563" spans="1:9" ht="15.75" thickBot="1">
      <c r="A563" s="4" t="s">
        <v>645</v>
      </c>
      <c r="B563" s="5" t="s">
        <v>666</v>
      </c>
      <c r="C563" s="10" t="s">
        <v>61</v>
      </c>
      <c r="D563" s="4"/>
      <c r="E563" s="11" t="s">
        <v>62</v>
      </c>
      <c r="F563" s="7">
        <v>20</v>
      </c>
      <c r="G563" s="8">
        <v>5995</v>
      </c>
      <c r="H563" s="9">
        <f t="shared" si="4"/>
        <v>119900</v>
      </c>
      <c r="I563" s="4">
        <f>F563-SUMIFS([1]Pedidos!G:G, [1]Pedidos!D:D, C563, [1]Pedidos!E:E, E563, [1]Pedidos!F:F, B563)</f>
        <v>20</v>
      </c>
    </row>
    <row r="564" spans="1:9" ht="15.75" thickBot="1">
      <c r="A564" s="4" t="s">
        <v>645</v>
      </c>
      <c r="B564" s="5" t="s">
        <v>667</v>
      </c>
      <c r="C564" s="10" t="s">
        <v>61</v>
      </c>
      <c r="D564" s="4"/>
      <c r="E564" s="11" t="s">
        <v>62</v>
      </c>
      <c r="F564" s="7">
        <v>14</v>
      </c>
      <c r="G564" s="8">
        <v>324</v>
      </c>
      <c r="H564" s="9">
        <f t="shared" si="4"/>
        <v>4536</v>
      </c>
      <c r="I564" s="4">
        <f>F564-SUMIFS([1]Pedidos!G:G, [1]Pedidos!D:D, C564, [1]Pedidos!E:E, E564, [1]Pedidos!F:F, B564)</f>
        <v>14</v>
      </c>
    </row>
    <row r="565" spans="1:9" ht="15.75" thickBot="1">
      <c r="A565" s="4" t="s">
        <v>645</v>
      </c>
      <c r="B565" s="5" t="s">
        <v>668</v>
      </c>
      <c r="C565" s="10" t="s">
        <v>61</v>
      </c>
      <c r="D565" s="4"/>
      <c r="E565" s="11" t="s">
        <v>62</v>
      </c>
      <c r="F565" s="7">
        <v>4</v>
      </c>
      <c r="G565" s="8">
        <v>4.9000000000000004</v>
      </c>
      <c r="H565" s="9">
        <f t="shared" si="4"/>
        <v>19.600000000000001</v>
      </c>
      <c r="I565" s="4">
        <f>F565-SUMIFS([1]Pedidos!G:G, [1]Pedidos!D:D, C565, [1]Pedidos!E:E, E565, [1]Pedidos!F:F, B565)</f>
        <v>4</v>
      </c>
    </row>
    <row r="566" spans="1:9" ht="15.75" thickBot="1">
      <c r="A566" s="4" t="s">
        <v>645</v>
      </c>
      <c r="B566" s="5" t="s">
        <v>669</v>
      </c>
      <c r="C566" s="10" t="s">
        <v>61</v>
      </c>
      <c r="D566" s="4"/>
      <c r="E566" s="11" t="s">
        <v>62</v>
      </c>
      <c r="F566" s="7">
        <v>7</v>
      </c>
      <c r="G566" s="8">
        <v>288</v>
      </c>
      <c r="H566" s="9">
        <f t="shared" si="4"/>
        <v>2016</v>
      </c>
      <c r="I566" s="4">
        <f>F566-SUMIFS([1]Pedidos!G:G, [1]Pedidos!D:D, C566, [1]Pedidos!E:E, E566, [1]Pedidos!F:F, B566)</f>
        <v>7</v>
      </c>
    </row>
    <row r="567" spans="1:9" ht="15.75" thickBot="1">
      <c r="A567" s="4" t="s">
        <v>645</v>
      </c>
      <c r="B567" s="5" t="s">
        <v>670</v>
      </c>
      <c r="C567" s="10" t="s">
        <v>61</v>
      </c>
      <c r="D567" s="4"/>
      <c r="E567" s="11" t="s">
        <v>62</v>
      </c>
      <c r="F567" s="7">
        <v>2</v>
      </c>
      <c r="G567" s="8">
        <v>49</v>
      </c>
      <c r="H567" s="9">
        <f t="shared" si="4"/>
        <v>98</v>
      </c>
      <c r="I567" s="4">
        <f>F567-SUMIFS([1]Pedidos!G:G, [1]Pedidos!D:D, C567, [1]Pedidos!E:E, E567, [1]Pedidos!F:F, B567)</f>
        <v>2</v>
      </c>
    </row>
    <row r="568" spans="1:9" ht="15.75" thickBot="1">
      <c r="A568" s="4" t="s">
        <v>645</v>
      </c>
      <c r="B568" s="5" t="s">
        <v>670</v>
      </c>
      <c r="C568" s="10" t="s">
        <v>67</v>
      </c>
      <c r="D568" s="4"/>
      <c r="E568" s="11" t="s">
        <v>62</v>
      </c>
      <c r="F568" s="7">
        <v>6</v>
      </c>
      <c r="G568" s="8">
        <v>121</v>
      </c>
      <c r="H568" s="9">
        <f t="shared" si="4"/>
        <v>726</v>
      </c>
      <c r="I568" s="4">
        <f>F568-SUMIFS([1]Pedidos!G:G, [1]Pedidos!D:D, C568, [1]Pedidos!E:E, E568, [1]Pedidos!F:F, B568)</f>
        <v>6</v>
      </c>
    </row>
    <row r="569" spans="1:9" ht="15.75" thickBot="1">
      <c r="A569" s="4" t="s">
        <v>645</v>
      </c>
      <c r="B569" s="5" t="s">
        <v>670</v>
      </c>
      <c r="C569" s="10" t="s">
        <v>119</v>
      </c>
      <c r="D569" s="4"/>
      <c r="E569" s="11" t="s">
        <v>62</v>
      </c>
      <c r="F569" s="7">
        <v>18</v>
      </c>
      <c r="G569" s="8">
        <v>334</v>
      </c>
      <c r="H569" s="9">
        <f t="shared" si="4"/>
        <v>6012</v>
      </c>
      <c r="I569" s="4">
        <f>F569-SUMIFS([1]Pedidos!G:G, [1]Pedidos!D:D, C569, [1]Pedidos!E:E, E569, [1]Pedidos!F:F, B569)</f>
        <v>18</v>
      </c>
    </row>
    <row r="570" spans="1:9" ht="15.75" thickBot="1">
      <c r="A570" s="4" t="s">
        <v>645</v>
      </c>
      <c r="B570" s="5" t="s">
        <v>671</v>
      </c>
      <c r="C570" s="10" t="s">
        <v>61</v>
      </c>
      <c r="D570" s="4"/>
      <c r="E570" s="11" t="s">
        <v>62</v>
      </c>
      <c r="F570" s="7">
        <v>67</v>
      </c>
      <c r="G570" s="8">
        <v>9900</v>
      </c>
      <c r="H570" s="9">
        <f t="shared" si="4"/>
        <v>663300</v>
      </c>
      <c r="I570" s="4">
        <f>F570-SUMIFS([1]Pedidos!G:G, [1]Pedidos!D:D, C570, [1]Pedidos!E:E, E570, [1]Pedidos!F:F, B570)</f>
        <v>67</v>
      </c>
    </row>
    <row r="571" spans="1:9" ht="15.75" thickBot="1">
      <c r="A571" s="4" t="s">
        <v>645</v>
      </c>
      <c r="B571" s="5" t="s">
        <v>672</v>
      </c>
      <c r="C571" s="10" t="s">
        <v>61</v>
      </c>
      <c r="D571" s="4"/>
      <c r="E571" s="11" t="s">
        <v>62</v>
      </c>
      <c r="F571" s="7">
        <v>17</v>
      </c>
      <c r="G571" s="8">
        <v>553</v>
      </c>
      <c r="H571" s="9">
        <f t="shared" si="4"/>
        <v>9401</v>
      </c>
      <c r="I571" s="4">
        <f>F571-SUMIFS([1]Pedidos!G:G, [1]Pedidos!D:D, C571, [1]Pedidos!E:E, E571, [1]Pedidos!F:F, B571)</f>
        <v>17</v>
      </c>
    </row>
    <row r="572" spans="1:9" ht="15.75" thickBot="1">
      <c r="A572" s="4" t="s">
        <v>645</v>
      </c>
      <c r="B572" s="5" t="s">
        <v>673</v>
      </c>
      <c r="C572" s="10" t="s">
        <v>61</v>
      </c>
      <c r="D572" s="4"/>
      <c r="E572" s="11" t="s">
        <v>62</v>
      </c>
      <c r="F572" s="7">
        <v>9</v>
      </c>
      <c r="G572" s="8">
        <v>515</v>
      </c>
      <c r="H572" s="9">
        <f t="shared" si="4"/>
        <v>4635</v>
      </c>
      <c r="I572" s="4">
        <f>F572-SUMIFS([1]Pedidos!G:G, [1]Pedidos!D:D, C572, [1]Pedidos!E:E, E572, [1]Pedidos!F:F, B572)</f>
        <v>8</v>
      </c>
    </row>
    <row r="573" spans="1:9" ht="15.75" thickBot="1">
      <c r="A573" s="4" t="s">
        <v>645</v>
      </c>
      <c r="B573" s="5" t="s">
        <v>674</v>
      </c>
      <c r="C573" s="10" t="s">
        <v>61</v>
      </c>
      <c r="D573" s="4"/>
      <c r="E573" s="11" t="s">
        <v>62</v>
      </c>
      <c r="F573" s="7">
        <v>22</v>
      </c>
      <c r="G573" s="8">
        <v>8250</v>
      </c>
      <c r="H573" s="9">
        <f t="shared" si="4"/>
        <v>181500</v>
      </c>
      <c r="I573" s="4">
        <f>F573-SUMIFS([1]Pedidos!G:G, [1]Pedidos!D:D, C573, [1]Pedidos!E:E, E573, [1]Pedidos!F:F, B573)</f>
        <v>22</v>
      </c>
    </row>
    <row r="574" spans="1:9" ht="15.75" thickBot="1">
      <c r="A574" s="4" t="s">
        <v>645</v>
      </c>
      <c r="B574" s="5" t="s">
        <v>675</v>
      </c>
      <c r="C574" s="10" t="s">
        <v>61</v>
      </c>
      <c r="D574" s="4"/>
      <c r="E574" s="11" t="s">
        <v>62</v>
      </c>
      <c r="F574" s="7">
        <v>6</v>
      </c>
      <c r="G574" s="8">
        <v>12.3</v>
      </c>
      <c r="H574" s="9">
        <f t="shared" si="4"/>
        <v>73.800000000000011</v>
      </c>
      <c r="I574" s="4">
        <f>F574-SUMIFS([1]Pedidos!G:G, [1]Pedidos!D:D, C574, [1]Pedidos!E:E, E574, [1]Pedidos!F:F, B574)</f>
        <v>6</v>
      </c>
    </row>
    <row r="575" spans="1:9" ht="15.75" thickBot="1">
      <c r="A575" s="4" t="s">
        <v>645</v>
      </c>
      <c r="B575" s="5" t="s">
        <v>676</v>
      </c>
      <c r="C575" s="10" t="s">
        <v>61</v>
      </c>
      <c r="D575" s="4"/>
      <c r="E575" s="11" t="s">
        <v>62</v>
      </c>
      <c r="F575" s="7">
        <v>35</v>
      </c>
      <c r="G575" s="8">
        <v>146.19999999999999</v>
      </c>
      <c r="H575" s="9">
        <f t="shared" si="4"/>
        <v>5117</v>
      </c>
      <c r="I575" s="4">
        <f>F575-SUMIFS([1]Pedidos!G:G, [1]Pedidos!D:D, C575, [1]Pedidos!E:E, E575, [1]Pedidos!F:F, B575)</f>
        <v>35</v>
      </c>
    </row>
    <row r="576" spans="1:9" ht="15.75" thickBot="1">
      <c r="A576" s="4" t="s">
        <v>645</v>
      </c>
      <c r="B576" s="5" t="s">
        <v>677</v>
      </c>
      <c r="C576" s="10" t="s">
        <v>61</v>
      </c>
      <c r="D576" s="4"/>
      <c r="E576" s="11" t="s">
        <v>62</v>
      </c>
      <c r="F576" s="7">
        <v>23</v>
      </c>
      <c r="G576" s="8">
        <v>12820</v>
      </c>
      <c r="H576" s="9">
        <f t="shared" si="4"/>
        <v>294860</v>
      </c>
      <c r="I576" s="4">
        <f>F576-SUMIFS([1]Pedidos!G:G, [1]Pedidos!D:D, C576, [1]Pedidos!E:E, E576, [1]Pedidos!F:F, B576)</f>
        <v>12</v>
      </c>
    </row>
    <row r="577" spans="1:9" ht="15.75" thickBot="1">
      <c r="A577" s="4" t="s">
        <v>645</v>
      </c>
      <c r="B577" s="5" t="s">
        <v>678</v>
      </c>
      <c r="C577" s="10" t="s">
        <v>61</v>
      </c>
      <c r="D577" s="4"/>
      <c r="E577" s="11" t="s">
        <v>62</v>
      </c>
      <c r="F577" s="7">
        <v>36</v>
      </c>
      <c r="G577" s="8">
        <v>45595</v>
      </c>
      <c r="H577" s="9">
        <f t="shared" si="4"/>
        <v>1641420</v>
      </c>
      <c r="I577" s="4">
        <f>F577-SUMIFS([1]Pedidos!G:G, [1]Pedidos!D:D, C577, [1]Pedidos!E:E, E577, [1]Pedidos!F:F, B577)</f>
        <v>36</v>
      </c>
    </row>
    <row r="578" spans="1:9" ht="15.75" thickBot="1">
      <c r="A578" s="4" t="s">
        <v>645</v>
      </c>
      <c r="B578" s="5" t="s">
        <v>679</v>
      </c>
      <c r="C578" s="10" t="s">
        <v>61</v>
      </c>
      <c r="D578" s="4"/>
      <c r="E578" s="11" t="s">
        <v>62</v>
      </c>
      <c r="F578" s="7">
        <v>6</v>
      </c>
      <c r="G578" s="8">
        <v>29.8</v>
      </c>
      <c r="H578" s="9">
        <f t="shared" si="4"/>
        <v>178.8</v>
      </c>
      <c r="I578" s="4">
        <f>F578-SUMIFS([1]Pedidos!G:G, [1]Pedidos!D:D, C578, [1]Pedidos!E:E, E578, [1]Pedidos!F:F, B578)</f>
        <v>6</v>
      </c>
    </row>
    <row r="579" spans="1:9" ht="15.75" thickBot="1">
      <c r="A579" s="4" t="s">
        <v>680</v>
      </c>
      <c r="B579" s="5" t="s">
        <v>681</v>
      </c>
      <c r="C579" s="10" t="s">
        <v>61</v>
      </c>
      <c r="D579" s="4"/>
      <c r="E579" s="11" t="s">
        <v>62</v>
      </c>
      <c r="F579" s="7">
        <v>7</v>
      </c>
      <c r="G579" s="8">
        <v>45.32</v>
      </c>
      <c r="H579" s="9">
        <f t="shared" si="4"/>
        <v>317.24</v>
      </c>
      <c r="I579" s="4">
        <f>F579-SUMIFS([1]Pedidos!G:G, [1]Pedidos!D:D, C579, [1]Pedidos!E:E, E579, [1]Pedidos!F:F, B579)</f>
        <v>7</v>
      </c>
    </row>
    <row r="580" spans="1:9" ht="15.75" thickBot="1">
      <c r="A580" s="4" t="s">
        <v>680</v>
      </c>
      <c r="B580" s="5" t="s">
        <v>682</v>
      </c>
      <c r="C580" s="10" t="s">
        <v>61</v>
      </c>
      <c r="D580" s="4"/>
      <c r="E580" s="11" t="s">
        <v>62</v>
      </c>
      <c r="F580" s="7">
        <v>13</v>
      </c>
      <c r="G580" s="8">
        <v>65.739999999999995</v>
      </c>
      <c r="H580" s="9">
        <f t="shared" si="4"/>
        <v>854.61999999999989</v>
      </c>
      <c r="I580" s="4">
        <f>F580-SUMIFS([1]Pedidos!G:G, [1]Pedidos!D:D, C580, [1]Pedidos!E:E, E580, [1]Pedidos!F:F, B580)</f>
        <v>13</v>
      </c>
    </row>
    <row r="581" spans="1:9" ht="15.75" thickBot="1">
      <c r="A581" s="4" t="s">
        <v>680</v>
      </c>
      <c r="B581" s="5" t="s">
        <v>683</v>
      </c>
      <c r="C581" s="10" t="s">
        <v>61</v>
      </c>
      <c r="D581" s="4"/>
      <c r="E581" s="11" t="s">
        <v>62</v>
      </c>
      <c r="F581" s="7">
        <v>16</v>
      </c>
      <c r="G581" s="8">
        <v>90.88</v>
      </c>
      <c r="H581" s="9">
        <f t="shared" si="4"/>
        <v>1454.08</v>
      </c>
      <c r="I581" s="4">
        <f>F581-SUMIFS([1]Pedidos!G:G, [1]Pedidos!D:D, C581, [1]Pedidos!E:E, E581, [1]Pedidos!F:F, B581)</f>
        <v>16</v>
      </c>
    </row>
    <row r="582" spans="1:9" ht="15.75" thickBot="1">
      <c r="A582" s="4" t="s">
        <v>680</v>
      </c>
      <c r="B582" s="5" t="s">
        <v>684</v>
      </c>
      <c r="C582" s="10" t="s">
        <v>61</v>
      </c>
      <c r="D582" s="4"/>
      <c r="E582" s="11" t="s">
        <v>62</v>
      </c>
      <c r="F582" s="7">
        <v>1</v>
      </c>
      <c r="G582" s="8">
        <v>5.87</v>
      </c>
      <c r="H582" s="9">
        <f t="shared" si="4"/>
        <v>5.87</v>
      </c>
      <c r="I582" s="4">
        <f>F582-SUMIFS([1]Pedidos!G:G, [1]Pedidos!D:D, C582, [1]Pedidos!E:E, E582, [1]Pedidos!F:F, B582)</f>
        <v>1</v>
      </c>
    </row>
    <row r="583" spans="1:9" ht="15.75" thickBot="1">
      <c r="A583" s="4" t="s">
        <v>680</v>
      </c>
      <c r="B583" s="5" t="s">
        <v>685</v>
      </c>
      <c r="C583" s="10" t="s">
        <v>61</v>
      </c>
      <c r="D583" s="4"/>
      <c r="E583" s="11" t="s">
        <v>62</v>
      </c>
      <c r="F583" s="7">
        <v>40</v>
      </c>
      <c r="G583" s="8">
        <v>8.23</v>
      </c>
      <c r="H583" s="9">
        <f t="shared" si="4"/>
        <v>329.20000000000005</v>
      </c>
      <c r="I583" s="4">
        <f>F583-SUMIFS([1]Pedidos!G:G, [1]Pedidos!D:D, C583, [1]Pedidos!E:E, E583, [1]Pedidos!F:F, B583)</f>
        <v>40</v>
      </c>
    </row>
    <row r="584" spans="1:9" ht="15.75" thickBot="1">
      <c r="A584" s="4" t="s">
        <v>680</v>
      </c>
      <c r="B584" s="5" t="s">
        <v>686</v>
      </c>
      <c r="C584" s="10" t="s">
        <v>61</v>
      </c>
      <c r="D584" s="4"/>
      <c r="E584" s="11" t="s">
        <v>62</v>
      </c>
      <c r="F584" s="7">
        <v>37</v>
      </c>
      <c r="G584" s="8">
        <v>27.99</v>
      </c>
      <c r="H584" s="9">
        <f t="shared" si="4"/>
        <v>1035.6299999999999</v>
      </c>
      <c r="I584" s="4">
        <f>F584-SUMIFS([1]Pedidos!G:G, [1]Pedidos!D:D, C584, [1]Pedidos!E:E, E584, [1]Pedidos!F:F, B584)</f>
        <v>37</v>
      </c>
    </row>
    <row r="585" spans="1:9" ht="15.75" thickBot="1">
      <c r="A585" s="4" t="s">
        <v>680</v>
      </c>
      <c r="B585" s="5" t="s">
        <v>687</v>
      </c>
      <c r="C585" s="10" t="s">
        <v>61</v>
      </c>
      <c r="D585" s="4"/>
      <c r="E585" s="11" t="s">
        <v>62</v>
      </c>
      <c r="F585" s="7">
        <v>13</v>
      </c>
      <c r="G585" s="8">
        <v>24</v>
      </c>
      <c r="H585" s="9">
        <f t="shared" si="4"/>
        <v>312</v>
      </c>
      <c r="I585" s="4">
        <f>F585-SUMIFS([1]Pedidos!G:G, [1]Pedidos!D:D, C585, [1]Pedidos!E:E, E585, [1]Pedidos!F:F, B585)</f>
        <v>13</v>
      </c>
    </row>
    <row r="586" spans="1:9" ht="15.75" thickBot="1">
      <c r="A586" s="4" t="s">
        <v>680</v>
      </c>
      <c r="B586" s="5" t="s">
        <v>688</v>
      </c>
      <c r="C586" s="10" t="s">
        <v>61</v>
      </c>
      <c r="D586" s="4"/>
      <c r="E586" s="11" t="s">
        <v>62</v>
      </c>
      <c r="F586" s="7">
        <v>21</v>
      </c>
      <c r="G586" s="8">
        <v>6.51</v>
      </c>
      <c r="H586" s="9">
        <f t="shared" si="4"/>
        <v>136.71</v>
      </c>
      <c r="I586" s="4">
        <f>F586-SUMIFS([1]Pedidos!G:G, [1]Pedidos!D:D, C586, [1]Pedidos!E:E, E586, [1]Pedidos!F:F, B586)</f>
        <v>21</v>
      </c>
    </row>
    <row r="587" spans="1:9" ht="15.75" thickBot="1">
      <c r="A587" s="4" t="s">
        <v>680</v>
      </c>
      <c r="B587" s="5" t="s">
        <v>689</v>
      </c>
      <c r="C587" s="10" t="s">
        <v>61</v>
      </c>
      <c r="D587" s="4"/>
      <c r="E587" s="11" t="s">
        <v>62</v>
      </c>
      <c r="F587" s="7">
        <v>33</v>
      </c>
      <c r="G587" s="8">
        <v>8.24</v>
      </c>
      <c r="H587" s="9">
        <f t="shared" si="4"/>
        <v>271.92</v>
      </c>
      <c r="I587" s="4">
        <f>F587-SUMIFS([1]Pedidos!G:G, [1]Pedidos!D:D, C587, [1]Pedidos!E:E, E587, [1]Pedidos!F:F, B587)</f>
        <v>33</v>
      </c>
    </row>
    <row r="588" spans="1:9" ht="15.75" thickBot="1">
      <c r="A588" s="4" t="s">
        <v>680</v>
      </c>
      <c r="B588" s="5" t="s">
        <v>690</v>
      </c>
      <c r="C588" s="10" t="s">
        <v>61</v>
      </c>
      <c r="D588" s="4"/>
      <c r="E588" s="11" t="s">
        <v>62</v>
      </c>
      <c r="F588" s="7">
        <v>42</v>
      </c>
      <c r="G588" s="8">
        <v>12.33</v>
      </c>
      <c r="H588" s="9">
        <f t="shared" si="4"/>
        <v>517.86</v>
      </c>
      <c r="I588" s="4">
        <f>F588-SUMIFS([1]Pedidos!G:G, [1]Pedidos!D:D, C588, [1]Pedidos!E:E, E588, [1]Pedidos!F:F, B588)</f>
        <v>42</v>
      </c>
    </row>
    <row r="589" spans="1:9" ht="15.75" thickBot="1">
      <c r="A589" s="4" t="s">
        <v>680</v>
      </c>
      <c r="B589" s="5" t="s">
        <v>691</v>
      </c>
      <c r="C589" s="10" t="s">
        <v>61</v>
      </c>
      <c r="D589" s="4"/>
      <c r="E589" s="11" t="s">
        <v>62</v>
      </c>
      <c r="F589" s="7">
        <v>13</v>
      </c>
      <c r="G589" s="8">
        <v>5.86</v>
      </c>
      <c r="H589" s="9">
        <f t="shared" si="4"/>
        <v>76.180000000000007</v>
      </c>
      <c r="I589" s="4">
        <f>F589-SUMIFS([1]Pedidos!G:G, [1]Pedidos!D:D, C589, [1]Pedidos!E:E, E589, [1]Pedidos!F:F, B589)</f>
        <v>13</v>
      </c>
    </row>
    <row r="590" spans="1:9" ht="15.75" thickBot="1">
      <c r="A590" s="4" t="s">
        <v>680</v>
      </c>
      <c r="B590" s="5" t="s">
        <v>692</v>
      </c>
      <c r="C590" s="10" t="s">
        <v>61</v>
      </c>
      <c r="D590" s="4"/>
      <c r="E590" s="11" t="s">
        <v>62</v>
      </c>
      <c r="F590" s="7">
        <v>30</v>
      </c>
      <c r="G590" s="8">
        <v>7.04</v>
      </c>
      <c r="H590" s="9">
        <f t="shared" si="4"/>
        <v>211.2</v>
      </c>
      <c r="I590" s="4">
        <f>F590-SUMIFS([1]Pedidos!G:G, [1]Pedidos!D:D, C590, [1]Pedidos!E:E, E590, [1]Pedidos!F:F, B590)</f>
        <v>30</v>
      </c>
    </row>
    <row r="591" spans="1:9" ht="15.75" thickBot="1">
      <c r="A591" s="4" t="s">
        <v>680</v>
      </c>
      <c r="B591" s="5" t="s">
        <v>693</v>
      </c>
      <c r="C591" s="10" t="s">
        <v>61</v>
      </c>
      <c r="D591" s="4"/>
      <c r="E591" s="11" t="s">
        <v>62</v>
      </c>
      <c r="F591" s="7">
        <v>37</v>
      </c>
      <c r="G591" s="8">
        <v>8.7899999999999991</v>
      </c>
      <c r="H591" s="9">
        <f t="shared" si="4"/>
        <v>325.22999999999996</v>
      </c>
      <c r="I591" s="4">
        <f>F591-SUMIFS([1]Pedidos!G:G, [1]Pedidos!D:D, C591, [1]Pedidos!E:E, E591, [1]Pedidos!F:F, B591)</f>
        <v>37</v>
      </c>
    </row>
    <row r="592" spans="1:9" ht="15.75" thickBot="1">
      <c r="A592" s="4" t="s">
        <v>680</v>
      </c>
      <c r="B592" s="5" t="s">
        <v>694</v>
      </c>
      <c r="C592" s="10" t="s">
        <v>61</v>
      </c>
      <c r="D592" s="4"/>
      <c r="E592" s="11" t="s">
        <v>62</v>
      </c>
      <c r="F592" s="7">
        <v>37</v>
      </c>
      <c r="G592" s="8">
        <v>21.26</v>
      </c>
      <c r="H592" s="9">
        <f t="shared" si="4"/>
        <v>786.62</v>
      </c>
      <c r="I592" s="4">
        <f>F592-SUMIFS([1]Pedidos!G:G, [1]Pedidos!D:D, C592, [1]Pedidos!E:E, E592, [1]Pedidos!F:F, B592)</f>
        <v>37</v>
      </c>
    </row>
    <row r="593" spans="1:9" ht="15.75" thickBot="1">
      <c r="A593" s="4" t="s">
        <v>680</v>
      </c>
      <c r="B593" s="5" t="s">
        <v>695</v>
      </c>
      <c r="C593" s="10" t="s">
        <v>61</v>
      </c>
      <c r="D593" s="4"/>
      <c r="E593" s="11" t="s">
        <v>62</v>
      </c>
      <c r="F593" s="7">
        <v>15</v>
      </c>
      <c r="G593" s="8">
        <v>17</v>
      </c>
      <c r="H593" s="9">
        <f t="shared" si="4"/>
        <v>255</v>
      </c>
      <c r="I593" s="4">
        <f>F593-SUMIFS([1]Pedidos!G:G, [1]Pedidos!D:D, C593, [1]Pedidos!E:E, E593, [1]Pedidos!F:F, B593)</f>
        <v>15</v>
      </c>
    </row>
    <row r="594" spans="1:9" ht="15.75" thickBot="1">
      <c r="A594" s="4" t="s">
        <v>680</v>
      </c>
      <c r="B594" s="5" t="s">
        <v>696</v>
      </c>
      <c r="C594" s="10" t="s">
        <v>61</v>
      </c>
      <c r="D594" s="4"/>
      <c r="E594" s="11" t="s">
        <v>62</v>
      </c>
      <c r="F594" s="7">
        <v>17</v>
      </c>
      <c r="G594" s="8">
        <v>27</v>
      </c>
      <c r="H594" s="9">
        <f t="shared" si="4"/>
        <v>459</v>
      </c>
      <c r="I594" s="4">
        <f>F594-SUMIFS([1]Pedidos!G:G, [1]Pedidos!D:D, C594, [1]Pedidos!E:E, E594, [1]Pedidos!F:F, B594)</f>
        <v>17</v>
      </c>
    </row>
    <row r="595" spans="1:9" ht="15.75" thickBot="1">
      <c r="A595" s="4" t="s">
        <v>680</v>
      </c>
      <c r="B595" s="5" t="s">
        <v>697</v>
      </c>
      <c r="C595" s="10" t="s">
        <v>61</v>
      </c>
      <c r="D595" s="4"/>
      <c r="E595" s="11" t="s">
        <v>62</v>
      </c>
      <c r="F595" s="7">
        <v>42</v>
      </c>
      <c r="G595" s="8">
        <v>47.89</v>
      </c>
      <c r="H595" s="9">
        <f t="shared" si="4"/>
        <v>2011.38</v>
      </c>
      <c r="I595" s="4">
        <f>F595-SUMIFS([1]Pedidos!G:G, [1]Pedidos!D:D, C595, [1]Pedidos!E:E, E595, [1]Pedidos!F:F, B595)</f>
        <v>42</v>
      </c>
    </row>
    <row r="596" spans="1:9" ht="15.75" thickBot="1">
      <c r="A596" s="4" t="s">
        <v>680</v>
      </c>
      <c r="B596" s="5" t="s">
        <v>698</v>
      </c>
      <c r="C596" s="10" t="s">
        <v>61</v>
      </c>
      <c r="D596" s="4"/>
      <c r="E596" s="11" t="s">
        <v>62</v>
      </c>
      <c r="F596" s="7">
        <v>38</v>
      </c>
      <c r="G596" s="8">
        <v>19.829999999999998</v>
      </c>
      <c r="H596" s="9">
        <f t="shared" si="4"/>
        <v>753.54</v>
      </c>
      <c r="I596" s="4">
        <f>F596-SUMIFS([1]Pedidos!G:G, [1]Pedidos!D:D, C596, [1]Pedidos!E:E, E596, [1]Pedidos!F:F, B596)</f>
        <v>38</v>
      </c>
    </row>
    <row r="597" spans="1:9" ht="15.75" thickBot="1">
      <c r="A597" s="4" t="s">
        <v>680</v>
      </c>
      <c r="B597" s="5" t="s">
        <v>699</v>
      </c>
      <c r="C597" s="10" t="s">
        <v>61</v>
      </c>
      <c r="D597" s="4"/>
      <c r="E597" s="11" t="s">
        <v>62</v>
      </c>
      <c r="F597" s="7">
        <v>23</v>
      </c>
      <c r="G597" s="8">
        <v>21.34</v>
      </c>
      <c r="H597" s="9">
        <f t="shared" si="4"/>
        <v>490.82</v>
      </c>
      <c r="I597" s="4">
        <f>F597-SUMIFS([1]Pedidos!G:G, [1]Pedidos!D:D, C597, [1]Pedidos!E:E, E597, [1]Pedidos!F:F, B597)</f>
        <v>23</v>
      </c>
    </row>
    <row r="598" spans="1:9" ht="15.75" thickBot="1">
      <c r="A598" s="4" t="s">
        <v>680</v>
      </c>
      <c r="B598" s="5" t="s">
        <v>700</v>
      </c>
      <c r="C598" s="10" t="s">
        <v>61</v>
      </c>
      <c r="D598" s="4"/>
      <c r="E598" s="11" t="s">
        <v>62</v>
      </c>
      <c r="F598" s="7">
        <v>45</v>
      </c>
      <c r="G598" s="8">
        <v>38.89</v>
      </c>
      <c r="H598" s="9">
        <f t="shared" si="4"/>
        <v>1750.05</v>
      </c>
      <c r="I598" s="4">
        <f>F598-SUMIFS([1]Pedidos!G:G, [1]Pedidos!D:D, C598, [1]Pedidos!E:E, E598, [1]Pedidos!F:F, B598)</f>
        <v>45</v>
      </c>
    </row>
    <row r="599" spans="1:9" ht="15.75" thickBot="1">
      <c r="A599" s="4" t="s">
        <v>680</v>
      </c>
      <c r="B599" s="5" t="s">
        <v>701</v>
      </c>
      <c r="C599" s="10" t="s">
        <v>61</v>
      </c>
      <c r="D599" s="4"/>
      <c r="E599" s="11" t="s">
        <v>62</v>
      </c>
      <c r="F599" s="7">
        <v>8</v>
      </c>
      <c r="G599" s="8">
        <v>5.5</v>
      </c>
      <c r="H599" s="9">
        <f t="shared" si="4"/>
        <v>44</v>
      </c>
      <c r="I599" s="4">
        <f>F599-SUMIFS([1]Pedidos!G:G, [1]Pedidos!D:D, C599, [1]Pedidos!E:E, E599, [1]Pedidos!F:F, B599)</f>
        <v>8</v>
      </c>
    </row>
    <row r="600" spans="1:9" ht="15.75" thickBot="1">
      <c r="A600" s="4" t="s">
        <v>680</v>
      </c>
      <c r="B600" s="5" t="s">
        <v>702</v>
      </c>
      <c r="C600" s="10" t="s">
        <v>61</v>
      </c>
      <c r="D600" s="4"/>
      <c r="E600" s="11" t="s">
        <v>62</v>
      </c>
      <c r="F600" s="7">
        <v>15</v>
      </c>
      <c r="G600" s="8">
        <v>6.59</v>
      </c>
      <c r="H600" s="9">
        <f t="shared" si="4"/>
        <v>98.85</v>
      </c>
      <c r="I600" s="4">
        <f>F600-SUMIFS([1]Pedidos!G:G, [1]Pedidos!D:D, C600, [1]Pedidos!E:E, E600, [1]Pedidos!F:F, B600)</f>
        <v>15</v>
      </c>
    </row>
    <row r="601" spans="1:9" ht="15.75" thickBot="1">
      <c r="A601" s="4" t="s">
        <v>680</v>
      </c>
      <c r="B601" s="5" t="s">
        <v>703</v>
      </c>
      <c r="C601" s="10" t="s">
        <v>61</v>
      </c>
      <c r="D601" s="4"/>
      <c r="E601" s="11" t="s">
        <v>62</v>
      </c>
      <c r="F601" s="7">
        <v>6</v>
      </c>
      <c r="G601" s="8">
        <v>4.67</v>
      </c>
      <c r="H601" s="9">
        <f t="shared" si="4"/>
        <v>28.02</v>
      </c>
      <c r="I601" s="4">
        <f>F601-SUMIFS([1]Pedidos!G:G, [1]Pedidos!D:D, C601, [1]Pedidos!E:E, E601, [1]Pedidos!F:F, B601)</f>
        <v>6</v>
      </c>
    </row>
    <row r="602" spans="1:9" ht="15.75" thickBot="1">
      <c r="A602" s="4" t="s">
        <v>680</v>
      </c>
      <c r="B602" s="5" t="s">
        <v>704</v>
      </c>
      <c r="C602" s="10" t="s">
        <v>61</v>
      </c>
      <c r="D602" s="4"/>
      <c r="E602" s="11" t="s">
        <v>62</v>
      </c>
      <c r="F602" s="7">
        <v>37</v>
      </c>
      <c r="G602" s="8">
        <v>3</v>
      </c>
      <c r="H602" s="9">
        <f t="shared" si="4"/>
        <v>111</v>
      </c>
      <c r="I602" s="4">
        <f>F602-SUMIFS([1]Pedidos!G:G, [1]Pedidos!D:D, C602, [1]Pedidos!E:E, E602, [1]Pedidos!F:F, B602)</f>
        <v>37</v>
      </c>
    </row>
    <row r="603" spans="1:9" ht="15.75" thickBot="1">
      <c r="A603" s="4" t="s">
        <v>680</v>
      </c>
      <c r="B603" s="5" t="s">
        <v>705</v>
      </c>
      <c r="C603" s="10" t="s">
        <v>61</v>
      </c>
      <c r="D603" s="4"/>
      <c r="E603" s="11" t="s">
        <v>62</v>
      </c>
      <c r="F603" s="7">
        <v>12</v>
      </c>
      <c r="G603" s="8">
        <v>4.46</v>
      </c>
      <c r="H603" s="9">
        <f t="shared" si="4"/>
        <v>53.519999999999996</v>
      </c>
      <c r="I603" s="4">
        <f>F603-SUMIFS([1]Pedidos!G:G, [1]Pedidos!D:D, C603, [1]Pedidos!E:E, E603, [1]Pedidos!F:F, B603)</f>
        <v>12</v>
      </c>
    </row>
    <row r="604" spans="1:9" ht="15.75" thickBot="1">
      <c r="A604" s="4" t="s">
        <v>680</v>
      </c>
      <c r="B604" s="5" t="s">
        <v>705</v>
      </c>
      <c r="C604" s="10" t="s">
        <v>67</v>
      </c>
      <c r="D604" s="4"/>
      <c r="E604" s="11" t="s">
        <v>62</v>
      </c>
      <c r="F604" s="7">
        <v>50</v>
      </c>
      <c r="G604" s="8">
        <v>5</v>
      </c>
      <c r="H604" s="9">
        <f t="shared" si="4"/>
        <v>250</v>
      </c>
      <c r="I604" s="4">
        <f>F604-SUMIFS([1]Pedidos!G:G, [1]Pedidos!D:D, C604, [1]Pedidos!E:E, E604, [1]Pedidos!F:F, B604)</f>
        <v>50</v>
      </c>
    </row>
    <row r="605" spans="1:9" ht="15.75" thickBot="1">
      <c r="A605" s="4" t="s">
        <v>680</v>
      </c>
      <c r="B605" s="5" t="s">
        <v>706</v>
      </c>
      <c r="C605" s="10" t="s">
        <v>61</v>
      </c>
      <c r="D605" s="4"/>
      <c r="E605" s="11" t="s">
        <v>62</v>
      </c>
      <c r="F605" s="7">
        <v>24</v>
      </c>
      <c r="G605" s="8">
        <v>6.32</v>
      </c>
      <c r="H605" s="9">
        <f t="shared" si="4"/>
        <v>151.68</v>
      </c>
      <c r="I605" s="4">
        <f>F605-SUMIFS([1]Pedidos!G:G, [1]Pedidos!D:D, C605, [1]Pedidos!E:E, E605, [1]Pedidos!F:F, B605)</f>
        <v>24</v>
      </c>
    </row>
    <row r="606" spans="1:9" ht="15.75" thickBot="1">
      <c r="A606" s="4" t="s">
        <v>680</v>
      </c>
      <c r="B606" s="5" t="s">
        <v>706</v>
      </c>
      <c r="C606" s="10" t="s">
        <v>67</v>
      </c>
      <c r="D606" s="4"/>
      <c r="E606" s="11" t="s">
        <v>62</v>
      </c>
      <c r="F606" s="7">
        <v>50</v>
      </c>
      <c r="G606" s="8">
        <v>7</v>
      </c>
      <c r="H606" s="9">
        <f t="shared" si="4"/>
        <v>350</v>
      </c>
      <c r="I606" s="4">
        <f>F606-SUMIFS([1]Pedidos!G:G, [1]Pedidos!D:D, C606, [1]Pedidos!E:E, E606, [1]Pedidos!F:F, B606)</f>
        <v>50</v>
      </c>
    </row>
    <row r="607" spans="1:9" ht="15.75" thickBot="1">
      <c r="A607" s="4" t="s">
        <v>680</v>
      </c>
      <c r="B607" s="5" t="s">
        <v>707</v>
      </c>
      <c r="C607" s="10" t="s">
        <v>61</v>
      </c>
      <c r="D607" s="4"/>
      <c r="E607" s="11" t="s">
        <v>62</v>
      </c>
      <c r="F607" s="7">
        <v>23</v>
      </c>
      <c r="G607" s="8">
        <v>8.23</v>
      </c>
      <c r="H607" s="9">
        <f t="shared" si="4"/>
        <v>189.29000000000002</v>
      </c>
      <c r="I607" s="4">
        <f>F607-SUMIFS([1]Pedidos!G:G, [1]Pedidos!D:D, C607, [1]Pedidos!E:E, E607, [1]Pedidos!F:F, B607)</f>
        <v>23</v>
      </c>
    </row>
    <row r="608" spans="1:9" ht="15.75" thickBot="1">
      <c r="A608" s="4" t="s">
        <v>680</v>
      </c>
      <c r="B608" s="5" t="s">
        <v>708</v>
      </c>
      <c r="C608" s="10" t="s">
        <v>61</v>
      </c>
      <c r="D608" s="4"/>
      <c r="E608" s="11" t="s">
        <v>62</v>
      </c>
      <c r="F608" s="7">
        <v>44</v>
      </c>
      <c r="G608" s="8">
        <v>15.23</v>
      </c>
      <c r="H608" s="9">
        <f t="shared" si="4"/>
        <v>670.12</v>
      </c>
      <c r="I608" s="4">
        <f>F608-SUMIFS([1]Pedidos!G:G, [1]Pedidos!D:D, C608, [1]Pedidos!E:E, E608, [1]Pedidos!F:F, B608)</f>
        <v>44</v>
      </c>
    </row>
    <row r="609" spans="1:9" ht="15.75" thickBot="1">
      <c r="A609" s="4" t="s">
        <v>680</v>
      </c>
      <c r="B609" s="5" t="s">
        <v>709</v>
      </c>
      <c r="C609" s="10" t="s">
        <v>61</v>
      </c>
      <c r="D609" s="4"/>
      <c r="E609" s="11" t="s">
        <v>62</v>
      </c>
      <c r="F609" s="7">
        <v>44</v>
      </c>
      <c r="G609" s="8">
        <v>13.89</v>
      </c>
      <c r="H609" s="9">
        <f t="shared" si="4"/>
        <v>611.16000000000008</v>
      </c>
      <c r="I609" s="4">
        <f>F609-SUMIFS([1]Pedidos!G:G, [1]Pedidos!D:D, C609, [1]Pedidos!E:E, E609, [1]Pedidos!F:F, B609)</f>
        <v>44</v>
      </c>
    </row>
    <row r="610" spans="1:9" ht="15.75" thickBot="1">
      <c r="A610" s="4" t="s">
        <v>680</v>
      </c>
      <c r="B610" s="5" t="s">
        <v>710</v>
      </c>
      <c r="C610" s="10" t="s">
        <v>61</v>
      </c>
      <c r="D610" s="4"/>
      <c r="E610" s="11" t="s">
        <v>62</v>
      </c>
      <c r="F610" s="7">
        <v>2</v>
      </c>
      <c r="G610" s="8">
        <v>28</v>
      </c>
      <c r="H610" s="9">
        <f t="shared" si="4"/>
        <v>56</v>
      </c>
      <c r="I610" s="4">
        <f>F610-SUMIFS([1]Pedidos!G:G, [1]Pedidos!D:D, C610, [1]Pedidos!E:E, E610, [1]Pedidos!F:F, B610)</f>
        <v>2</v>
      </c>
    </row>
    <row r="611" spans="1:9" ht="15.75" thickBot="1">
      <c r="A611" s="4" t="s">
        <v>680</v>
      </c>
      <c r="B611" s="5" t="s">
        <v>711</v>
      </c>
      <c r="C611" s="10" t="s">
        <v>61</v>
      </c>
      <c r="D611" s="4"/>
      <c r="E611" s="11" t="s">
        <v>62</v>
      </c>
      <c r="F611" s="7">
        <v>11</v>
      </c>
      <c r="G611" s="8">
        <v>34</v>
      </c>
      <c r="H611" s="9">
        <f t="shared" si="4"/>
        <v>374</v>
      </c>
      <c r="I611" s="4">
        <f>F611-SUMIFS([1]Pedidos!G:G, [1]Pedidos!D:D, C611, [1]Pedidos!E:E, E611, [1]Pedidos!F:F, B611)</f>
        <v>11</v>
      </c>
    </row>
    <row r="612" spans="1:9" ht="15.75" thickBot="1">
      <c r="A612" s="4" t="s">
        <v>680</v>
      </c>
      <c r="B612" s="5" t="s">
        <v>712</v>
      </c>
      <c r="C612" s="10" t="s">
        <v>61</v>
      </c>
      <c r="D612" s="4"/>
      <c r="E612" s="11" t="s">
        <v>62</v>
      </c>
      <c r="F612" s="7">
        <v>23</v>
      </c>
      <c r="G612" s="8">
        <v>49</v>
      </c>
      <c r="H612" s="9">
        <f t="shared" si="4"/>
        <v>1127</v>
      </c>
      <c r="I612" s="4">
        <f>F612-SUMIFS([1]Pedidos!G:G, [1]Pedidos!D:D, C612, [1]Pedidos!E:E, E612, [1]Pedidos!F:F, B612)</f>
        <v>23</v>
      </c>
    </row>
    <row r="613" spans="1:9" ht="15.75" thickBot="1">
      <c r="A613" s="4" t="s">
        <v>713</v>
      </c>
      <c r="B613" s="5" t="s">
        <v>714</v>
      </c>
      <c r="C613" s="10" t="s">
        <v>61</v>
      </c>
      <c r="D613" s="4"/>
      <c r="E613" s="11" t="s">
        <v>62</v>
      </c>
      <c r="F613" s="7">
        <v>2</v>
      </c>
      <c r="G613" s="8">
        <v>580.63</v>
      </c>
      <c r="H613" s="9">
        <f t="shared" si="4"/>
        <v>1161.26</v>
      </c>
      <c r="I613" s="4">
        <f>F613-SUMIFS([1]Pedidos!G:G, [1]Pedidos!D:D, C613, [1]Pedidos!E:E, E613, [1]Pedidos!F:F, B613)</f>
        <v>2</v>
      </c>
    </row>
    <row r="614" spans="1:9" ht="15.75" thickBot="1">
      <c r="A614" s="4" t="s">
        <v>713</v>
      </c>
      <c r="B614" s="5" t="s">
        <v>715</v>
      </c>
      <c r="C614" s="10" t="s">
        <v>61</v>
      </c>
      <c r="D614" s="4"/>
      <c r="E614" s="11" t="s">
        <v>62</v>
      </c>
      <c r="F614" s="7">
        <v>8</v>
      </c>
      <c r="G614" s="8">
        <v>12.6</v>
      </c>
      <c r="H614" s="9">
        <f t="shared" si="4"/>
        <v>100.8</v>
      </c>
      <c r="I614" s="4">
        <f>F614-SUMIFS([1]Pedidos!G:G, [1]Pedidos!D:D, C614, [1]Pedidos!E:E, E614, [1]Pedidos!F:F, B614)</f>
        <v>8</v>
      </c>
    </row>
    <row r="615" spans="1:9" ht="15.75" thickBot="1">
      <c r="A615" s="4" t="s">
        <v>713</v>
      </c>
      <c r="B615" s="5" t="s">
        <v>716</v>
      </c>
      <c r="C615" s="10" t="s">
        <v>61</v>
      </c>
      <c r="D615" s="4"/>
      <c r="E615" s="11" t="s">
        <v>62</v>
      </c>
      <c r="F615" s="7">
        <v>2</v>
      </c>
      <c r="G615" s="8">
        <v>174</v>
      </c>
      <c r="H615" s="9">
        <f t="shared" si="4"/>
        <v>348</v>
      </c>
      <c r="I615" s="4">
        <f>F615-SUMIFS([1]Pedidos!G:G, [1]Pedidos!D:D, C615, [1]Pedidos!E:E, E615, [1]Pedidos!F:F, B615)</f>
        <v>2</v>
      </c>
    </row>
    <row r="616" spans="1:9" ht="15.75" thickBot="1">
      <c r="A616" s="4" t="s">
        <v>713</v>
      </c>
      <c r="B616" s="5" t="s">
        <v>716</v>
      </c>
      <c r="C616" s="10" t="s">
        <v>67</v>
      </c>
      <c r="D616" s="4"/>
      <c r="E616" s="11" t="s">
        <v>62</v>
      </c>
      <c r="F616" s="7">
        <v>2</v>
      </c>
      <c r="G616" s="8">
        <v>12076</v>
      </c>
      <c r="H616" s="9">
        <f t="shared" si="4"/>
        <v>24152</v>
      </c>
      <c r="I616" s="4">
        <f>F616-SUMIFS([1]Pedidos!G:G, [1]Pedidos!D:D, C616, [1]Pedidos!E:E, E616, [1]Pedidos!F:F, B616)</f>
        <v>2</v>
      </c>
    </row>
    <row r="617" spans="1:9" ht="15.75" thickBot="1">
      <c r="A617" s="4" t="s">
        <v>713</v>
      </c>
      <c r="B617" s="5" t="s">
        <v>717</v>
      </c>
      <c r="C617" s="10" t="s">
        <v>61</v>
      </c>
      <c r="D617" s="4"/>
      <c r="E617" s="11" t="s">
        <v>62</v>
      </c>
      <c r="F617" s="7">
        <v>1</v>
      </c>
      <c r="G617" s="8">
        <v>68</v>
      </c>
      <c r="H617" s="9">
        <f t="shared" si="4"/>
        <v>68</v>
      </c>
      <c r="I617" s="4">
        <f>F617-SUMIFS([1]Pedidos!G:G, [1]Pedidos!D:D, C617, [1]Pedidos!E:E, E617, [1]Pedidos!F:F, B617)</f>
        <v>1</v>
      </c>
    </row>
    <row r="618" spans="1:9" ht="15.75" thickBot="1">
      <c r="A618" s="4" t="s">
        <v>713</v>
      </c>
      <c r="B618" s="5" t="s">
        <v>718</v>
      </c>
      <c r="C618" s="10" t="s">
        <v>61</v>
      </c>
      <c r="D618" s="4"/>
      <c r="E618" s="11" t="s">
        <v>62</v>
      </c>
      <c r="F618" s="7">
        <v>4</v>
      </c>
      <c r="G618" s="8">
        <v>392</v>
      </c>
      <c r="H618" s="9">
        <f t="shared" si="4"/>
        <v>1568</v>
      </c>
      <c r="I618" s="4">
        <f>F618-SUMIFS([1]Pedidos!G:G, [1]Pedidos!D:D, C618, [1]Pedidos!E:E, E618, [1]Pedidos!F:F, B618)</f>
        <v>4</v>
      </c>
    </row>
    <row r="619" spans="1:9" ht="15.75" thickBot="1">
      <c r="A619" s="4" t="s">
        <v>713</v>
      </c>
      <c r="B619" s="5" t="s">
        <v>719</v>
      </c>
      <c r="C619" s="10" t="s">
        <v>61</v>
      </c>
      <c r="D619" s="4"/>
      <c r="E619" s="11" t="s">
        <v>62</v>
      </c>
      <c r="F619" s="7">
        <v>3</v>
      </c>
      <c r="G619" s="8">
        <v>598</v>
      </c>
      <c r="H619" s="9">
        <f t="shared" si="4"/>
        <v>1794</v>
      </c>
      <c r="I619" s="4">
        <f>F619-SUMIFS([1]Pedidos!G:G, [1]Pedidos!D:D, C619, [1]Pedidos!E:E, E619, [1]Pedidos!F:F, B619)</f>
        <v>2</v>
      </c>
    </row>
    <row r="620" spans="1:9" ht="15.75" thickBot="1">
      <c r="A620" s="4" t="s">
        <v>713</v>
      </c>
      <c r="B620" s="5" t="s">
        <v>720</v>
      </c>
      <c r="C620" s="10" t="s">
        <v>61</v>
      </c>
      <c r="D620" s="4"/>
      <c r="E620" s="11" t="s">
        <v>62</v>
      </c>
      <c r="F620" s="7">
        <v>3</v>
      </c>
      <c r="G620" s="8">
        <v>144</v>
      </c>
      <c r="H620" s="9">
        <f t="shared" si="4"/>
        <v>432</v>
      </c>
      <c r="I620" s="4">
        <f>F620-SUMIFS([1]Pedidos!G:G, [1]Pedidos!D:D, C620, [1]Pedidos!E:E, E620, [1]Pedidos!F:F, B620)</f>
        <v>3</v>
      </c>
    </row>
    <row r="621" spans="1:9" ht="15.75" thickBot="1">
      <c r="A621" s="4" t="s">
        <v>713</v>
      </c>
      <c r="B621" s="5" t="s">
        <v>721</v>
      </c>
      <c r="C621" s="10" t="s">
        <v>61</v>
      </c>
      <c r="D621" s="4"/>
      <c r="E621" s="11" t="s">
        <v>62</v>
      </c>
      <c r="F621" s="7">
        <v>1</v>
      </c>
      <c r="G621" s="8">
        <v>17</v>
      </c>
      <c r="H621" s="9">
        <f t="shared" si="4"/>
        <v>17</v>
      </c>
      <c r="I621" s="4">
        <f>F621-SUMIFS([1]Pedidos!G:G, [1]Pedidos!D:D, C621, [1]Pedidos!E:E, E621, [1]Pedidos!F:F, B621)</f>
        <v>1</v>
      </c>
    </row>
    <row r="622" spans="1:9" ht="15.75" thickBot="1">
      <c r="A622" s="4" t="s">
        <v>713</v>
      </c>
      <c r="B622" s="5" t="s">
        <v>722</v>
      </c>
      <c r="C622" s="10" t="s">
        <v>61</v>
      </c>
      <c r="D622" s="4"/>
      <c r="E622" s="11" t="s">
        <v>62</v>
      </c>
      <c r="F622" s="7">
        <v>8</v>
      </c>
      <c r="G622" s="8">
        <v>155</v>
      </c>
      <c r="H622" s="9">
        <f t="shared" si="4"/>
        <v>1240</v>
      </c>
      <c r="I622" s="4">
        <f>F622-SUMIFS([1]Pedidos!G:G, [1]Pedidos!D:D, C622, [1]Pedidos!E:E, E622, [1]Pedidos!F:F, B622)</f>
        <v>8</v>
      </c>
    </row>
    <row r="623" spans="1:9" ht="15.75" thickBot="1">
      <c r="A623" s="4" t="s">
        <v>713</v>
      </c>
      <c r="B623" s="5" t="s">
        <v>723</v>
      </c>
      <c r="C623" s="10" t="s">
        <v>61</v>
      </c>
      <c r="D623" s="4"/>
      <c r="E623" s="11" t="s">
        <v>62</v>
      </c>
      <c r="F623" s="7">
        <v>1</v>
      </c>
      <c r="G623" s="8">
        <v>293</v>
      </c>
      <c r="H623" s="9">
        <f t="shared" si="4"/>
        <v>293</v>
      </c>
      <c r="I623" s="4">
        <f>F623-SUMIFS([1]Pedidos!G:G, [1]Pedidos!D:D, C623, [1]Pedidos!E:E, E623, [1]Pedidos!F:F, B623)</f>
        <v>1</v>
      </c>
    </row>
    <row r="624" spans="1:9" ht="15.75" thickBot="1">
      <c r="A624" s="4" t="s">
        <v>713</v>
      </c>
      <c r="B624" s="5" t="s">
        <v>724</v>
      </c>
      <c r="C624" s="10" t="s">
        <v>61</v>
      </c>
      <c r="D624" s="4"/>
      <c r="E624" s="11" t="s">
        <v>62</v>
      </c>
      <c r="F624" s="7">
        <v>2</v>
      </c>
      <c r="G624" s="8">
        <v>187</v>
      </c>
      <c r="H624" s="9">
        <f t="shared" si="4"/>
        <v>374</v>
      </c>
      <c r="I624" s="4">
        <f>F624-SUMIFS([1]Pedidos!G:G, [1]Pedidos!D:D, C624, [1]Pedidos!E:E, E624, [1]Pedidos!F:F, B624)</f>
        <v>2</v>
      </c>
    </row>
    <row r="625" spans="1:9" ht="15.75" thickBot="1">
      <c r="A625" s="4" t="s">
        <v>713</v>
      </c>
      <c r="B625" s="5" t="s">
        <v>725</v>
      </c>
      <c r="C625" s="10" t="s">
        <v>61</v>
      </c>
      <c r="D625" s="4"/>
      <c r="E625" s="11" t="s">
        <v>62</v>
      </c>
      <c r="F625" s="7">
        <v>1</v>
      </c>
      <c r="G625" s="8">
        <v>499</v>
      </c>
      <c r="H625" s="9">
        <f t="shared" si="4"/>
        <v>499</v>
      </c>
      <c r="I625" s="4">
        <f>F625-SUMIFS([1]Pedidos!G:G, [1]Pedidos!D:D, C625, [1]Pedidos!E:E, E625, [1]Pedidos!F:F, B625)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Steklein</dc:creator>
  <cp:lastModifiedBy>Angel Steklein</cp:lastModifiedBy>
  <dcterms:created xsi:type="dcterms:W3CDTF">2025-08-04T15:33:21Z</dcterms:created>
  <dcterms:modified xsi:type="dcterms:W3CDTF">2025-08-04T15:42:22Z</dcterms:modified>
</cp:coreProperties>
</file>
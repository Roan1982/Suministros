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bookViews>
    <workbookView xWindow="0" yWindow="0" windowWidth="14380" windowHeight="3900"/>
  </bookViews>
  <sheets>
    <sheet name="Stock y Compras" sheetId="1" r:id="rId1"/>
    <sheet name="Pedidos" sheetId="2" r:id="rId2"/>
    <sheet name="Consolidado" sheetId="3" r:id="rId3"/>
    <sheet name="CIERRE POR RUBRO" sheetId="4" r:id="rId4"/>
  </sheets>
  <definedNames>
    <definedName name="_xlnm._FilterDatabase" localSheetId="1" hidden="1">Pedidos!$F$1:$F$680</definedName>
    <definedName name="_xlnm._FilterDatabase" localSheetId="0" hidden="1">'Stock y Compras'!$A$1:$J$1264</definedName>
  </definedNames>
  <calcPr calcId="162913"/>
  <pivotCaches>
    <pivotCache cacheId="5" r:id="rId5"/>
    <pivotCache cacheId="10" r:id="rId6"/>
  </pivotCaches>
</workbook>
</file>

<file path=xl/calcChain.xml><?xml version="1.0" encoding="utf-8"?>
<calcChain xmlns="http://schemas.openxmlformats.org/spreadsheetml/2006/main">
  <c r="H349" i="2" l="1"/>
  <c r="I625" i="1"/>
  <c r="J625" i="1" s="1"/>
  <c r="H625" i="1"/>
  <c r="I624" i="1"/>
  <c r="J624" i="1" s="1"/>
  <c r="H624" i="1"/>
  <c r="I623" i="1"/>
  <c r="J623" i="1" s="1"/>
  <c r="H623" i="1"/>
  <c r="J622" i="1"/>
  <c r="I622" i="1"/>
  <c r="H622" i="1"/>
  <c r="I621" i="1"/>
  <c r="J621" i="1" s="1"/>
  <c r="H621" i="1"/>
  <c r="I620" i="1"/>
  <c r="J620" i="1" s="1"/>
  <c r="H620" i="1"/>
  <c r="I619" i="1"/>
  <c r="J619" i="1" s="1"/>
  <c r="H619" i="1"/>
  <c r="I618" i="1"/>
  <c r="J618" i="1" s="1"/>
  <c r="H618" i="1"/>
  <c r="I617" i="1"/>
  <c r="J617" i="1" s="1"/>
  <c r="H617" i="1"/>
  <c r="I616" i="1"/>
  <c r="J616" i="1" s="1"/>
  <c r="H616" i="1"/>
  <c r="I615" i="1"/>
  <c r="J615" i="1" s="1"/>
  <c r="H615" i="1"/>
  <c r="I614" i="1"/>
  <c r="J614" i="1" s="1"/>
  <c r="H614" i="1"/>
  <c r="I613" i="1"/>
  <c r="J613" i="1" s="1"/>
  <c r="H613" i="1"/>
  <c r="I612" i="1"/>
  <c r="J612" i="1" s="1"/>
  <c r="H612" i="1"/>
  <c r="I611" i="1"/>
  <c r="J611" i="1" s="1"/>
  <c r="H611" i="1"/>
  <c r="I610" i="1"/>
  <c r="J610" i="1" s="1"/>
  <c r="H610" i="1"/>
  <c r="I609" i="1"/>
  <c r="J609" i="1" s="1"/>
  <c r="H609" i="1"/>
  <c r="I608" i="1"/>
  <c r="J608" i="1" s="1"/>
  <c r="H608" i="1"/>
  <c r="I607" i="1"/>
  <c r="J607" i="1" s="1"/>
  <c r="H607" i="1"/>
  <c r="J606" i="1"/>
  <c r="I606" i="1"/>
  <c r="H606" i="1"/>
  <c r="I605" i="1"/>
  <c r="J605" i="1" s="1"/>
  <c r="H605" i="1"/>
  <c r="I604" i="1"/>
  <c r="J604" i="1" s="1"/>
  <c r="H604" i="1"/>
  <c r="I603" i="1"/>
  <c r="J603" i="1" s="1"/>
  <c r="H603" i="1"/>
  <c r="J602" i="1"/>
  <c r="I602" i="1"/>
  <c r="H602" i="1"/>
  <c r="I601" i="1"/>
  <c r="J601" i="1" s="1"/>
  <c r="H601" i="1"/>
  <c r="I600" i="1"/>
  <c r="J600" i="1" s="1"/>
  <c r="H600" i="1"/>
  <c r="I599" i="1"/>
  <c r="J599" i="1" s="1"/>
  <c r="H599" i="1"/>
  <c r="J598" i="1"/>
  <c r="I598" i="1"/>
  <c r="H598" i="1"/>
  <c r="I597" i="1"/>
  <c r="J597" i="1" s="1"/>
  <c r="H597" i="1"/>
  <c r="I596" i="1"/>
  <c r="J596" i="1" s="1"/>
  <c r="H596" i="1"/>
  <c r="I595" i="1"/>
  <c r="J595" i="1" s="1"/>
  <c r="H595" i="1"/>
  <c r="J594" i="1"/>
  <c r="I594" i="1"/>
  <c r="H594" i="1"/>
  <c r="I593" i="1"/>
  <c r="J593" i="1" s="1"/>
  <c r="H593" i="1"/>
  <c r="I592" i="1"/>
  <c r="J592" i="1" s="1"/>
  <c r="H592" i="1"/>
  <c r="I591" i="1"/>
  <c r="J591" i="1" s="1"/>
  <c r="H591" i="1"/>
  <c r="I590" i="1"/>
  <c r="J590" i="1" s="1"/>
  <c r="H590" i="1"/>
  <c r="I589" i="1"/>
  <c r="J589" i="1" s="1"/>
  <c r="H589" i="1"/>
  <c r="J588" i="1"/>
  <c r="I588" i="1"/>
  <c r="H588" i="1"/>
  <c r="I587" i="1"/>
  <c r="J587" i="1" s="1"/>
  <c r="H587" i="1"/>
  <c r="I586" i="1"/>
  <c r="J586" i="1" s="1"/>
  <c r="H586" i="1"/>
  <c r="I585" i="1"/>
  <c r="J585" i="1" s="1"/>
  <c r="H585" i="1"/>
  <c r="I584" i="1"/>
  <c r="J584" i="1" s="1"/>
  <c r="H584" i="1"/>
  <c r="I583" i="1"/>
  <c r="J583" i="1" s="1"/>
  <c r="H583" i="1"/>
  <c r="I582" i="1"/>
  <c r="J582" i="1" s="1"/>
  <c r="H582" i="1"/>
  <c r="I581" i="1"/>
  <c r="J581" i="1" s="1"/>
  <c r="H581" i="1"/>
  <c r="J580" i="1"/>
  <c r="I580" i="1"/>
  <c r="H580" i="1"/>
  <c r="I579" i="1"/>
  <c r="J579" i="1" s="1"/>
  <c r="H579" i="1"/>
  <c r="I578" i="1"/>
  <c r="J578" i="1" s="1"/>
  <c r="H578" i="1"/>
  <c r="I577" i="1"/>
  <c r="J577" i="1" s="1"/>
  <c r="H577" i="1"/>
  <c r="I576" i="1"/>
  <c r="J576" i="1" s="1"/>
  <c r="H576" i="1"/>
  <c r="I575" i="1"/>
  <c r="J575" i="1" s="1"/>
  <c r="H575" i="1"/>
  <c r="I574" i="1"/>
  <c r="J574" i="1" s="1"/>
  <c r="H574" i="1"/>
  <c r="I573" i="1"/>
  <c r="J573" i="1" s="1"/>
  <c r="H573" i="1"/>
  <c r="J572" i="1"/>
  <c r="I572" i="1"/>
  <c r="H572" i="1"/>
  <c r="I571" i="1"/>
  <c r="J571" i="1" s="1"/>
  <c r="H571" i="1"/>
  <c r="I570" i="1"/>
  <c r="J570" i="1" s="1"/>
  <c r="H570" i="1"/>
  <c r="I569" i="1"/>
  <c r="J569" i="1" s="1"/>
  <c r="H569" i="1"/>
  <c r="I568" i="1"/>
  <c r="J568" i="1" s="1"/>
  <c r="H568" i="1"/>
  <c r="I567" i="1"/>
  <c r="J567" i="1" s="1"/>
  <c r="H567" i="1"/>
  <c r="I566" i="1"/>
  <c r="J566" i="1" s="1"/>
  <c r="H566" i="1"/>
  <c r="I565" i="1"/>
  <c r="J565" i="1" s="1"/>
  <c r="H565" i="1"/>
  <c r="J564" i="1"/>
  <c r="I564" i="1"/>
  <c r="H564" i="1"/>
  <c r="I563" i="1"/>
  <c r="J563" i="1" s="1"/>
  <c r="H563" i="1"/>
  <c r="I562" i="1"/>
  <c r="J562" i="1" s="1"/>
  <c r="H562" i="1"/>
  <c r="I561" i="1"/>
  <c r="J561" i="1" s="1"/>
  <c r="H561" i="1"/>
  <c r="I560" i="1"/>
  <c r="J560" i="1" s="1"/>
  <c r="H560" i="1"/>
  <c r="I559" i="1"/>
  <c r="J559" i="1" s="1"/>
  <c r="H559" i="1"/>
  <c r="I558" i="1"/>
  <c r="J558" i="1" s="1"/>
  <c r="H558" i="1"/>
  <c r="I557" i="1"/>
  <c r="J557" i="1" s="1"/>
  <c r="H557" i="1"/>
  <c r="I556" i="1"/>
  <c r="J556" i="1" s="1"/>
  <c r="H556" i="1"/>
  <c r="I555" i="1"/>
  <c r="J555" i="1" s="1"/>
  <c r="H555" i="1"/>
  <c r="I554" i="1"/>
  <c r="J554" i="1" s="1"/>
  <c r="H554" i="1"/>
  <c r="I553" i="1"/>
  <c r="J553" i="1" s="1"/>
  <c r="H553" i="1"/>
  <c r="J552" i="1"/>
  <c r="I552" i="1"/>
  <c r="H552" i="1"/>
  <c r="I551" i="1"/>
  <c r="J551" i="1" s="1"/>
  <c r="H551" i="1"/>
  <c r="I550" i="1"/>
  <c r="J550" i="1" s="1"/>
  <c r="H550" i="1"/>
  <c r="I549" i="1"/>
  <c r="J549" i="1" s="1"/>
  <c r="H549" i="1"/>
  <c r="I548" i="1"/>
  <c r="J548" i="1" s="1"/>
  <c r="H548" i="1"/>
  <c r="I547" i="1"/>
  <c r="J547" i="1" s="1"/>
  <c r="H547" i="1"/>
  <c r="I546" i="1"/>
  <c r="J546" i="1" s="1"/>
  <c r="H546" i="1"/>
  <c r="I545" i="1"/>
  <c r="J545" i="1" s="1"/>
  <c r="H545" i="1"/>
  <c r="J544" i="1"/>
  <c r="I544" i="1"/>
  <c r="H544" i="1"/>
  <c r="I543" i="1"/>
  <c r="J543" i="1" s="1"/>
  <c r="H543" i="1"/>
  <c r="I542" i="1"/>
  <c r="J542" i="1" s="1"/>
  <c r="H542" i="1"/>
  <c r="I541" i="1"/>
  <c r="J541" i="1" s="1"/>
  <c r="H541" i="1"/>
  <c r="I540" i="1"/>
  <c r="J540" i="1" s="1"/>
  <c r="H540" i="1"/>
  <c r="I539" i="1"/>
  <c r="J539" i="1" s="1"/>
  <c r="H539" i="1"/>
  <c r="I538" i="1"/>
  <c r="J538" i="1" s="1"/>
  <c r="H538" i="1"/>
  <c r="I537" i="1"/>
  <c r="J537" i="1" s="1"/>
  <c r="H537" i="1"/>
  <c r="I536" i="1"/>
  <c r="J536" i="1" s="1"/>
  <c r="H536" i="1"/>
  <c r="I535" i="1"/>
  <c r="J535" i="1" s="1"/>
  <c r="H535" i="1"/>
  <c r="I534" i="1"/>
  <c r="J534" i="1" s="1"/>
  <c r="H534" i="1"/>
  <c r="J533" i="1"/>
  <c r="I533" i="1"/>
  <c r="H533" i="1"/>
  <c r="I532" i="1"/>
  <c r="J532" i="1" s="1"/>
  <c r="H532" i="1"/>
  <c r="I531" i="1"/>
  <c r="J531" i="1" s="1"/>
  <c r="H531" i="1"/>
  <c r="I530" i="1"/>
  <c r="J530" i="1" s="1"/>
  <c r="H530" i="1"/>
  <c r="I529" i="1"/>
  <c r="J529" i="1" s="1"/>
  <c r="H529" i="1"/>
  <c r="I528" i="1"/>
  <c r="J528" i="1" s="1"/>
  <c r="H528" i="1"/>
  <c r="I527" i="1"/>
  <c r="J527" i="1" s="1"/>
  <c r="H527" i="1"/>
  <c r="I526" i="1"/>
  <c r="J526" i="1" s="1"/>
  <c r="H526" i="1"/>
  <c r="J525" i="1"/>
  <c r="I525" i="1"/>
  <c r="H525" i="1"/>
  <c r="I524" i="1"/>
  <c r="J524" i="1" s="1"/>
  <c r="H524" i="1"/>
  <c r="I523" i="1"/>
  <c r="J523" i="1" s="1"/>
  <c r="H523" i="1"/>
  <c r="I522" i="1"/>
  <c r="J522" i="1" s="1"/>
  <c r="H522" i="1"/>
  <c r="I521" i="1"/>
  <c r="J521" i="1" s="1"/>
  <c r="H521" i="1"/>
  <c r="I520" i="1"/>
  <c r="J520" i="1" s="1"/>
  <c r="H520" i="1"/>
  <c r="I519" i="1"/>
  <c r="J519" i="1" s="1"/>
  <c r="H519" i="1"/>
  <c r="I518" i="1"/>
  <c r="J518" i="1" s="1"/>
  <c r="H518" i="1"/>
  <c r="I517" i="1"/>
  <c r="J517" i="1" s="1"/>
  <c r="H517" i="1"/>
  <c r="I516" i="1"/>
  <c r="J516" i="1" s="1"/>
  <c r="H516" i="1"/>
  <c r="I515" i="1"/>
  <c r="J515" i="1" s="1"/>
  <c r="H515" i="1"/>
  <c r="I514" i="1"/>
  <c r="J514" i="1" s="1"/>
  <c r="H514" i="1"/>
  <c r="I513" i="1"/>
  <c r="J513" i="1" s="1"/>
  <c r="H513" i="1"/>
  <c r="I512" i="1"/>
  <c r="J512" i="1" s="1"/>
  <c r="H512" i="1"/>
  <c r="I511" i="1"/>
  <c r="J511" i="1" s="1"/>
  <c r="H511" i="1"/>
  <c r="I510" i="1"/>
  <c r="J510" i="1" s="1"/>
  <c r="H510" i="1"/>
  <c r="I509" i="1"/>
  <c r="J509" i="1" s="1"/>
  <c r="H509" i="1"/>
  <c r="I508" i="1"/>
  <c r="J508" i="1" s="1"/>
  <c r="H508" i="1"/>
  <c r="I507" i="1"/>
  <c r="J507" i="1" s="1"/>
  <c r="H507" i="1"/>
  <c r="J506" i="1"/>
  <c r="I506" i="1"/>
  <c r="H506" i="1"/>
  <c r="I505" i="1"/>
  <c r="J505" i="1" s="1"/>
  <c r="H505" i="1"/>
  <c r="I504" i="1"/>
  <c r="J504" i="1" s="1"/>
  <c r="H504" i="1"/>
  <c r="I503" i="1"/>
  <c r="J503" i="1" s="1"/>
  <c r="H503" i="1"/>
  <c r="I502" i="1"/>
  <c r="J502" i="1" s="1"/>
  <c r="H502" i="1"/>
  <c r="I501" i="1"/>
  <c r="J501" i="1" s="1"/>
  <c r="H501" i="1"/>
  <c r="I500" i="1"/>
  <c r="J500" i="1" s="1"/>
  <c r="H500" i="1"/>
  <c r="I499" i="1"/>
  <c r="J499" i="1" s="1"/>
  <c r="H499" i="1"/>
  <c r="J498" i="1"/>
  <c r="I498" i="1"/>
  <c r="H498" i="1"/>
  <c r="I497" i="1"/>
  <c r="J497" i="1" s="1"/>
  <c r="H497" i="1"/>
  <c r="I496" i="1"/>
  <c r="J496" i="1" s="1"/>
  <c r="H496" i="1"/>
  <c r="I495" i="1"/>
  <c r="J495" i="1" s="1"/>
  <c r="H495" i="1"/>
  <c r="I494" i="1"/>
  <c r="J494" i="1" s="1"/>
  <c r="H494" i="1"/>
  <c r="I493" i="1"/>
  <c r="J493" i="1" s="1"/>
  <c r="H493" i="1"/>
  <c r="I492" i="1"/>
  <c r="J492" i="1" s="1"/>
  <c r="H492" i="1"/>
  <c r="I491" i="1"/>
  <c r="J491" i="1" s="1"/>
  <c r="H491" i="1"/>
  <c r="J490" i="1"/>
  <c r="I490" i="1"/>
  <c r="H490" i="1"/>
  <c r="I489" i="1"/>
  <c r="J489" i="1" s="1"/>
  <c r="H489" i="1"/>
  <c r="I488" i="1"/>
  <c r="J488" i="1" s="1"/>
  <c r="H488" i="1"/>
  <c r="I487" i="1"/>
  <c r="J487" i="1" s="1"/>
  <c r="H487" i="1"/>
  <c r="I486" i="1"/>
  <c r="J486" i="1" s="1"/>
  <c r="H486" i="1"/>
  <c r="I485" i="1"/>
  <c r="J485" i="1" s="1"/>
  <c r="H485" i="1"/>
  <c r="I484" i="1"/>
  <c r="J484" i="1" s="1"/>
  <c r="H484" i="1"/>
  <c r="I483" i="1"/>
  <c r="J483" i="1" s="1"/>
  <c r="H483" i="1"/>
  <c r="J482" i="1"/>
  <c r="I482" i="1"/>
  <c r="H482" i="1"/>
  <c r="I481" i="1"/>
  <c r="J481" i="1" s="1"/>
  <c r="H481" i="1"/>
  <c r="I480" i="1"/>
  <c r="J480" i="1" s="1"/>
  <c r="H480" i="1"/>
  <c r="I479" i="1"/>
  <c r="J479" i="1" s="1"/>
  <c r="H479" i="1"/>
  <c r="I478" i="1"/>
  <c r="J478" i="1" s="1"/>
  <c r="H478" i="1"/>
  <c r="I477" i="1"/>
  <c r="J477" i="1" s="1"/>
  <c r="H477" i="1"/>
  <c r="I476" i="1"/>
  <c r="J476" i="1" s="1"/>
  <c r="H476" i="1"/>
  <c r="I475" i="1"/>
  <c r="J475" i="1" s="1"/>
  <c r="H475" i="1"/>
  <c r="J474" i="1"/>
  <c r="I474" i="1"/>
  <c r="H474" i="1"/>
  <c r="I473" i="1"/>
  <c r="J473" i="1" s="1"/>
  <c r="H473" i="1"/>
  <c r="I472" i="1"/>
  <c r="J472" i="1" s="1"/>
  <c r="H472" i="1"/>
  <c r="I471" i="1"/>
  <c r="J471" i="1" s="1"/>
  <c r="H471" i="1"/>
  <c r="I470" i="1"/>
  <c r="J470" i="1" s="1"/>
  <c r="H470" i="1"/>
  <c r="I469" i="1"/>
  <c r="J469" i="1" s="1"/>
  <c r="H469" i="1"/>
  <c r="I468" i="1"/>
  <c r="J468" i="1" s="1"/>
  <c r="H468" i="1"/>
  <c r="I467" i="1"/>
  <c r="J467" i="1" s="1"/>
  <c r="H467" i="1"/>
  <c r="J466" i="1"/>
  <c r="I466" i="1"/>
  <c r="H466" i="1"/>
  <c r="I465" i="1"/>
  <c r="J465" i="1" s="1"/>
  <c r="H465" i="1"/>
  <c r="I464" i="1"/>
  <c r="J464" i="1" s="1"/>
  <c r="H464" i="1"/>
  <c r="I463" i="1"/>
  <c r="J463" i="1" s="1"/>
  <c r="H463" i="1"/>
  <c r="I462" i="1"/>
  <c r="J462" i="1" s="1"/>
  <c r="H462" i="1"/>
  <c r="I461" i="1"/>
  <c r="J461" i="1" s="1"/>
  <c r="H461" i="1"/>
  <c r="I460" i="1"/>
  <c r="J460" i="1" s="1"/>
  <c r="H460" i="1"/>
  <c r="I459" i="1"/>
  <c r="J459" i="1" s="1"/>
  <c r="H459" i="1"/>
  <c r="J458" i="1"/>
  <c r="I458" i="1"/>
  <c r="H458" i="1"/>
  <c r="I457" i="1"/>
  <c r="J457" i="1" s="1"/>
  <c r="H457" i="1"/>
  <c r="I456" i="1"/>
  <c r="J456" i="1" s="1"/>
  <c r="H456" i="1"/>
  <c r="I455" i="1"/>
  <c r="J455" i="1" s="1"/>
  <c r="H455" i="1"/>
  <c r="I454" i="1"/>
  <c r="J454" i="1" s="1"/>
  <c r="H454" i="1"/>
  <c r="I453" i="1"/>
  <c r="J453" i="1" s="1"/>
  <c r="H453" i="1"/>
  <c r="I452" i="1"/>
  <c r="J452" i="1" s="1"/>
  <c r="H452" i="1"/>
  <c r="I451" i="1"/>
  <c r="J451" i="1" s="1"/>
  <c r="H451" i="1"/>
  <c r="J450" i="1"/>
  <c r="I450" i="1"/>
  <c r="H450" i="1"/>
  <c r="I449" i="1"/>
  <c r="J449" i="1" s="1"/>
  <c r="H449" i="1"/>
  <c r="I448" i="1"/>
  <c r="J448" i="1" s="1"/>
  <c r="H448" i="1"/>
  <c r="I447" i="1"/>
  <c r="J447" i="1" s="1"/>
  <c r="H447" i="1"/>
  <c r="J446" i="1"/>
  <c r="I446" i="1"/>
  <c r="H446" i="1"/>
  <c r="I445" i="1"/>
  <c r="J445" i="1" s="1"/>
  <c r="H445" i="1"/>
  <c r="I444" i="1"/>
  <c r="J444" i="1" s="1"/>
  <c r="H444" i="1"/>
  <c r="I443" i="1"/>
  <c r="J443" i="1" s="1"/>
  <c r="H443" i="1"/>
  <c r="I442" i="1"/>
  <c r="J442" i="1" s="1"/>
  <c r="H442" i="1"/>
  <c r="J441" i="1"/>
  <c r="I441" i="1"/>
  <c r="H441" i="1"/>
  <c r="I440" i="1"/>
  <c r="J440" i="1" s="1"/>
  <c r="H440" i="1"/>
  <c r="I439" i="1"/>
  <c r="J439" i="1" s="1"/>
  <c r="H439" i="1"/>
  <c r="I438" i="1"/>
  <c r="J438" i="1" s="1"/>
  <c r="H438" i="1"/>
  <c r="I437" i="1"/>
  <c r="J437" i="1" s="1"/>
  <c r="H437" i="1"/>
  <c r="I436" i="1"/>
  <c r="J436" i="1" s="1"/>
  <c r="H436" i="1"/>
  <c r="I435" i="1"/>
  <c r="J435" i="1" s="1"/>
  <c r="H435" i="1"/>
  <c r="I434" i="1"/>
  <c r="J434" i="1" s="1"/>
  <c r="H434" i="1"/>
  <c r="J433" i="1"/>
  <c r="I433" i="1"/>
  <c r="H433" i="1"/>
  <c r="I432" i="1"/>
  <c r="J432" i="1" s="1"/>
  <c r="H432" i="1"/>
  <c r="I431" i="1"/>
  <c r="J431" i="1" s="1"/>
  <c r="H431" i="1"/>
  <c r="I430" i="1"/>
  <c r="J430" i="1" s="1"/>
  <c r="H430" i="1"/>
  <c r="I429" i="1"/>
  <c r="J429" i="1" s="1"/>
  <c r="H429" i="1"/>
  <c r="I428" i="1"/>
  <c r="J428" i="1" s="1"/>
  <c r="H428" i="1"/>
  <c r="I427" i="1"/>
  <c r="J427" i="1" s="1"/>
  <c r="H427" i="1"/>
  <c r="I426" i="1"/>
  <c r="J426" i="1" s="1"/>
  <c r="H426" i="1"/>
  <c r="J425" i="1"/>
  <c r="I425" i="1"/>
  <c r="H425" i="1"/>
  <c r="I424" i="1"/>
  <c r="J424" i="1" s="1"/>
  <c r="H424" i="1"/>
  <c r="I423" i="1"/>
  <c r="J423" i="1" s="1"/>
  <c r="H423" i="1"/>
  <c r="I422" i="1"/>
  <c r="J422" i="1" s="1"/>
  <c r="H422" i="1"/>
  <c r="I421" i="1"/>
  <c r="J421" i="1" s="1"/>
  <c r="H421" i="1"/>
  <c r="I420" i="1"/>
  <c r="J420" i="1" s="1"/>
  <c r="H420" i="1"/>
  <c r="I419" i="1"/>
  <c r="J419" i="1" s="1"/>
  <c r="H419" i="1"/>
  <c r="I418" i="1"/>
  <c r="J418" i="1" s="1"/>
  <c r="H418" i="1"/>
  <c r="J417" i="1"/>
  <c r="I417" i="1"/>
  <c r="H417" i="1"/>
  <c r="I416" i="1"/>
  <c r="J416" i="1" s="1"/>
  <c r="H416" i="1"/>
  <c r="I415" i="1"/>
  <c r="J415" i="1" s="1"/>
  <c r="H415" i="1"/>
  <c r="I414" i="1"/>
  <c r="J414" i="1" s="1"/>
  <c r="H414" i="1"/>
  <c r="I413" i="1"/>
  <c r="J413" i="1" s="1"/>
  <c r="H413" i="1"/>
  <c r="I412" i="1"/>
  <c r="J412" i="1" s="1"/>
  <c r="H412" i="1"/>
  <c r="I411" i="1"/>
  <c r="J411" i="1" s="1"/>
  <c r="H411" i="1"/>
  <c r="I410" i="1"/>
  <c r="J410" i="1" s="1"/>
  <c r="H410" i="1"/>
  <c r="J409" i="1"/>
  <c r="I409" i="1"/>
  <c r="H409" i="1"/>
  <c r="I408" i="1"/>
  <c r="J408" i="1" s="1"/>
  <c r="H408" i="1"/>
  <c r="I407" i="1"/>
  <c r="J407" i="1" s="1"/>
  <c r="H407" i="1"/>
  <c r="I406" i="1"/>
  <c r="J406" i="1" s="1"/>
  <c r="H406" i="1"/>
  <c r="I405" i="1"/>
  <c r="J405" i="1" s="1"/>
  <c r="H405" i="1"/>
  <c r="I404" i="1"/>
  <c r="J404" i="1" s="1"/>
  <c r="H404" i="1"/>
  <c r="I403" i="1"/>
  <c r="J403" i="1" s="1"/>
  <c r="H403" i="1"/>
  <c r="I402" i="1"/>
  <c r="J402" i="1" s="1"/>
  <c r="H402" i="1"/>
  <c r="J401" i="1"/>
  <c r="I401" i="1"/>
  <c r="H401" i="1"/>
  <c r="I400" i="1"/>
  <c r="J400" i="1" s="1"/>
  <c r="H400" i="1"/>
  <c r="I399" i="1"/>
  <c r="J399" i="1" s="1"/>
  <c r="H399" i="1"/>
  <c r="I398" i="1"/>
  <c r="J398" i="1" s="1"/>
  <c r="H398" i="1"/>
  <c r="I397" i="1"/>
  <c r="J397" i="1" s="1"/>
  <c r="H397" i="1"/>
  <c r="I396" i="1"/>
  <c r="J396" i="1" s="1"/>
  <c r="H396" i="1"/>
  <c r="I395" i="1"/>
  <c r="J395" i="1" s="1"/>
  <c r="H395" i="1"/>
  <c r="I394" i="1"/>
  <c r="J394" i="1" s="1"/>
  <c r="H394" i="1"/>
  <c r="J393" i="1"/>
  <c r="I393" i="1"/>
  <c r="H393" i="1"/>
  <c r="I392" i="1"/>
  <c r="J392" i="1" s="1"/>
  <c r="H392" i="1"/>
  <c r="I391" i="1"/>
  <c r="J391" i="1" s="1"/>
  <c r="H391" i="1"/>
  <c r="I390" i="1"/>
  <c r="J390" i="1" s="1"/>
  <c r="H390" i="1"/>
  <c r="J389" i="1"/>
  <c r="I389" i="1"/>
  <c r="H389" i="1"/>
  <c r="I388" i="1"/>
  <c r="J388" i="1" s="1"/>
  <c r="H388" i="1"/>
  <c r="I387" i="1"/>
  <c r="J387" i="1" s="1"/>
  <c r="H387" i="1"/>
  <c r="I386" i="1"/>
  <c r="J386" i="1" s="1"/>
  <c r="H386" i="1"/>
  <c r="J385" i="1"/>
  <c r="I385" i="1"/>
  <c r="H385" i="1"/>
  <c r="I384" i="1"/>
  <c r="J384" i="1" s="1"/>
  <c r="H384" i="1"/>
  <c r="I383" i="1"/>
  <c r="J383" i="1" s="1"/>
  <c r="H383" i="1"/>
  <c r="I382" i="1"/>
  <c r="J382" i="1" s="1"/>
  <c r="H382" i="1"/>
  <c r="J381" i="1"/>
  <c r="I381" i="1"/>
  <c r="H381" i="1"/>
  <c r="I380" i="1"/>
  <c r="J380" i="1" s="1"/>
  <c r="H380" i="1"/>
  <c r="I379" i="1"/>
  <c r="J379" i="1" s="1"/>
  <c r="H379" i="1"/>
  <c r="I378" i="1"/>
  <c r="J378" i="1" s="1"/>
  <c r="H378" i="1"/>
  <c r="J377" i="1"/>
  <c r="I377" i="1"/>
  <c r="H377" i="1"/>
  <c r="I376" i="1"/>
  <c r="J376" i="1" s="1"/>
  <c r="H376" i="1"/>
  <c r="I375" i="1"/>
  <c r="J375" i="1" s="1"/>
  <c r="H375" i="1"/>
  <c r="I374" i="1"/>
  <c r="J374" i="1" s="1"/>
  <c r="H374" i="1"/>
  <c r="J373" i="1"/>
  <c r="I373" i="1"/>
  <c r="H373" i="1"/>
  <c r="I372" i="1"/>
  <c r="J372" i="1" s="1"/>
  <c r="H372" i="1"/>
  <c r="I371" i="1"/>
  <c r="J371" i="1" s="1"/>
  <c r="H371" i="1"/>
  <c r="I370" i="1"/>
  <c r="J370" i="1" s="1"/>
  <c r="H370" i="1"/>
  <c r="J369" i="1"/>
  <c r="I369" i="1"/>
  <c r="H369" i="1"/>
  <c r="I368" i="1"/>
  <c r="J368" i="1" s="1"/>
  <c r="H368" i="1"/>
  <c r="I367" i="1"/>
  <c r="J367" i="1" s="1"/>
  <c r="H367" i="1"/>
  <c r="I366" i="1"/>
  <c r="J366" i="1" s="1"/>
  <c r="H366" i="1"/>
  <c r="J365" i="1"/>
  <c r="I365" i="1"/>
  <c r="H365" i="1"/>
  <c r="I364" i="1"/>
  <c r="J364" i="1" s="1"/>
  <c r="H364" i="1"/>
  <c r="I363" i="1"/>
  <c r="J363" i="1" s="1"/>
  <c r="H363" i="1"/>
  <c r="J362" i="1"/>
  <c r="I362" i="1"/>
  <c r="H362" i="1"/>
  <c r="I361" i="1"/>
  <c r="J361" i="1" s="1"/>
  <c r="H361" i="1"/>
  <c r="I360" i="1"/>
  <c r="J360" i="1" s="1"/>
  <c r="H360" i="1"/>
  <c r="J359" i="1"/>
  <c r="I359" i="1"/>
  <c r="H359" i="1"/>
  <c r="I358" i="1"/>
  <c r="J358" i="1" s="1"/>
  <c r="H358" i="1"/>
  <c r="J357" i="1"/>
  <c r="I357" i="1"/>
  <c r="H357" i="1"/>
  <c r="I356" i="1"/>
  <c r="J356" i="1" s="1"/>
  <c r="H356" i="1"/>
  <c r="I355" i="1"/>
  <c r="J355" i="1" s="1"/>
  <c r="H355" i="1"/>
  <c r="J354" i="1"/>
  <c r="I354" i="1"/>
  <c r="H354" i="1"/>
  <c r="I353" i="1"/>
  <c r="J353" i="1" s="1"/>
  <c r="H353" i="1"/>
  <c r="I352" i="1"/>
  <c r="J352" i="1" s="1"/>
  <c r="H352" i="1"/>
  <c r="I351" i="1"/>
  <c r="J351" i="1" s="1"/>
  <c r="H351" i="1"/>
  <c r="J350" i="1"/>
  <c r="I350" i="1"/>
  <c r="H350" i="1"/>
  <c r="I349" i="1"/>
  <c r="J349" i="1" s="1"/>
  <c r="H349" i="1"/>
  <c r="I348" i="1"/>
  <c r="J348" i="1" s="1"/>
  <c r="H348" i="1"/>
  <c r="I347" i="1"/>
  <c r="J347" i="1" s="1"/>
  <c r="H347" i="1"/>
  <c r="J346" i="1"/>
  <c r="I346" i="1"/>
  <c r="H346" i="1"/>
  <c r="I345" i="1"/>
  <c r="J345" i="1" s="1"/>
  <c r="H345" i="1"/>
  <c r="I344" i="1"/>
  <c r="J344" i="1" s="1"/>
  <c r="H344" i="1"/>
  <c r="J343" i="1"/>
  <c r="I343" i="1"/>
  <c r="H343" i="1"/>
  <c r="I342" i="1"/>
  <c r="J342" i="1" s="1"/>
  <c r="H342" i="1"/>
  <c r="I341" i="1"/>
  <c r="J341" i="1" s="1"/>
  <c r="H341" i="1"/>
  <c r="I340" i="1"/>
  <c r="J340" i="1" s="1"/>
  <c r="H340" i="1"/>
  <c r="J339" i="1"/>
  <c r="I339" i="1"/>
  <c r="H339" i="1"/>
  <c r="I338" i="1"/>
  <c r="J338" i="1" s="1"/>
  <c r="H338" i="1"/>
  <c r="I337" i="1"/>
  <c r="J337" i="1" s="1"/>
  <c r="H337" i="1"/>
  <c r="I336" i="1"/>
  <c r="J336" i="1" s="1"/>
  <c r="H336" i="1"/>
  <c r="J335" i="1"/>
  <c r="I335" i="1"/>
  <c r="H335" i="1"/>
  <c r="I334" i="1"/>
  <c r="J334" i="1" s="1"/>
  <c r="H334" i="1"/>
  <c r="I333" i="1"/>
  <c r="J333" i="1" s="1"/>
  <c r="H333" i="1"/>
  <c r="I332" i="1"/>
  <c r="J332" i="1" s="1"/>
  <c r="H332" i="1"/>
  <c r="J331" i="1"/>
  <c r="I331" i="1"/>
  <c r="H331" i="1"/>
  <c r="I330" i="1"/>
  <c r="J330" i="1" s="1"/>
  <c r="H330" i="1"/>
  <c r="I329" i="1"/>
  <c r="J329" i="1" s="1"/>
  <c r="H329" i="1"/>
  <c r="I328" i="1"/>
  <c r="J328" i="1" s="1"/>
  <c r="H328" i="1"/>
  <c r="J327" i="1"/>
  <c r="I327" i="1"/>
  <c r="H327" i="1"/>
  <c r="I326" i="1"/>
  <c r="J326" i="1" s="1"/>
  <c r="H326" i="1"/>
  <c r="I325" i="1"/>
  <c r="J325" i="1" s="1"/>
  <c r="H325" i="1"/>
  <c r="I324" i="1"/>
  <c r="J324" i="1" s="1"/>
  <c r="H324" i="1"/>
  <c r="J323" i="1"/>
  <c r="I323" i="1"/>
  <c r="H323" i="1"/>
  <c r="I322" i="1"/>
  <c r="J322" i="1" s="1"/>
  <c r="H322" i="1"/>
  <c r="I321" i="1"/>
  <c r="J321" i="1" s="1"/>
  <c r="H321" i="1"/>
  <c r="I320" i="1"/>
  <c r="J320" i="1" s="1"/>
  <c r="H320" i="1"/>
  <c r="J319" i="1"/>
  <c r="I319" i="1"/>
  <c r="H319" i="1"/>
  <c r="I318" i="1"/>
  <c r="J318" i="1" s="1"/>
  <c r="H318" i="1"/>
  <c r="I317" i="1"/>
  <c r="J317" i="1" s="1"/>
  <c r="H317" i="1"/>
  <c r="I316" i="1"/>
  <c r="J316" i="1" s="1"/>
  <c r="H316" i="1"/>
  <c r="J315" i="1"/>
  <c r="I315" i="1"/>
  <c r="H315" i="1"/>
  <c r="I314" i="1"/>
  <c r="J314" i="1" s="1"/>
  <c r="H314" i="1"/>
  <c r="I313" i="1"/>
  <c r="J313" i="1" s="1"/>
  <c r="H313" i="1"/>
  <c r="I312" i="1"/>
  <c r="J312" i="1" s="1"/>
  <c r="H312" i="1"/>
  <c r="J311" i="1"/>
  <c r="I311" i="1"/>
  <c r="H311" i="1"/>
  <c r="I310" i="1"/>
  <c r="J310" i="1" s="1"/>
  <c r="H310" i="1"/>
  <c r="I309" i="1"/>
  <c r="J309" i="1" s="1"/>
  <c r="H309" i="1"/>
  <c r="I308" i="1"/>
  <c r="J308" i="1" s="1"/>
  <c r="H308" i="1"/>
  <c r="J307" i="1"/>
  <c r="I307" i="1"/>
  <c r="H307" i="1"/>
  <c r="I306" i="1"/>
  <c r="J306" i="1" s="1"/>
  <c r="H306" i="1"/>
  <c r="I305" i="1"/>
  <c r="J305" i="1" s="1"/>
  <c r="H305" i="1"/>
  <c r="I304" i="1"/>
  <c r="J304" i="1" s="1"/>
  <c r="H304" i="1"/>
  <c r="J303" i="1"/>
  <c r="I303" i="1"/>
  <c r="H303" i="1"/>
  <c r="I302" i="1"/>
  <c r="J302" i="1" s="1"/>
  <c r="H302" i="1"/>
  <c r="I301" i="1"/>
  <c r="J301" i="1" s="1"/>
  <c r="H301" i="1"/>
  <c r="I300" i="1"/>
  <c r="J300" i="1" s="1"/>
  <c r="H300" i="1"/>
  <c r="J299" i="1"/>
  <c r="I299" i="1"/>
  <c r="H299" i="1"/>
  <c r="I298" i="1"/>
  <c r="J298" i="1" s="1"/>
  <c r="H298" i="1"/>
  <c r="I297" i="1"/>
  <c r="J297" i="1" s="1"/>
  <c r="H297" i="1"/>
  <c r="G297" i="1"/>
  <c r="F297" i="1"/>
  <c r="J296" i="1"/>
  <c r="I296" i="1"/>
  <c r="H296" i="1"/>
  <c r="I295" i="1"/>
  <c r="J295" i="1" s="1"/>
  <c r="H295" i="1"/>
  <c r="I294" i="1"/>
  <c r="J294" i="1" s="1"/>
  <c r="H294" i="1"/>
  <c r="I293" i="1"/>
  <c r="J293" i="1" s="1"/>
  <c r="H293" i="1"/>
  <c r="J292" i="1"/>
  <c r="I292" i="1"/>
  <c r="H292" i="1"/>
  <c r="I291" i="1"/>
  <c r="J291" i="1" s="1"/>
  <c r="H291" i="1"/>
  <c r="I290" i="1"/>
  <c r="J290" i="1" s="1"/>
  <c r="H290" i="1"/>
  <c r="I289" i="1"/>
  <c r="J289" i="1" s="1"/>
  <c r="H289" i="1"/>
  <c r="J288" i="1"/>
  <c r="I288" i="1"/>
  <c r="H288" i="1"/>
  <c r="I287" i="1"/>
  <c r="J287" i="1" s="1"/>
  <c r="H287" i="1"/>
  <c r="I286" i="1"/>
  <c r="J286" i="1" s="1"/>
  <c r="H286" i="1"/>
  <c r="I285" i="1"/>
  <c r="J285" i="1" s="1"/>
  <c r="H285" i="1"/>
  <c r="J284" i="1"/>
  <c r="I284" i="1"/>
  <c r="H284" i="1"/>
  <c r="I283" i="1"/>
  <c r="J283" i="1" s="1"/>
  <c r="H283" i="1"/>
  <c r="I282" i="1"/>
  <c r="J282" i="1" s="1"/>
  <c r="H282" i="1"/>
  <c r="I281" i="1"/>
  <c r="J281" i="1" s="1"/>
  <c r="H281" i="1"/>
  <c r="J280" i="1"/>
  <c r="I280" i="1"/>
  <c r="H280" i="1"/>
  <c r="I279" i="1"/>
  <c r="J279" i="1" s="1"/>
  <c r="H279" i="1"/>
  <c r="I278" i="1"/>
  <c r="J278" i="1" s="1"/>
  <c r="H278" i="1"/>
  <c r="I277" i="1"/>
  <c r="J277" i="1" s="1"/>
  <c r="H277" i="1"/>
  <c r="J276" i="1"/>
  <c r="I276" i="1"/>
  <c r="H276" i="1"/>
  <c r="I275" i="1"/>
  <c r="J275" i="1" s="1"/>
  <c r="H275" i="1"/>
  <c r="I274" i="1"/>
  <c r="J274" i="1" s="1"/>
  <c r="H274" i="1"/>
  <c r="I273" i="1"/>
  <c r="J273" i="1" s="1"/>
  <c r="H273" i="1"/>
  <c r="J272" i="1"/>
  <c r="I272" i="1"/>
  <c r="H272" i="1"/>
  <c r="I271" i="1"/>
  <c r="J271" i="1" s="1"/>
  <c r="H271" i="1"/>
  <c r="I270" i="1"/>
  <c r="J270" i="1" s="1"/>
  <c r="H270" i="1"/>
  <c r="I269" i="1"/>
  <c r="J269" i="1" s="1"/>
  <c r="H269" i="1"/>
  <c r="J268" i="1"/>
  <c r="I268" i="1"/>
  <c r="H268" i="1"/>
  <c r="I267" i="1"/>
  <c r="J267" i="1" s="1"/>
  <c r="H267" i="1"/>
  <c r="I266" i="1"/>
  <c r="J266" i="1" s="1"/>
  <c r="H266" i="1"/>
  <c r="I265" i="1"/>
  <c r="J265" i="1" s="1"/>
  <c r="H265" i="1"/>
  <c r="J264" i="1"/>
  <c r="I264" i="1"/>
  <c r="H264" i="1"/>
  <c r="I263" i="1"/>
  <c r="J263" i="1" s="1"/>
  <c r="H263" i="1"/>
  <c r="I262" i="1"/>
  <c r="J262" i="1" s="1"/>
  <c r="H262" i="1"/>
  <c r="I261" i="1"/>
  <c r="J261" i="1" s="1"/>
  <c r="H261" i="1"/>
  <c r="J260" i="1"/>
  <c r="I260" i="1"/>
  <c r="H260" i="1"/>
  <c r="I259" i="1"/>
  <c r="J259" i="1" s="1"/>
  <c r="H259" i="1"/>
  <c r="I258" i="1"/>
  <c r="J258" i="1" s="1"/>
  <c r="H258" i="1"/>
  <c r="I257" i="1"/>
  <c r="J257" i="1" s="1"/>
  <c r="H257" i="1"/>
  <c r="J256" i="1"/>
  <c r="I256" i="1"/>
  <c r="H256" i="1"/>
  <c r="I255" i="1"/>
  <c r="J255" i="1" s="1"/>
  <c r="H255" i="1"/>
  <c r="I254" i="1"/>
  <c r="J254" i="1" s="1"/>
  <c r="H254" i="1"/>
  <c r="I253" i="1"/>
  <c r="J253" i="1" s="1"/>
  <c r="H253" i="1"/>
  <c r="I252" i="1"/>
  <c r="J252" i="1" s="1"/>
  <c r="H252" i="1"/>
  <c r="I251" i="1"/>
  <c r="J251" i="1" s="1"/>
  <c r="H251" i="1"/>
  <c r="I250" i="1"/>
  <c r="J250" i="1" s="1"/>
  <c r="H250" i="1"/>
  <c r="J249" i="1"/>
  <c r="I249" i="1"/>
  <c r="H249" i="1"/>
  <c r="I248" i="1"/>
  <c r="J248" i="1" s="1"/>
  <c r="H248" i="1"/>
  <c r="I247" i="1"/>
  <c r="J247" i="1" s="1"/>
  <c r="H247" i="1"/>
  <c r="I246" i="1"/>
  <c r="J246" i="1" s="1"/>
  <c r="H246" i="1"/>
  <c r="I245" i="1"/>
  <c r="J245" i="1" s="1"/>
  <c r="H245" i="1"/>
  <c r="J244" i="1"/>
  <c r="I244" i="1"/>
  <c r="H244" i="1"/>
  <c r="I243" i="1"/>
  <c r="J243" i="1" s="1"/>
  <c r="H243" i="1"/>
  <c r="G243" i="1"/>
  <c r="F243" i="1"/>
  <c r="I242" i="1"/>
  <c r="J242" i="1" s="1"/>
  <c r="H242" i="1"/>
  <c r="I241" i="1"/>
  <c r="J241" i="1" s="1"/>
  <c r="H241" i="1"/>
  <c r="I240" i="1"/>
  <c r="G240" i="1"/>
  <c r="H240" i="1" s="1"/>
  <c r="F240" i="1"/>
  <c r="I239" i="1"/>
  <c r="J239" i="1" s="1"/>
  <c r="H239" i="1"/>
  <c r="I238" i="1"/>
  <c r="J238" i="1" s="1"/>
  <c r="H238" i="1"/>
  <c r="I237" i="1"/>
  <c r="J237" i="1" s="1"/>
  <c r="H237" i="1"/>
  <c r="I236" i="1"/>
  <c r="J236" i="1" s="1"/>
  <c r="H236" i="1"/>
  <c r="I235" i="1"/>
  <c r="J235" i="1" s="1"/>
  <c r="H235" i="1"/>
  <c r="I234" i="1"/>
  <c r="J234" i="1" s="1"/>
  <c r="H234" i="1"/>
  <c r="J233" i="1"/>
  <c r="I233" i="1"/>
  <c r="H233" i="1"/>
  <c r="I232" i="1"/>
  <c r="J232" i="1" s="1"/>
  <c r="H232" i="1"/>
  <c r="I231" i="1"/>
  <c r="J231" i="1" s="1"/>
  <c r="H231" i="1"/>
  <c r="I230" i="1"/>
  <c r="J230" i="1" s="1"/>
  <c r="H230" i="1"/>
  <c r="I229" i="1"/>
  <c r="J229" i="1" s="1"/>
  <c r="H229" i="1"/>
  <c r="I228" i="1"/>
  <c r="J228" i="1" s="1"/>
  <c r="H228" i="1"/>
  <c r="J227" i="1"/>
  <c r="I227" i="1"/>
  <c r="H227" i="1"/>
  <c r="I226" i="1"/>
  <c r="J226" i="1" s="1"/>
  <c r="H226" i="1"/>
  <c r="I225" i="1"/>
  <c r="J225" i="1" s="1"/>
  <c r="H225" i="1"/>
  <c r="I224" i="1"/>
  <c r="J224" i="1" s="1"/>
  <c r="H224" i="1"/>
  <c r="I223" i="1"/>
  <c r="J223" i="1" s="1"/>
  <c r="H223" i="1"/>
  <c r="I222" i="1"/>
  <c r="J222" i="1" s="1"/>
  <c r="H222" i="1"/>
  <c r="I221" i="1"/>
  <c r="J221" i="1" s="1"/>
  <c r="H221" i="1"/>
  <c r="I220" i="1"/>
  <c r="J220" i="1" s="1"/>
  <c r="H220" i="1"/>
  <c r="I219" i="1"/>
  <c r="J219" i="1" s="1"/>
  <c r="H219" i="1"/>
  <c r="J218" i="1"/>
  <c r="I218" i="1"/>
  <c r="H218" i="1"/>
  <c r="I217" i="1"/>
  <c r="J217" i="1" s="1"/>
  <c r="H217" i="1"/>
  <c r="I216" i="1"/>
  <c r="J216" i="1" s="1"/>
  <c r="H216" i="1"/>
  <c r="I215" i="1"/>
  <c r="J215" i="1" s="1"/>
  <c r="H215" i="1"/>
  <c r="I214" i="1"/>
  <c r="J214" i="1" s="1"/>
  <c r="H214" i="1"/>
  <c r="I213" i="1"/>
  <c r="J213" i="1" s="1"/>
  <c r="H213" i="1"/>
  <c r="I212" i="1"/>
  <c r="J212" i="1" s="1"/>
  <c r="H212" i="1"/>
  <c r="I211" i="1"/>
  <c r="J211" i="1" s="1"/>
  <c r="H211" i="1"/>
  <c r="I210" i="1"/>
  <c r="J210" i="1" s="1"/>
  <c r="H210" i="1"/>
  <c r="I209" i="1"/>
  <c r="J209" i="1" s="1"/>
  <c r="H209" i="1"/>
  <c r="I208" i="1"/>
  <c r="J208" i="1" s="1"/>
  <c r="H208" i="1"/>
  <c r="I207" i="1"/>
  <c r="J207" i="1" s="1"/>
  <c r="H207" i="1"/>
  <c r="I206" i="1"/>
  <c r="J206" i="1" s="1"/>
  <c r="H206" i="1"/>
  <c r="I205" i="1"/>
  <c r="J205" i="1" s="1"/>
  <c r="H205" i="1"/>
  <c r="I204" i="1"/>
  <c r="J204" i="1" s="1"/>
  <c r="H204" i="1"/>
  <c r="I203" i="1"/>
  <c r="J203" i="1" s="1"/>
  <c r="H203" i="1"/>
  <c r="I202" i="1"/>
  <c r="J202" i="1" s="1"/>
  <c r="H202" i="1"/>
  <c r="I201" i="1"/>
  <c r="J201" i="1" s="1"/>
  <c r="H201" i="1"/>
  <c r="I200" i="1"/>
  <c r="J200" i="1" s="1"/>
  <c r="H200" i="1"/>
  <c r="I199" i="1"/>
  <c r="J199" i="1" s="1"/>
  <c r="H199" i="1"/>
  <c r="I198" i="1"/>
  <c r="J198" i="1" s="1"/>
  <c r="H198" i="1"/>
  <c r="I197" i="1"/>
  <c r="J197" i="1" s="1"/>
  <c r="H197" i="1"/>
  <c r="I196" i="1"/>
  <c r="J196" i="1" s="1"/>
  <c r="H196" i="1"/>
  <c r="I195" i="1"/>
  <c r="J195" i="1" s="1"/>
  <c r="H195" i="1"/>
  <c r="J194" i="1"/>
  <c r="I194" i="1"/>
  <c r="H194" i="1"/>
  <c r="I193" i="1"/>
  <c r="J193" i="1" s="1"/>
  <c r="H193" i="1"/>
  <c r="I192" i="1"/>
  <c r="J192" i="1" s="1"/>
  <c r="H192" i="1"/>
  <c r="I191" i="1"/>
  <c r="J191" i="1" s="1"/>
  <c r="H191" i="1"/>
  <c r="I190" i="1"/>
  <c r="J190" i="1" s="1"/>
  <c r="H190" i="1"/>
  <c r="I189" i="1"/>
  <c r="J189" i="1" s="1"/>
  <c r="H189" i="1"/>
  <c r="I188" i="1"/>
  <c r="J188" i="1" s="1"/>
  <c r="H188" i="1"/>
  <c r="I187" i="1"/>
  <c r="J187" i="1" s="1"/>
  <c r="H187" i="1"/>
  <c r="I186" i="1"/>
  <c r="J186" i="1" s="1"/>
  <c r="H186" i="1"/>
  <c r="I185" i="1"/>
  <c r="J185" i="1" s="1"/>
  <c r="H185" i="1"/>
  <c r="I184" i="1"/>
  <c r="J184" i="1" s="1"/>
  <c r="H184" i="1"/>
  <c r="I183" i="1"/>
  <c r="J183" i="1" s="1"/>
  <c r="H183" i="1"/>
  <c r="I182" i="1"/>
  <c r="J182" i="1" s="1"/>
  <c r="H182" i="1"/>
  <c r="I181" i="1"/>
  <c r="J181" i="1" s="1"/>
  <c r="H181" i="1"/>
  <c r="I180" i="1"/>
  <c r="J180" i="1" s="1"/>
  <c r="H180" i="1"/>
  <c r="I179" i="1"/>
  <c r="J179" i="1" s="1"/>
  <c r="H179" i="1"/>
  <c r="J178" i="1"/>
  <c r="I178" i="1"/>
  <c r="H178" i="1"/>
  <c r="I177" i="1"/>
  <c r="J177" i="1" s="1"/>
  <c r="H177" i="1"/>
  <c r="I176" i="1"/>
  <c r="J176" i="1" s="1"/>
  <c r="H176" i="1"/>
  <c r="I175" i="1"/>
  <c r="J175" i="1" s="1"/>
  <c r="H175" i="1"/>
  <c r="I174" i="1"/>
  <c r="J174" i="1" s="1"/>
  <c r="H174" i="1"/>
  <c r="I173" i="1"/>
  <c r="J173" i="1" s="1"/>
  <c r="H173" i="1"/>
  <c r="I172" i="1"/>
  <c r="J172" i="1" s="1"/>
  <c r="H172" i="1"/>
  <c r="I171" i="1"/>
  <c r="J171" i="1" s="1"/>
  <c r="H171" i="1"/>
  <c r="J170" i="1"/>
  <c r="I170" i="1"/>
  <c r="H170" i="1"/>
  <c r="I169" i="1"/>
  <c r="J169" i="1" s="1"/>
  <c r="H169" i="1"/>
  <c r="I168" i="1"/>
  <c r="J168" i="1" s="1"/>
  <c r="H168" i="1"/>
  <c r="I167" i="1"/>
  <c r="J167" i="1" s="1"/>
  <c r="H167" i="1"/>
  <c r="I166" i="1"/>
  <c r="J166" i="1" s="1"/>
  <c r="H166" i="1"/>
  <c r="I165" i="1"/>
  <c r="J165" i="1" s="1"/>
  <c r="H165" i="1"/>
  <c r="I164" i="1"/>
  <c r="J164" i="1" s="1"/>
  <c r="H164" i="1"/>
  <c r="I163" i="1"/>
  <c r="J163" i="1" s="1"/>
  <c r="H163" i="1"/>
  <c r="J162" i="1"/>
  <c r="I162" i="1"/>
  <c r="H162" i="1"/>
  <c r="I161" i="1"/>
  <c r="J161" i="1" s="1"/>
  <c r="H161" i="1"/>
  <c r="I160" i="1"/>
  <c r="J160" i="1" s="1"/>
  <c r="H160" i="1"/>
  <c r="I159" i="1"/>
  <c r="J159" i="1" s="1"/>
  <c r="H159" i="1"/>
  <c r="I158" i="1"/>
  <c r="J158" i="1" s="1"/>
  <c r="H158" i="1"/>
  <c r="I157" i="1"/>
  <c r="J157" i="1" s="1"/>
  <c r="H157" i="1"/>
  <c r="I156" i="1"/>
  <c r="J156" i="1" s="1"/>
  <c r="H156" i="1"/>
  <c r="I155" i="1"/>
  <c r="J155" i="1" s="1"/>
  <c r="H155" i="1"/>
  <c r="J154" i="1"/>
  <c r="I154" i="1"/>
  <c r="H154" i="1"/>
  <c r="I153" i="1"/>
  <c r="J153" i="1" s="1"/>
  <c r="H153" i="1"/>
  <c r="I152" i="1"/>
  <c r="J152" i="1" s="1"/>
  <c r="H152" i="1"/>
  <c r="I151" i="1"/>
  <c r="J151" i="1" s="1"/>
  <c r="H151" i="1"/>
  <c r="I150" i="1"/>
  <c r="J150" i="1" s="1"/>
  <c r="H150" i="1"/>
  <c r="I149" i="1"/>
  <c r="J149" i="1" s="1"/>
  <c r="H149" i="1"/>
  <c r="I148" i="1"/>
  <c r="J148" i="1" s="1"/>
  <c r="H148" i="1"/>
  <c r="I147" i="1"/>
  <c r="J147" i="1" s="1"/>
  <c r="H147" i="1"/>
  <c r="J146" i="1"/>
  <c r="I146" i="1"/>
  <c r="H146" i="1"/>
  <c r="I145" i="1"/>
  <c r="J145" i="1" s="1"/>
  <c r="H145" i="1"/>
  <c r="I144" i="1"/>
  <c r="J144" i="1" s="1"/>
  <c r="H144" i="1"/>
  <c r="I143" i="1"/>
  <c r="J143" i="1" s="1"/>
  <c r="H143" i="1"/>
  <c r="I142" i="1"/>
  <c r="J142" i="1" s="1"/>
  <c r="H142" i="1"/>
  <c r="I141" i="1"/>
  <c r="J141" i="1" s="1"/>
  <c r="H141" i="1"/>
  <c r="I140" i="1"/>
  <c r="J140" i="1" s="1"/>
  <c r="H140" i="1"/>
  <c r="I139" i="1"/>
  <c r="J139" i="1" s="1"/>
  <c r="H139" i="1"/>
  <c r="J138" i="1"/>
  <c r="I138" i="1"/>
  <c r="H138" i="1"/>
  <c r="I137" i="1"/>
  <c r="J137" i="1" s="1"/>
  <c r="H137" i="1"/>
  <c r="I136" i="1"/>
  <c r="J136" i="1" s="1"/>
  <c r="H136" i="1"/>
  <c r="I135" i="1"/>
  <c r="J135" i="1" s="1"/>
  <c r="H135" i="1"/>
  <c r="I134" i="1"/>
  <c r="J134" i="1" s="1"/>
  <c r="H134" i="1"/>
  <c r="I133" i="1"/>
  <c r="J133" i="1" s="1"/>
  <c r="H133" i="1"/>
  <c r="I132" i="1"/>
  <c r="J132" i="1" s="1"/>
  <c r="H132" i="1"/>
  <c r="I131" i="1"/>
  <c r="J131" i="1" s="1"/>
  <c r="H131" i="1"/>
  <c r="J130" i="1"/>
  <c r="I130" i="1"/>
  <c r="H130" i="1"/>
  <c r="I129" i="1"/>
  <c r="J129" i="1" s="1"/>
  <c r="H129" i="1"/>
  <c r="I128" i="1"/>
  <c r="J128" i="1" s="1"/>
  <c r="H128" i="1"/>
  <c r="I127" i="1"/>
  <c r="J127" i="1" s="1"/>
  <c r="H127" i="1"/>
  <c r="I126" i="1"/>
  <c r="J126" i="1" s="1"/>
  <c r="H126" i="1"/>
  <c r="I125" i="1"/>
  <c r="J125" i="1" s="1"/>
  <c r="H125" i="1"/>
  <c r="I124" i="1"/>
  <c r="J124" i="1" s="1"/>
  <c r="H124" i="1"/>
  <c r="I123" i="1"/>
  <c r="J123" i="1" s="1"/>
  <c r="H123" i="1"/>
  <c r="J122" i="1"/>
  <c r="I122" i="1"/>
  <c r="H122" i="1"/>
  <c r="I121" i="1"/>
  <c r="J121" i="1" s="1"/>
  <c r="H121" i="1"/>
  <c r="I120" i="1"/>
  <c r="J120" i="1" s="1"/>
  <c r="H120" i="1"/>
  <c r="I119" i="1"/>
  <c r="J119" i="1" s="1"/>
  <c r="H119" i="1"/>
  <c r="I118" i="1"/>
  <c r="J118" i="1" s="1"/>
  <c r="H118" i="1"/>
  <c r="I117" i="1"/>
  <c r="J117" i="1" s="1"/>
  <c r="H117" i="1"/>
  <c r="I116" i="1"/>
  <c r="J116" i="1" s="1"/>
  <c r="H116" i="1"/>
  <c r="I115" i="1"/>
  <c r="J115" i="1" s="1"/>
  <c r="H115" i="1"/>
  <c r="J114" i="1"/>
  <c r="I114" i="1"/>
  <c r="H114" i="1"/>
  <c r="I113" i="1"/>
  <c r="J113" i="1" s="1"/>
  <c r="H113" i="1"/>
  <c r="I112" i="1"/>
  <c r="J112" i="1" s="1"/>
  <c r="H112" i="1"/>
  <c r="I111" i="1"/>
  <c r="J111" i="1" s="1"/>
  <c r="H111" i="1"/>
  <c r="I110" i="1"/>
  <c r="J110" i="1" s="1"/>
  <c r="H110" i="1"/>
  <c r="I109" i="1"/>
  <c r="J109" i="1" s="1"/>
  <c r="H109" i="1"/>
  <c r="I108" i="1"/>
  <c r="J108" i="1" s="1"/>
  <c r="H108" i="1"/>
  <c r="I107" i="1"/>
  <c r="J107" i="1" s="1"/>
  <c r="H107" i="1"/>
  <c r="J106" i="1"/>
  <c r="I106" i="1"/>
  <c r="H106" i="1"/>
  <c r="I105" i="1"/>
  <c r="J105" i="1" s="1"/>
  <c r="H105" i="1"/>
  <c r="I104" i="1"/>
  <c r="J104" i="1" s="1"/>
  <c r="H104" i="1"/>
  <c r="I103" i="1"/>
  <c r="J103" i="1" s="1"/>
  <c r="H103" i="1"/>
  <c r="I102" i="1"/>
  <c r="J102" i="1" s="1"/>
  <c r="H102" i="1"/>
  <c r="I101" i="1"/>
  <c r="J101" i="1" s="1"/>
  <c r="H101" i="1"/>
  <c r="I100" i="1"/>
  <c r="J100" i="1" s="1"/>
  <c r="H100" i="1"/>
  <c r="I99" i="1"/>
  <c r="J99" i="1" s="1"/>
  <c r="H99" i="1"/>
  <c r="J98" i="1"/>
  <c r="I98" i="1"/>
  <c r="H98" i="1"/>
  <c r="I97" i="1"/>
  <c r="J97" i="1" s="1"/>
  <c r="H97" i="1"/>
  <c r="I96" i="1"/>
  <c r="J96" i="1" s="1"/>
  <c r="H96" i="1"/>
  <c r="I95" i="1"/>
  <c r="J95" i="1" s="1"/>
  <c r="H95" i="1"/>
  <c r="I94" i="1"/>
  <c r="J94" i="1" s="1"/>
  <c r="H94" i="1"/>
  <c r="I93" i="1"/>
  <c r="J93" i="1" s="1"/>
  <c r="H93" i="1"/>
  <c r="I92" i="1"/>
  <c r="J92" i="1" s="1"/>
  <c r="H92" i="1"/>
  <c r="I91" i="1"/>
  <c r="J91" i="1" s="1"/>
  <c r="H91" i="1"/>
  <c r="J90" i="1"/>
  <c r="I90" i="1"/>
  <c r="H90" i="1"/>
  <c r="I89" i="1"/>
  <c r="J89" i="1" s="1"/>
  <c r="H89" i="1"/>
  <c r="I88" i="1"/>
  <c r="J88" i="1" s="1"/>
  <c r="H88" i="1"/>
  <c r="I87" i="1"/>
  <c r="J87" i="1" s="1"/>
  <c r="H87" i="1"/>
  <c r="I86" i="1"/>
  <c r="J86" i="1" s="1"/>
  <c r="H86" i="1"/>
  <c r="I85" i="1"/>
  <c r="J85" i="1" s="1"/>
  <c r="H85" i="1"/>
  <c r="I84" i="1"/>
  <c r="J84" i="1" s="1"/>
  <c r="H84" i="1"/>
  <c r="I83" i="1"/>
  <c r="J83" i="1" s="1"/>
  <c r="H83" i="1"/>
  <c r="J82" i="1"/>
  <c r="I82" i="1"/>
  <c r="H82" i="1"/>
  <c r="I81" i="1"/>
  <c r="J81" i="1" s="1"/>
  <c r="H81" i="1"/>
  <c r="I80" i="1"/>
  <c r="J80" i="1" s="1"/>
  <c r="H80" i="1"/>
  <c r="I79" i="1"/>
  <c r="J79" i="1" s="1"/>
  <c r="H79" i="1"/>
  <c r="J78" i="1"/>
  <c r="I78" i="1"/>
  <c r="H78" i="1"/>
  <c r="I77" i="1"/>
  <c r="J77" i="1" s="1"/>
  <c r="H77" i="1"/>
  <c r="I76" i="1"/>
  <c r="J76" i="1" s="1"/>
  <c r="H76" i="1"/>
  <c r="I75" i="1"/>
  <c r="J75" i="1" s="1"/>
  <c r="H75" i="1"/>
  <c r="J74" i="1"/>
  <c r="I74" i="1"/>
  <c r="H74" i="1"/>
  <c r="I73" i="1"/>
  <c r="J73" i="1" s="1"/>
  <c r="H73" i="1"/>
  <c r="I72" i="1"/>
  <c r="J72" i="1" s="1"/>
  <c r="H72" i="1"/>
  <c r="I71" i="1"/>
  <c r="J71" i="1" s="1"/>
  <c r="H71" i="1"/>
  <c r="J70" i="1"/>
  <c r="I70" i="1"/>
  <c r="H70" i="1"/>
  <c r="I69" i="1"/>
  <c r="J69" i="1" s="1"/>
  <c r="H69" i="1"/>
  <c r="I68" i="1"/>
  <c r="J68" i="1" s="1"/>
  <c r="H68" i="1"/>
  <c r="I67" i="1"/>
  <c r="J67" i="1" s="1"/>
  <c r="H67" i="1"/>
  <c r="J66" i="1"/>
  <c r="I66" i="1"/>
  <c r="H66" i="1"/>
  <c r="I65" i="1"/>
  <c r="J65" i="1" s="1"/>
  <c r="H65" i="1"/>
  <c r="I64" i="1"/>
  <c r="J64" i="1" s="1"/>
  <c r="H64" i="1"/>
  <c r="I63" i="1"/>
  <c r="J63" i="1" s="1"/>
  <c r="H63" i="1"/>
  <c r="J62" i="1"/>
  <c r="I62" i="1"/>
  <c r="H62" i="1"/>
  <c r="I61" i="1"/>
  <c r="J61" i="1" s="1"/>
  <c r="H61" i="1"/>
  <c r="I60" i="1"/>
  <c r="J60" i="1" s="1"/>
  <c r="H60" i="1"/>
  <c r="I59" i="1"/>
  <c r="J59" i="1" s="1"/>
  <c r="H59" i="1"/>
  <c r="J58" i="1"/>
  <c r="I58" i="1"/>
  <c r="H58" i="1"/>
  <c r="I57" i="1"/>
  <c r="J57" i="1" s="1"/>
  <c r="H57" i="1"/>
  <c r="I56" i="1"/>
  <c r="J56" i="1" s="1"/>
  <c r="H56" i="1"/>
  <c r="I55" i="1"/>
  <c r="J55" i="1" s="1"/>
  <c r="H55" i="1"/>
  <c r="J54" i="1"/>
  <c r="I54" i="1"/>
  <c r="H54" i="1"/>
  <c r="I53" i="1"/>
  <c r="J53" i="1" s="1"/>
  <c r="H53" i="1"/>
  <c r="I52" i="1"/>
  <c r="J52" i="1" s="1"/>
  <c r="H52" i="1"/>
  <c r="I51" i="1"/>
  <c r="J51" i="1" s="1"/>
  <c r="H51" i="1"/>
  <c r="I50" i="1"/>
  <c r="J50" i="1" s="1"/>
  <c r="H50" i="1"/>
  <c r="I49" i="1"/>
  <c r="J49" i="1" s="1"/>
  <c r="H49" i="1"/>
  <c r="I48" i="1"/>
  <c r="J48" i="1" s="1"/>
  <c r="H48" i="1"/>
  <c r="I47" i="1"/>
  <c r="J47" i="1" s="1"/>
  <c r="H47" i="1"/>
  <c r="J46" i="1"/>
  <c r="I46" i="1"/>
  <c r="H46" i="1"/>
  <c r="I45" i="1"/>
  <c r="J45" i="1" s="1"/>
  <c r="H45" i="1"/>
  <c r="I44" i="1"/>
  <c r="J44" i="1" s="1"/>
  <c r="H44" i="1"/>
  <c r="I43" i="1"/>
  <c r="J43" i="1" s="1"/>
  <c r="H43" i="1"/>
  <c r="I42" i="1"/>
  <c r="J42" i="1" s="1"/>
  <c r="H42" i="1"/>
  <c r="I41" i="1"/>
  <c r="J41" i="1" s="1"/>
  <c r="H41" i="1"/>
  <c r="I40" i="1"/>
  <c r="J40" i="1" s="1"/>
  <c r="H40" i="1"/>
  <c r="I39" i="1"/>
  <c r="J39" i="1" s="1"/>
  <c r="H39" i="1"/>
  <c r="J38" i="1"/>
  <c r="I38" i="1"/>
  <c r="H38" i="1"/>
  <c r="I37" i="1"/>
  <c r="J37" i="1" s="1"/>
  <c r="H37" i="1"/>
  <c r="I36" i="1"/>
  <c r="J36" i="1" s="1"/>
  <c r="H36" i="1"/>
  <c r="I35" i="1"/>
  <c r="J35" i="1" s="1"/>
  <c r="H35" i="1"/>
  <c r="I34" i="1"/>
  <c r="J34" i="1" s="1"/>
  <c r="H34" i="1"/>
  <c r="I33" i="1"/>
  <c r="J33" i="1" s="1"/>
  <c r="H33" i="1"/>
  <c r="I32" i="1"/>
  <c r="J32" i="1" s="1"/>
  <c r="H32" i="1"/>
  <c r="I31" i="1"/>
  <c r="J31" i="1" s="1"/>
  <c r="H31" i="1"/>
  <c r="J30" i="1"/>
  <c r="I30" i="1"/>
  <c r="H30" i="1"/>
  <c r="I29" i="1"/>
  <c r="J29" i="1" s="1"/>
  <c r="H29" i="1"/>
  <c r="I28" i="1"/>
  <c r="J28" i="1" s="1"/>
  <c r="H28" i="1"/>
  <c r="I27" i="1"/>
  <c r="J27" i="1" s="1"/>
  <c r="H27" i="1"/>
  <c r="I26" i="1"/>
  <c r="J26" i="1" s="1"/>
  <c r="H26" i="1"/>
  <c r="I25" i="1"/>
  <c r="J25" i="1" s="1"/>
  <c r="H25" i="1"/>
  <c r="J24" i="1"/>
  <c r="I24" i="1"/>
  <c r="H24" i="1"/>
  <c r="I23" i="1"/>
  <c r="J23" i="1" s="1"/>
  <c r="G23" i="1"/>
  <c r="H23" i="1" s="1"/>
  <c r="F23" i="1"/>
  <c r="H22" i="1"/>
  <c r="G22" i="1"/>
  <c r="F22" i="1"/>
  <c r="I22" i="1" s="1"/>
  <c r="J22" i="1" s="1"/>
  <c r="I21" i="1"/>
  <c r="J21" i="1" s="1"/>
  <c r="G21" i="1"/>
  <c r="H21" i="1" s="1"/>
  <c r="I20" i="1"/>
  <c r="J20" i="1" s="1"/>
  <c r="G20" i="1"/>
  <c r="H20" i="1" s="1"/>
  <c r="I19" i="1"/>
  <c r="J19" i="1" s="1"/>
  <c r="G19" i="1"/>
  <c r="F19" i="1"/>
  <c r="H19" i="1" s="1"/>
  <c r="G18" i="1"/>
  <c r="F18" i="1"/>
  <c r="I18" i="1" s="1"/>
  <c r="J18" i="1" s="1"/>
  <c r="I17" i="1"/>
  <c r="J17" i="1" s="1"/>
  <c r="H17" i="1"/>
  <c r="J16" i="1"/>
  <c r="I16" i="1"/>
  <c r="H16" i="1"/>
  <c r="G16" i="1"/>
  <c r="J15" i="1"/>
  <c r="I15" i="1"/>
  <c r="H15" i="1"/>
  <c r="I14" i="1"/>
  <c r="J14" i="1" s="1"/>
  <c r="H14" i="1"/>
  <c r="J13" i="1"/>
  <c r="I13" i="1"/>
  <c r="H13" i="1"/>
  <c r="I12" i="1"/>
  <c r="J12" i="1" s="1"/>
  <c r="H12" i="1"/>
  <c r="J11" i="1"/>
  <c r="I11" i="1"/>
  <c r="H11" i="1"/>
  <c r="I10" i="1"/>
  <c r="J10" i="1" s="1"/>
  <c r="H10" i="1"/>
  <c r="I9" i="1"/>
  <c r="J9" i="1" s="1"/>
  <c r="H9" i="1"/>
  <c r="I8" i="1"/>
  <c r="J8" i="1" s="1"/>
  <c r="H8" i="1"/>
  <c r="I7" i="1"/>
  <c r="J7" i="1" s="1"/>
  <c r="H7" i="1"/>
  <c r="I6" i="1"/>
  <c r="J6" i="1" s="1"/>
  <c r="H6" i="1"/>
  <c r="I5" i="1"/>
  <c r="J5" i="1" s="1"/>
  <c r="H5" i="1"/>
  <c r="I4" i="1"/>
  <c r="J4" i="1" s="1"/>
  <c r="H4" i="1"/>
  <c r="J3" i="1"/>
  <c r="I3" i="1"/>
  <c r="H3" i="1"/>
  <c r="I2" i="1"/>
  <c r="J2" i="1" s="1"/>
  <c r="H2" i="1"/>
  <c r="H18" i="1" l="1"/>
  <c r="J240" i="1"/>
</calcChain>
</file>

<file path=xl/sharedStrings.xml><?xml version="1.0" encoding="utf-8"?>
<sst xmlns="http://schemas.openxmlformats.org/spreadsheetml/2006/main" count="6471" uniqueCount="792">
  <si>
    <t>RUBRO</t>
  </si>
  <si>
    <t>BIEN</t>
  </si>
  <si>
    <t>ORDEN DE COMPRA</t>
  </si>
  <si>
    <t>CATALOGO</t>
  </si>
  <si>
    <t>RENGLÓN</t>
  </si>
  <si>
    <t>CANTIDAD COMPRADA</t>
  </si>
  <si>
    <t>PRECIO UNITARIO</t>
  </si>
  <si>
    <t>PRECIO TOTAL</t>
  </si>
  <si>
    <t>BIENES EN STOCK</t>
  </si>
  <si>
    <t>SALDO EN $</t>
  </si>
  <si>
    <t>INSUMOS AIRES</t>
  </si>
  <si>
    <t>EQUIPO SPLIT DE 4500 FRIGORÍAS - TIPO DE CLIMATIZACIÓNFRIO/CALOR - EFICIENCIA ENERGÉTICA DE CLASE C O MAYOR</t>
  </si>
  <si>
    <t>81-0080-OC24</t>
  </si>
  <si>
    <t>4.3.7-1367.320</t>
  </si>
  <si>
    <t>EQUIPO SPLIT DE 6000 FRIGORÍAS - TIPO DE CLIMATIZACIÓN
FRIO/CALOR - EFICIENCIA ENERGÉTICA DE CLASE C O MAYOR EN CALEFACCIÓN Y A EN REFRIGERACIÓN - NO CONVERTER</t>
  </si>
  <si>
    <t>81-0081-OC24</t>
  </si>
  <si>
    <t>4.3.7-1367.330</t>
  </si>
  <si>
    <t>ROLLO DE 15 METROS CAÑO DE COBRE DE 5/8</t>
  </si>
  <si>
    <t>81-0082-OC24</t>
  </si>
  <si>
    <t>2.9.6-5591.3</t>
  </si>
  <si>
    <t>ROLLO DE 15 METROS CAÑO DE COBRE DE 3/8</t>
  </si>
  <si>
    <t>2.9.6-5591.4</t>
  </si>
  <si>
    <t>ROLLO DE 15 METROS CAÑO DE COBRE DE 1/2</t>
  </si>
  <si>
    <t>2.9.6-5591.5</t>
  </si>
  <si>
    <t>ROLLO DE 15 METROS CAÑO DE COBRE DE 1/4</t>
  </si>
  <si>
    <t>2.9.6-5591.6</t>
  </si>
  <si>
    <t>ROLLO DE 2 METROS DE TIRA DE AISLACIÓN TÉRMICA PARA CAÑOS DE 5/8</t>
  </si>
  <si>
    <t>2.9.6-1712.305</t>
  </si>
  <si>
    <t>ROLLO DE 2 METROS DE TIRA DE AISLACIÓN TÉRMICA PARA CAÑOS DE 3/8</t>
  </si>
  <si>
    <t>2.9.6-1712.306</t>
  </si>
  <si>
    <t>ROLLO DE 2 METROS DE TIRA DE AISLACIÓN TÉRMICA PARA CAÑOS DE 1/2</t>
  </si>
  <si>
    <t>2.9.6-1712.307</t>
  </si>
  <si>
    <t>ROLLO DE 2 METROS DE TIRA DE AISLACIÓN TÉRMICA PARA CAÑOS DE 1/4</t>
  </si>
  <si>
    <t>2.9.6-1712.308</t>
  </si>
  <si>
    <t>CINTA DE PVC PARA REFRIGERACIÓN, SIN ADHESIVO – ROLLO DE 20 METROS</t>
  </si>
  <si>
    <t>2.9.9-3027.9</t>
  </si>
  <si>
    <t>MENSULAS PARA AIRE ACONDICIONADO DE 4500 A 6000 FRIGORIAS, 50X50 APROXIMADAMENTE</t>
  </si>
  <si>
    <t>2.9.6-1376.235</t>
  </si>
  <si>
    <t>GARRAFA REFRIGERANTE R410</t>
  </si>
  <si>
    <t>2.5.6-6856.29</t>
  </si>
  <si>
    <t>GARRAFA REFRIGERANTE R22</t>
  </si>
  <si>
    <t>2.5.6-6856.1</t>
  </si>
  <si>
    <t>MANGUERA CRISTAL PARA DESAGÜE DE 5/8" – ROLLO DE 50 METROS (PRECIO POR METRO)</t>
  </si>
  <si>
    <t>2.9.9-9053.30</t>
  </si>
  <si>
    <t>TACO DE GOMA, AMORTIGUADOR ANTIVIBRACIÓN – BOLSA X 4 UNIDADES</t>
  </si>
  <si>
    <t>2.9.6-1712.93</t>
  </si>
  <si>
    <t>CAJA DE 200 TARUGOS MULTIPROPÓSITOS DE 8MM</t>
  </si>
  <si>
    <t>2.5.8-819.9</t>
  </si>
  <si>
    <t>CAJA DE 200 TARUGOS MULTIPROPÓSITOS DE 10MM</t>
  </si>
  <si>
    <t>CAJA DE 200 TORNILLOS TIRAFONDO PARA TARUGO DE 10MM - PRECIO POR UNIDAD</t>
  </si>
  <si>
    <t>2.7.9-643.112</t>
  </si>
  <si>
    <t>CAJA DE 200 TORNILLOS TIRAFONDO PARA TARUGO DE 8MM</t>
  </si>
  <si>
    <t>2.7.9-643.25</t>
  </si>
  <si>
    <t>CAJA DE 200 ARANDELAS PLANAS PARA TARUGOS DE 10MM</t>
  </si>
  <si>
    <t>2.7.9-1600.44</t>
  </si>
  <si>
    <t>CAJA DE 200 ARANDELAS PLANAS PARA TARUGOS DE 8MM</t>
  </si>
  <si>
    <t>2.7.9-1600.35</t>
  </si>
  <si>
    <t>PLOMERIA</t>
  </si>
  <si>
    <t>ADHESIVO - CEMENTO DE CONTACTO; TIPO: DE CONTACTO, PRESENTACION: ENVASE X 1 L</t>
  </si>
  <si>
    <t>81-0054-OC24</t>
  </si>
  <si>
    <t>2.5.9-6887.43</t>
  </si>
  <si>
    <t>ADHESIVO COLA CARPINTERO BLANCO</t>
  </si>
  <si>
    <t>EXISTENCIA PREV. 1</t>
  </si>
  <si>
    <t>S/N</t>
  </si>
  <si>
    <t>ARANDELA PLASTICA 1/2"</t>
  </si>
  <si>
    <t>2.5.8-6723.1</t>
  </si>
  <si>
    <t>ARANDELA PLASTICA 3/4"</t>
  </si>
  <si>
    <t>2.5.8-6723.2</t>
  </si>
  <si>
    <t>EXISTENCIA PREV. 2</t>
  </si>
  <si>
    <t>ARO GOMA BASE DE INODORO</t>
  </si>
  <si>
    <t>81-0049-OC24</t>
  </si>
  <si>
    <t>2.9.6-5017.22</t>
  </si>
  <si>
    <t>BOYA OBTURADOR UNIVERSAL REGULABLE PARA DEPOSITO EMBUTIR TIPO IDEAL 1450</t>
  </si>
  <si>
    <t>2.9.6-5017.6</t>
  </si>
  <si>
    <t>BOYAS FLOTANTE telgopor</t>
  </si>
  <si>
    <t>2.9.6-402.1</t>
  </si>
  <si>
    <t>BOTON PULSADO MOCHILA LATERAL</t>
  </si>
  <si>
    <t>BOTON PARA MOCHILA CUADRADO PLASTICO</t>
  </si>
  <si>
    <t>BOTON PULSADOR MOCHILA SUPERIOR REDONDO</t>
  </si>
  <si>
    <t>BUJE BRONCE REDUCCION DIAMETRO MAYOR 1/4"</t>
  </si>
  <si>
    <t>2.5.8-3536.11</t>
  </si>
  <si>
    <t>BUJE BRONCE REDUCCION DIAMETRO MAYOR 3/8"</t>
  </si>
  <si>
    <t>2.5.8-3536.5</t>
  </si>
  <si>
    <t>BUJE BRONCE REDUCCION 1/2" M A 3/8" PESTAÑA</t>
  </si>
  <si>
    <t>BUJE HIDROBRONZ REDUCCION 1/2" A 3/8"</t>
  </si>
  <si>
    <t>2.5.8-3536.6</t>
  </si>
  <si>
    <t>BUJE HIDROBRONZ REDUCCION 1" A 3/4"</t>
  </si>
  <si>
    <t>2.5.8-3536.4</t>
  </si>
  <si>
    <t>CAÑAMO BOLSA X 100 GR</t>
  </si>
  <si>
    <t>CAÑAMO BOLSA GRANDE</t>
  </si>
  <si>
    <t>CAÑAMO BOLSA X 1000 GR</t>
  </si>
  <si>
    <t>CAÑO GALVANIZADO 1/2" X 6,40 M</t>
  </si>
  <si>
    <t>2.7.1-6094.96</t>
  </si>
  <si>
    <t>CAÑO GALVANIZADO 3/4" X 6,40 M</t>
  </si>
  <si>
    <t>2.7.1-6094.79</t>
  </si>
  <si>
    <t>CAÑO GALVANIZADO 1" X 6,40 M</t>
  </si>
  <si>
    <t>2.7.1-6094.193</t>
  </si>
  <si>
    <t>CANO PVC 38/40 X 4 MTS</t>
  </si>
  <si>
    <t>2.5.8-378.64</t>
  </si>
  <si>
    <t>CAÑO PVC X 3,2 MTS   50 MM</t>
  </si>
  <si>
    <t>2.5.8-378.438</t>
  </si>
  <si>
    <t>CAÑO PVC X 4 MTS      60 MM</t>
  </si>
  <si>
    <t>2.5.8-378.222</t>
  </si>
  <si>
    <t>CAÑO PVC X 4 MTS      150 MM</t>
  </si>
  <si>
    <t>2.5.8-378.131</t>
  </si>
  <si>
    <t>Carga De Agua 1/2 PuLG P/mochila Capea O Mónaco</t>
  </si>
  <si>
    <t>81-0050-OC24</t>
  </si>
  <si>
    <t>2.9.6-1792.89</t>
  </si>
  <si>
    <t>CARTUCHO PARA PRESSMA TIC FV (360 361 362) 0360.25.0</t>
  </si>
  <si>
    <t>81-0052-OC24</t>
  </si>
  <si>
    <t>2.7.9-8857.185</t>
  </si>
  <si>
    <t>CANILLA LAVATORIO AUTOMATICA TEMPORIZADA A
PRESION TIPO FV; PAZZA; GENEBRE O CALIDAD
SUPERIOR. LARGO CANILLA 10 CM (+/- 10%), ALTURA CANILLA 10 CM (+/- 20%)</t>
  </si>
  <si>
    <t>2.7.9-626.15</t>
  </si>
  <si>
    <t>CODO BRONCE M/H 3/8"</t>
  </si>
  <si>
    <t>2.7.9-6383.29</t>
  </si>
  <si>
    <t>CODO BRONCE M/M 3/8"</t>
  </si>
  <si>
    <t>CODO BRONCE H/H 3/8"</t>
  </si>
  <si>
    <t>CODO HB M/E 1/2 X 1/2</t>
  </si>
  <si>
    <t>2.7.9-5844.2</t>
  </si>
  <si>
    <t>CODO HB  E/E  1/2"</t>
  </si>
  <si>
    <t>EXISTENCIA PREV. 3</t>
  </si>
  <si>
    <t>CODO HB E/H 3/4"</t>
  </si>
  <si>
    <t>2.7.9-5844.3</t>
  </si>
  <si>
    <t>CODO HB  E/E  3/4" A 1/2" REDUCCION</t>
  </si>
  <si>
    <t>CODO HB H/H 1"</t>
  </si>
  <si>
    <t>2.7.9-6383.72</t>
  </si>
  <si>
    <t>CODO GALVANIZADO H/M 1/2"</t>
  </si>
  <si>
    <t>2.7.1-6082.107</t>
  </si>
  <si>
    <t>CODO GALVANIZADO H/H 3/4"</t>
  </si>
  <si>
    <t>2.7.1-6082.108</t>
  </si>
  <si>
    <t>CODO GALVANIZADO M/H 3/4"</t>
  </si>
  <si>
    <t>2.7.1-6082.77</t>
  </si>
  <si>
    <t>CODO GALVANIZADO H/H 1"</t>
  </si>
  <si>
    <t>2.7.1-6082.109</t>
  </si>
  <si>
    <t>CODO GALVANIZADO M/H 1"</t>
  </si>
  <si>
    <t xml:space="preserve">CODO PVC DIAMETRO 110 MM 45° </t>
  </si>
  <si>
    <t>2.5.8-1147.131</t>
  </si>
  <si>
    <t xml:space="preserve">CODO PVC DIAMETRO 150 MM 45° </t>
  </si>
  <si>
    <t>2.5.8-1147.143</t>
  </si>
  <si>
    <t xml:space="preserve">CODO PVC DIAMETRO 150 MM 90° </t>
  </si>
  <si>
    <t>2.5.8-1147.59</t>
  </si>
  <si>
    <t>CONEXIONES P/ SANITARIOS; TIPO FLEXIBLE MALLADO -
MATERAIL ACERO INOXIDABLE - GOMA - LONG. DE CUERPO 40 CM - TIPO DE CONEXIÓN 1/2 PULGADAS</t>
  </si>
  <si>
    <t>2.7.9-1656.16</t>
  </si>
  <si>
    <t>CONEXIONES P/ SANITARIOS; TIPO FLEXIBLE MALLADO -
MATERAIL ACERO INOXIDABLE - GOMA - LONG. DE CUERPO 30 CM - TIPO DE CONEXIÓN 1/2 PULGADAS</t>
  </si>
  <si>
    <t>2.7.9-1656.17</t>
  </si>
  <si>
    <t>CINTAS DESTAPA CAÑERÍAS; MATERIAL: ACERO, LONG. DE
CUERPO: 15 M</t>
  </si>
  <si>
    <t>2.9.9-7839.2</t>
  </si>
  <si>
    <t>CINTA DE TEFLÓN X ROLLO, MEDIDA 3/4 X 20 MTS.</t>
  </si>
  <si>
    <t>81-0053-OC25</t>
  </si>
  <si>
    <t>2.2.2-1044.47</t>
  </si>
  <si>
    <t>CONEXIÓN FLEXIBLE PARA MINGITORIO</t>
  </si>
  <si>
    <t xml:space="preserve">CUPLA BRONCE 1" PASANTE </t>
  </si>
  <si>
    <t xml:space="preserve">CUPLA BRONCE 3/4" PASANTE </t>
  </si>
  <si>
    <t xml:space="preserve">CUPLA HB 1/2" PASANTE </t>
  </si>
  <si>
    <t>CUPLA HB C/ TOPE 1/2"</t>
  </si>
  <si>
    <t xml:space="preserve">CUPLA HB 3/4" PASANTE </t>
  </si>
  <si>
    <t>CUPLA HB C/ TOPE 3/4"</t>
  </si>
  <si>
    <t>CUPLA REDUCCION HB 3/4" A 1/2"</t>
  </si>
  <si>
    <t>CUPLA REDUCCION HB 1" A 3/4"</t>
  </si>
  <si>
    <t>CUPLA HB C/ TOPE 1"</t>
  </si>
  <si>
    <t xml:space="preserve">CUPLA HB PASANTE 1" </t>
  </si>
  <si>
    <t>CUPLA GALVANIZADA 1/2"</t>
  </si>
  <si>
    <t>CUPLA GALVANIZADA 3/4"</t>
  </si>
  <si>
    <t>CUPLA GALVANIZADA 1"</t>
  </si>
  <si>
    <t>CUPLA GALVANIZADA 1/2" A 3/8" REDUCCION</t>
  </si>
  <si>
    <t>CUPLA PVC RED.2 A 1 1/2</t>
  </si>
  <si>
    <t>CUPLA PVC DIAMETRO 40 MM</t>
  </si>
  <si>
    <t>CUPLA PVC DIAMETRO 60 MM</t>
  </si>
  <si>
    <t>CUPLA PVC DIAMETRO 110 MM</t>
  </si>
  <si>
    <t>CUPLA PVC DIAMETRO 150 MM</t>
  </si>
  <si>
    <t xml:space="preserve">CURVA PVC DIAMETRO 150 MM 45º </t>
  </si>
  <si>
    <t xml:space="preserve">CURVA PVC DIAMETRO 110 MM 90º </t>
  </si>
  <si>
    <t xml:space="preserve">CURVA PVC DIAMETRO 150 MM 90º </t>
  </si>
  <si>
    <t>Descarga Mochila Capea Roca Superior Cromado Repuesto Eco
Flush</t>
  </si>
  <si>
    <t>2.9.6-1792.87</t>
  </si>
  <si>
    <t>DEPOSITO P/ MINGITORIO PVC X 8 LTS</t>
  </si>
  <si>
    <t xml:space="preserve">ELECTRODO 2 MM </t>
  </si>
  <si>
    <t>ELECTRODO 2,5 MM</t>
  </si>
  <si>
    <t>ESTERINA EN PANES</t>
  </si>
  <si>
    <t>GOMA FUELLE P/ INODORO CORTAS</t>
  </si>
  <si>
    <t>GOMA FUELLE PARA INODORO (LARGO)</t>
  </si>
  <si>
    <t>2.9.6-5017.21</t>
  </si>
  <si>
    <t>GOMA RIGIDAS P/INODORO NEGRAS</t>
  </si>
  <si>
    <t>GRASA GRAFITADA  POTE X 120 GRS</t>
  </si>
  <si>
    <t>GRASA GRAFITADA  POTE X 1000 GRS</t>
  </si>
  <si>
    <t>KIT O'RING Y RETENES PARA VALVULA DESCARGA INODORO FV 368 (367.17)</t>
  </si>
  <si>
    <t>2.9.6-1792.11</t>
  </si>
  <si>
    <t>LITARGILIO  X  250 GRS</t>
  </si>
  <si>
    <t>LLAVE ESFERICA BRONCE 1/2"</t>
  </si>
  <si>
    <t>LLAVE ESFERICA METALICA 1"</t>
  </si>
  <si>
    <t>MASILLA EPOXI PARA SANITARIO X 500 GRS. MARCA PARSECS, POXILINA O SIMILAR</t>
  </si>
  <si>
    <t>2.5.5-579.27</t>
  </si>
  <si>
    <t>MINGITORIO DE LOZA BLANCO</t>
  </si>
  <si>
    <t>NIPLE BRONCE CONEXIÓN P/ DEPOSITO 1/2"</t>
  </si>
  <si>
    <t>NIPLE BRONCE 1/2" X 10 CM</t>
  </si>
  <si>
    <t>NIPLE BRONCE 1/2" X 12 CM</t>
  </si>
  <si>
    <t>NIPLE BRONCE 1/2" X 15 CM</t>
  </si>
  <si>
    <t>NIPLE GALVANIZADO 1/2" X 8 CM</t>
  </si>
  <si>
    <t>NIPLE GALVANIZADO 1/2" X 12 CM</t>
  </si>
  <si>
    <t>NIPLE GALVANIZADO 1/2" X 15 CM</t>
  </si>
  <si>
    <t>NIPLE GALVANIZADO 3/4" X 8 CM</t>
  </si>
  <si>
    <t>NIPLE GALVANIZADO 3/4" X 10 CM</t>
  </si>
  <si>
    <t>NIPLE GALVANIZADO 3/4" X 12 CM</t>
  </si>
  <si>
    <t>NIPLE GALVANIZADO 3/4" X 15 CM</t>
  </si>
  <si>
    <t>PAÑO PARA SOLDADOR X PAQUETE</t>
  </si>
  <si>
    <t>PROLONGACION P/ CANILLA 1/2" X 10 CM</t>
  </si>
  <si>
    <t>RESPUESTO FV CARTUCHO PARA PRESSMA</t>
  </si>
  <si>
    <t>PISTON COMPLETO PARA PRESSMA TIC 0361.01.20.0)</t>
  </si>
  <si>
    <t>81-0051-OC24</t>
  </si>
  <si>
    <t>REJILLA 8 X 8 CM ABIERTA</t>
  </si>
  <si>
    <t>REJILLA CIEGA ACERO 10 X 10 CM</t>
  </si>
  <si>
    <t>ROSCA C/ TUERCA BRONCE 1"</t>
  </si>
  <si>
    <t>ROSCA C/ TUERCA GALVANIZADA 3/4"</t>
  </si>
  <si>
    <t>ROSCA C/ TUERCA GALVANIZADA 1"</t>
  </si>
  <si>
    <t>Repuesto Válvula Vf051 Descarga Mochila Ferrum</t>
  </si>
  <si>
    <t>81-0055-OC24</t>
  </si>
  <si>
    <t>Repuesto Deposito Mochila Entrada Agua Dealer 1/2 Boya 4110</t>
  </si>
  <si>
    <t>SIFON DE GOMA SIMPLE P/ 1 BACHA</t>
  </si>
  <si>
    <t>SIFON DE GOMA DOBLE P/ 2 BACHAS</t>
  </si>
  <si>
    <t>SILICONA TRANSPARENTE</t>
  </si>
  <si>
    <t>SOPAPA DE GOMA GRANDE</t>
  </si>
  <si>
    <t>SOPAPA DE GOMA CHICA</t>
  </si>
  <si>
    <t>SELLADOR SILICONA UNIVERSAL TRANSPARENTE CARTUCHO X 280 GRS.</t>
  </si>
  <si>
    <t>2.5.5-7012.114</t>
  </si>
  <si>
    <t>SELLADOR DE ROSCAS SANITARIAS CAUCHO X 125 CC TIPO HYDRO 3</t>
  </si>
  <si>
    <t>2.5.5-7012.7</t>
  </si>
  <si>
    <t>TORNILLO PARA FIJACIÓN DE INODORO</t>
  </si>
  <si>
    <t>2.9.6-5017.13</t>
  </si>
  <si>
    <t>TAPAS P/ INODORO UNIVERSAL, MATERIAL: PVC REFORZADO</t>
  </si>
  <si>
    <t>2.9.6-1492.7</t>
  </si>
  <si>
    <t>TAPA PLASTICA PARA FRENTE DE DEPOSITO, PARA EMBUTIR CON BOTON A RESORTE DE BRONCE CROMADO Y
SOBRETAPA PLASTICA O METALICA</t>
  </si>
  <si>
    <t>2.9.6-1876.3</t>
  </si>
  <si>
    <t xml:space="preserve">TAPA CIEGA P/INSPECCION 40 X 40 </t>
  </si>
  <si>
    <t>TAPA GALVANIZADA 1/2"</t>
  </si>
  <si>
    <t>TAPA GALVANIZADA 3/4"</t>
  </si>
  <si>
    <t>TAPA GALVANIZADA 1"</t>
  </si>
  <si>
    <t>TAPON GALVANIZADO 3/4"</t>
  </si>
  <si>
    <t>TAPON GALVANIZADO 1"</t>
  </si>
  <si>
    <t>TAPON PVC 3/4"</t>
  </si>
  <si>
    <t>TARUGOS DE NYLON CON TOPE N° 6</t>
  </si>
  <si>
    <t>2.5.8-819.125</t>
  </si>
  <si>
    <t>TARUGOS DE NYLON CON TOPE N° 8</t>
  </si>
  <si>
    <t>2.5.8-819.126</t>
  </si>
  <si>
    <t>TARUGOS DE NYLON CON TOPE N° 10</t>
  </si>
  <si>
    <t>2.5.8-819.127</t>
  </si>
  <si>
    <t>TARUGO ESPIRAL PARA PLACA DE YESO</t>
  </si>
  <si>
    <t>2.5.8-819.134</t>
  </si>
  <si>
    <t>TEE BRONCE 1/2" X 1/2"</t>
  </si>
  <si>
    <t>TEE BRONCE REDUCCION 3/4"  A  1/2"  H / H</t>
  </si>
  <si>
    <t>TEE HB 1/2" E - E</t>
  </si>
  <si>
    <t>TEE HB 1/2" E - H</t>
  </si>
  <si>
    <t>TEE HB 3/4" E - E</t>
  </si>
  <si>
    <t>TEE HB 3/4" E - M</t>
  </si>
  <si>
    <t>TEE GALVANIZADA 1/2" - 1/2" - 1/2"</t>
  </si>
  <si>
    <t>TEE GALVANIZADA 3/4" - 1/2" - 3/4"</t>
  </si>
  <si>
    <t>TEE GALVANIZADA 3/4" - 3/4" - 3/4" HHH</t>
  </si>
  <si>
    <t>TEE GALVANIZADA 1" - 3/4" - 1"  H H</t>
  </si>
  <si>
    <t>TEE GALVANIZADA 1" - 1" - 1" H H</t>
  </si>
  <si>
    <t>TEE EPOXI 1/2" - 1/2" - 1/2"  H H</t>
  </si>
  <si>
    <t>TEFLON 1/2" ROLLO</t>
  </si>
  <si>
    <t>TELA ESMERIL 60</t>
  </si>
  <si>
    <t>TORNILLOS FIX CABEZA FRESADA RANURA PHILLIPS
ACABADO ZINCADO AMARILLO 4 X 35 MM</t>
  </si>
  <si>
    <t>2.7.9-644.1677</t>
  </si>
  <si>
    <t>TORNILLOS FIX CABEZA FRESADA RANURA PHILLIPS
ACABADO ZINCADO AMARILLO 5 X 45 MM</t>
  </si>
  <si>
    <t>2.7.9-644.1366</t>
  </si>
  <si>
    <t>TORNILLOS FIX CABEZA FRESADA RANURA PHILLIPS
ACABADO ZINCADO AMARILLO 6 X 60 MM</t>
  </si>
  <si>
    <t>2.7.9-644.1297</t>
  </si>
  <si>
    <t>TORNILLO DE BRONCE PARA FIJAR MOCHILA</t>
  </si>
  <si>
    <t>TUBO HB 1/2" H</t>
  </si>
  <si>
    <t>TUBO HB 1/2" M</t>
  </si>
  <si>
    <t>TUBO HB 3/4 M</t>
  </si>
  <si>
    <t>UNIÓN DOBLE GALVANIZADO 3/4"</t>
  </si>
  <si>
    <t>UNIÓN DOBLE PVC EN T DIAMETRO 40 MM</t>
  </si>
  <si>
    <t>UNIÓN DOBLE PVC EN T DIAMETRO 60 MM</t>
  </si>
  <si>
    <t>UNIÓN DOBLE PVC EN T DIAMETRO 110 MM</t>
  </si>
  <si>
    <t>UNION DOBLE PVC EN T DIAMETRO 150 MM</t>
  </si>
  <si>
    <t>Válvula Descarga Mochila Deposito Para Roca Capea</t>
  </si>
  <si>
    <t>VALVULA NEOPRENO S/ VASTAGO 3/4"</t>
  </si>
  <si>
    <t>VALVULA NEOPRENO S/ VASTAGO 1"</t>
  </si>
  <si>
    <t>VALVULA NEOPRENP S/BASTAGO 1/2"</t>
  </si>
  <si>
    <t>VALVULA NEOPRENO C/ VASTAGO 1/2"</t>
  </si>
  <si>
    <t>VALVULA NEOPRENO C/ VASTAGO 3/4"</t>
  </si>
  <si>
    <t>VALVULA NEOPRENO C/ VASTAGO 1"</t>
  </si>
  <si>
    <t>VALVULA TIPO IMSA TUERCA HEMBRA PARA PARED</t>
  </si>
  <si>
    <t>VALVULA AGUA WJ211 TIPO FLUMAC ROSCA M</t>
  </si>
  <si>
    <t>VARILLA ROSCADA 1/4 X 1 M</t>
  </si>
  <si>
    <t xml:space="preserve">Válvula Automática + Tecla De Descarga – Clean- Combo Deca </t>
  </si>
  <si>
    <t>2.9.6-1792.7</t>
  </si>
  <si>
    <t>VALVULAS P/MINGITORIOS; ACCIONAMIENTO: MANUAL, VOLUMEN DE DESCARGA: REGULABLE TEMPORIZADORA,
MATERIAL: BRONCE CROMADO</t>
  </si>
  <si>
    <t>2.7.1-1365.5</t>
  </si>
  <si>
    <t>ELECTRICIDAD</t>
  </si>
  <si>
    <t xml:space="preserve">ADAPTADOR DE 2 REDONDO A 2 PLANO </t>
  </si>
  <si>
    <t>ADAPTADOR DE 3 PLANO A 2 REDONDO</t>
  </si>
  <si>
    <t>BANDEJA PORTA CABLE</t>
  </si>
  <si>
    <t>BASTIDORES DE CHAPA</t>
  </si>
  <si>
    <t>Bastidor rectangular – Tipo Jeluz</t>
  </si>
  <si>
    <t>81-0058-OC24</t>
  </si>
  <si>
    <t>2.9.3-1454.13</t>
  </si>
  <si>
    <t>BATERIAS RECARG. GEL P/EQUIPO ALARMA</t>
  </si>
  <si>
    <t>CABLE UNIPOLAR 1X 1,50</t>
  </si>
  <si>
    <t>CABLE UNIPOLAR 1 X 2 ,50 TRANSP. X250MTS.</t>
  </si>
  <si>
    <t>CABLE UNIPOLAR 1 X 4</t>
  </si>
  <si>
    <t>CABLE UNIPOLAR 1 X 6</t>
  </si>
  <si>
    <t>CABLE UNIPOLAR 1 x 10 mm                                                  MTS</t>
  </si>
  <si>
    <t>CABLE SINTENAX 4 X1 6 mm                                                   MTS</t>
  </si>
  <si>
    <t>CABLE SUBTERRANEO 3X70 + 1X35</t>
  </si>
  <si>
    <t>CAJA PARA EMBUTIR TIPO MIGNON PLASTICA</t>
  </si>
  <si>
    <t>CAMPANILLA PARA TIMBRE</t>
  </si>
  <si>
    <t>CAPACITOR DOBLE 50 + 4uf 450 Vca</t>
  </si>
  <si>
    <t>CAPACITOR MARCHA 4 Mf X 400 CA</t>
  </si>
  <si>
    <t>Cable canal - PVC - formato lineal - 100 mm x 50 mm sin adhesivo - color blanco x 2 metros</t>
  </si>
  <si>
    <t>81-0057-OC24</t>
  </si>
  <si>
    <t>293-01451-0108</t>
  </si>
  <si>
    <t>Cable canal - PVC - formato lineal - 18 mm x 21 mm con adhesivo - color blanco</t>
  </si>
  <si>
    <t>293-01451-0044</t>
  </si>
  <si>
    <t>Cinta Aisladora 3m Tipo Temflex 1550 X 20 Mts Color negra</t>
  </si>
  <si>
    <t>2.9.3-1033.58</t>
  </si>
  <si>
    <t>CINTA AISLADORA TELA NEGRA</t>
  </si>
  <si>
    <t>CINTA AISLADORA AUTOSOLDABLE</t>
  </si>
  <si>
    <t xml:space="preserve">Cable Unipolar – Tipo Trefilcon 2.5 Mm Normalizado Rollo 100 Metros Cubierta Marrón (PRECIO POR METRO) </t>
  </si>
  <si>
    <t>81-0059-OC24</t>
  </si>
  <si>
    <t>2.9.3-1137.316</t>
  </si>
  <si>
    <t>Cable Unipolar – Tipo Trefilcon 2.5 Mm Normalizado Rollo 100 Metros Color De La Cubierta Celeste</t>
  </si>
  <si>
    <t xml:space="preserve">Conductor tipo taller - 3 x 2,5 mm2 - aislación PVC, normalizado Tipo Pirelli o superior x 100 mts. (PRECIO POR METRO) </t>
  </si>
  <si>
    <t>293-02285-0082</t>
  </si>
  <si>
    <t>CONTACTORES 40A TRIPOLAR</t>
  </si>
  <si>
    <t>CONTACTORES 50A TRIPOLAR</t>
  </si>
  <si>
    <t>CONTACTORES 65A TRIPOLAR</t>
  </si>
  <si>
    <t>CONTACTORES 95A TRIPOLAR</t>
  </si>
  <si>
    <t>DETECTOR DE VOLTAJE</t>
  </si>
  <si>
    <t>DVL1000-9 Buscapolo Inductivo Digital Lápiz Detector De Tensión 1000v</t>
  </si>
  <si>
    <t>2.9.3-1984.5</t>
  </si>
  <si>
    <t>EQUIPO DE ENCENDIDO</t>
  </si>
  <si>
    <t>FICHA HEMBRA 2 PATAS REDONDAS P/PROLONGACION</t>
  </si>
  <si>
    <t xml:space="preserve">FICHA MACHO 3 PATAS CHATAS C/TIERRA P/PROLONGACION </t>
  </si>
  <si>
    <t>FOTOCONTROLES FOTOCELULAS</t>
  </si>
  <si>
    <t>Fuente driver para panel led 24w (28x28cm)</t>
  </si>
  <si>
    <t>293-01887-0152</t>
  </si>
  <si>
    <t>Fuente driver para panel led NRV-PL 32005 40w (60x60cm)</t>
  </si>
  <si>
    <t xml:space="preserve">FUSIBLE NH  100 A   500 V 120 kA </t>
  </si>
  <si>
    <t>FUSIBLE NH 500 V 500 Amp 120 kA LARGO</t>
  </si>
  <si>
    <t>GRAMPAS KALOP N° 5</t>
  </si>
  <si>
    <t>EXISTENCIA PREV. 4</t>
  </si>
  <si>
    <t>GRAMPAS KALOP N° 8</t>
  </si>
  <si>
    <t>GRAMPAS KALOP N° 10</t>
  </si>
  <si>
    <t>INTERRUPTOR COMANDO ESTRIBO 600 A</t>
  </si>
  <si>
    <t>Lampara Led 9w / 10w Tipo Foco 220v (E27) - luz fría</t>
  </si>
  <si>
    <t>293-09785-0044</t>
  </si>
  <si>
    <t>Lampara Dicroica Led 7w Gu10 220v Gu 10 - luz fría</t>
  </si>
  <si>
    <t>293-09785-0109</t>
  </si>
  <si>
    <t>LAMPARA TUBO HALOGENO 400W MERCURIO</t>
  </si>
  <si>
    <t>LLAVE TREMICA 2 X 40 A</t>
  </si>
  <si>
    <t>LLAVE TERMICA 3 X 32 A</t>
  </si>
  <si>
    <t>LLAVE TERMICA 3 X 40 A</t>
  </si>
  <si>
    <t>LLAVE TERMICA 3 X 50 A</t>
  </si>
  <si>
    <t>LLAVE TERMICA 3 X 63 A</t>
  </si>
  <si>
    <t>LLAVE TERMICA 3 X 100 A</t>
  </si>
  <si>
    <t>MODULO INTERRUPTOR TECLA PARA EMBUTIR</t>
  </si>
  <si>
    <t>MODULO TOMA PARA EMBUTIR CON TIERRA</t>
  </si>
  <si>
    <t>Módulo 1 toma para embutir - 10 A - Tipo línea Siglo XXI</t>
  </si>
  <si>
    <t>293-06736-0007</t>
  </si>
  <si>
    <t>Módulo punto simple – Tipo Jeluz platinum</t>
  </si>
  <si>
    <t>2.9.3-657.23</t>
  </si>
  <si>
    <t>MODULO TOMA CORRIENTE DE 10 Amp</t>
  </si>
  <si>
    <t>Módulo punto ciego – Tipo Jeluz platinum</t>
  </si>
  <si>
    <t>Panel Plafón Led Embutir 60x60 cm Cuadrado 40w Luz Fría Empotrable</t>
  </si>
  <si>
    <t>293-06568-0129</t>
  </si>
  <si>
    <t>PILAS DURACELL AA</t>
  </si>
  <si>
    <t>Plafón listón doble para 2 tubos led 120cm 18w 220v - Luz fría</t>
  </si>
  <si>
    <t>2.9.3-4701.2</t>
  </si>
  <si>
    <t>Pinza amperométrica digital Uni-T UT204+ 600ª</t>
  </si>
  <si>
    <t>4.3.9-2317.2</t>
  </si>
  <si>
    <t>Pack x 50 mts de cable taller Tpr 3 x 4 mm Tipo Kalop</t>
  </si>
  <si>
    <t>2.9.3-2285.157</t>
  </si>
  <si>
    <t>Plafón Aplicar Led 60x60 48w Frio</t>
  </si>
  <si>
    <t>2.9.3-6568.312</t>
  </si>
  <si>
    <t>Periscopio Piso/pared con 4 Tomas 10 Amp Triangulo</t>
  </si>
  <si>
    <t>2.9.3-1553.27</t>
  </si>
  <si>
    <t>Precinto plástico - longitud 200 mm - color negro x 100</t>
  </si>
  <si>
    <t>258-00723-0017</t>
  </si>
  <si>
    <t>Precinto plástico - longitud 300 mm - color negro x 100</t>
  </si>
  <si>
    <t>PULSADOR PARA TIMBRE EMBUTIR</t>
  </si>
  <si>
    <t>REACTANCIAS  ELECTRICA PARA TUBOS 18/20 W</t>
  </si>
  <si>
    <t>REACTANCIAS ELCTRICA PARA TUBOS 27/30 W</t>
  </si>
  <si>
    <t>REACTANCIAS ELECTRICA 38/40W</t>
  </si>
  <si>
    <t>REACTANCIAS ELCTRICA PARA TUBOS 70 W</t>
  </si>
  <si>
    <t>REACTANCIAS ELECTRICA PARA TUBOS 150 W</t>
  </si>
  <si>
    <t>RECATANCIA ELECTRONICA 30 W</t>
  </si>
  <si>
    <t>REACTANC.ELECTRONICA 36/40W</t>
  </si>
  <si>
    <t>REACTANCIA ELECTRONICA 55W</t>
  </si>
  <si>
    <t>Spot Dicroica Led Completa Acero Blanco 7w / 6w Embutir Móvil - Luz Fría</t>
  </si>
  <si>
    <t>293-06568-0001</t>
  </si>
  <si>
    <t>SOPORTE LISTON PARA 2 TUBOS</t>
  </si>
  <si>
    <t>TAPA PLASTICA BLANCA RECTANGULAR 1 RANURA</t>
  </si>
  <si>
    <t>TAPA PLASTICA BLANCA RECTANGULAR 2 RANURAS</t>
  </si>
  <si>
    <t>TAPA PLASTICA BLANCA RECTANGULAR 3 RANURAS</t>
  </si>
  <si>
    <t>TAPA PLASTICA BLANCA BIPOLAR C/ TIERRA COMBINADA</t>
  </si>
  <si>
    <t>TAPA PLASTICA BLANCA RECTANGULAR  CIEGA</t>
  </si>
  <si>
    <t>TARUGO FISHER 8 MM SIN TOPE</t>
  </si>
  <si>
    <t>TARUGO FISHER 10 MM</t>
  </si>
  <si>
    <t>TARUGO FISHER 12 MM</t>
  </si>
  <si>
    <t>TARUGO FISHER C/TOPE  5 MM</t>
  </si>
  <si>
    <t>TARUGO FISHER C/ TOPE  10 MM</t>
  </si>
  <si>
    <t>TORNILLO PARKER P/TARUGO DEL 6"</t>
  </si>
  <si>
    <t>TORNILLO PARKER P/TARUGO DEL 8"</t>
  </si>
  <si>
    <t>TORNILLO PARA BASTIDOR LARGO BOLSAS</t>
  </si>
  <si>
    <t>TRANFORMADOR P/DICROICA 12 V X 50 W</t>
  </si>
  <si>
    <t>TUBOS 18/20  W</t>
  </si>
  <si>
    <t>TUBOS 36/40</t>
  </si>
  <si>
    <t>TUBOS 55W</t>
  </si>
  <si>
    <t>TUBOS 105 W</t>
  </si>
  <si>
    <t>Tubo led 18w T8 220v (reemplazo flurescente 36w) 120 cm - luz fría</t>
  </si>
  <si>
    <t>293-09785-0016</t>
  </si>
  <si>
    <t>Tapa rectangular - Tipo Jeluz platinum</t>
  </si>
  <si>
    <t>2.9.3-1455.111</t>
  </si>
  <si>
    <t>Zócalo Gu10 220v Dicroicas Ar111 Lámparas</t>
  </si>
  <si>
    <t>2.9.3-1579.42</t>
  </si>
  <si>
    <t>ZOCALO PARA TUBOS 105 W (JUEGO)</t>
  </si>
  <si>
    <t>Zapatilla 4 tomas con cable 2,5 / 3 mts. - con llave de corte (Tipo Kalop, Richi, Cambre o calidad superior)</t>
  </si>
  <si>
    <t>293-01766-0001</t>
  </si>
  <si>
    <t>PINTURA</t>
  </si>
  <si>
    <t>CEPILLO ALAMBRE ACERO CON MANGO</t>
  </si>
  <si>
    <t>CINTA ENMASCARAR X 12 MM</t>
  </si>
  <si>
    <t>Diluyente - Envase x 4L</t>
  </si>
  <si>
    <t>81-0047-OC24</t>
  </si>
  <si>
    <t>2.5.5-5444.1</t>
  </si>
  <si>
    <t>Enduido - Lata x 10L</t>
  </si>
  <si>
    <t>2.5.5-381.3</t>
  </si>
  <si>
    <t>Esmalte sintético blanco - Lata x 4L</t>
  </si>
  <si>
    <t>2.5.5-6979.312</t>
  </si>
  <si>
    <t>ENDUIDO PLASTICO AL AGUA LATA X 20 KG</t>
  </si>
  <si>
    <t>ENTONADOR X 120 CC SIENA</t>
  </si>
  <si>
    <t>ENTONADOR X 120 CC AMARILLO</t>
  </si>
  <si>
    <t>ENTONADOR X 120 CC OCRE</t>
  </si>
  <si>
    <t>FIBRADO P/TECHO IMPERMEABILIZANTE LATA 20 KG</t>
  </si>
  <si>
    <t>Fijador - Lata x 10L</t>
  </si>
  <si>
    <t>2.5.5-578.13</t>
  </si>
  <si>
    <t>FIJADOR AL ACEITE LATA X 20 L</t>
  </si>
  <si>
    <t>FIJADOR AL AGUA LATA X 20 L</t>
  </si>
  <si>
    <t>Látex interior tipo SW7005 - Lata x 20L</t>
  </si>
  <si>
    <t>2.5.5-6979.350</t>
  </si>
  <si>
    <t>Látex interior tipo SW7010 - Lata x 20L</t>
  </si>
  <si>
    <t>Laca exterior brillante melacrílica - Lata x 0,5 L</t>
  </si>
  <si>
    <t>2.5.5-580.16</t>
  </si>
  <si>
    <t>LIJA Nº 400</t>
  </si>
  <si>
    <t>MASILLA PLASTICA LATA X 1 KG GRIS</t>
  </si>
  <si>
    <t>Pintura asfaltica - Lata x 18L</t>
  </si>
  <si>
    <t>2.5.5-6979.437</t>
  </si>
  <si>
    <t>Pintura alto tránsito (Amarillo) - Lata x 4L</t>
  </si>
  <si>
    <t>2.5.5-6979.373</t>
  </si>
  <si>
    <t>Pintura alto tránsito (Negro) - Lata x 4L</t>
  </si>
  <si>
    <t>PINTURA ESMALTE HIDROESMALTE X 4 LITROS</t>
  </si>
  <si>
    <t>PINTURA LATEX AL AGUA X 20 LITROS</t>
  </si>
  <si>
    <t>Papel de Lija N° 80 x 50</t>
  </si>
  <si>
    <t>81-0048-OC24</t>
  </si>
  <si>
    <t>2.3.4-999.17</t>
  </si>
  <si>
    <t>Papel de Lija N° 100 x 50</t>
  </si>
  <si>
    <t>2.3.4-999.19</t>
  </si>
  <si>
    <t>Papel de Lija N° 120 x 50</t>
  </si>
  <si>
    <t>2.3.4-999.21</t>
  </si>
  <si>
    <t>Pincel cerda larga N° 20</t>
  </si>
  <si>
    <t>2.9.9-1059.115</t>
  </si>
  <si>
    <t>Pincel cerda larga N° 25</t>
  </si>
  <si>
    <t>2.9.9-1059.189</t>
  </si>
  <si>
    <t>Pincel cerda larga N° 40</t>
  </si>
  <si>
    <t>2.9.9-1059.61</t>
  </si>
  <si>
    <t>Rollo de cartón corrugado 1 m x 30 metros</t>
  </si>
  <si>
    <t>2.3.4-4325.12</t>
  </si>
  <si>
    <t>REMOVEDOR X 4 LITROS</t>
  </si>
  <si>
    <t>Rodillo de lana de 22 cm</t>
  </si>
  <si>
    <t>2.9.9-1416.6</t>
  </si>
  <si>
    <t>VIRUTA EN BOLSAS</t>
  </si>
  <si>
    <t>YESO BOLSA X 10 KG</t>
  </si>
  <si>
    <t>LIBRERIA</t>
  </si>
  <si>
    <t>ABROCHADORA 21/6 pinza</t>
  </si>
  <si>
    <t>ABROCHADORA 10/50 pinza</t>
  </si>
  <si>
    <t>ABROCHADORA N°23 pinza</t>
  </si>
  <si>
    <t>ABROCHADORA ESCRITORIO 64</t>
  </si>
  <si>
    <t>Adhesivo tipo boligoma x 30 ml.</t>
  </si>
  <si>
    <t>81-0037-OC24</t>
  </si>
  <si>
    <t>2.9.2-262.40</t>
  </si>
  <si>
    <t>ADHESIVO VINILICO X 250 CC</t>
  </si>
  <si>
    <t>ADHESIVO VINILICO X 30 ML</t>
  </si>
  <si>
    <t>ADHESIVO BARRA</t>
  </si>
  <si>
    <t>ADHESIVO TRANSPARENTE X50 ML</t>
  </si>
  <si>
    <t>ARANDELAS DE CARTON</t>
  </si>
  <si>
    <t>ARCHIVOS PLASTICOS</t>
  </si>
  <si>
    <t>ALMOHADILLA PARA SELLOS</t>
  </si>
  <si>
    <t>Bandas elásticas grandes</t>
  </si>
  <si>
    <t>81-0038-OC24</t>
  </si>
  <si>
    <t>2.9.2-1428.23</t>
  </si>
  <si>
    <t>Bibliorato tamaño carta</t>
  </si>
  <si>
    <t>2.9.2-274.6</t>
  </si>
  <si>
    <t>Bibliorato tamaño oficio</t>
  </si>
  <si>
    <t>2.9.2-274.31</t>
  </si>
  <si>
    <t>Bolígrafo azul</t>
  </si>
  <si>
    <t>2.9.2-317.32</t>
  </si>
  <si>
    <t>BOLIGRAFO NEGRO</t>
  </si>
  <si>
    <t>Bolígrafo rojo</t>
  </si>
  <si>
    <t>BOLIGRAFO VERDE</t>
  </si>
  <si>
    <t>BROCHE P/ABROCHADORA 21/6</t>
  </si>
  <si>
    <t>Broches P/abrochadora 10</t>
  </si>
  <si>
    <t>2.9.2-700.28</t>
  </si>
  <si>
    <t>BROCHE P/ABROCHADORA 64</t>
  </si>
  <si>
    <t>BROCHE P/ABROCHADORA N° 23/10   23/24</t>
  </si>
  <si>
    <t>BROCHE DORADO N° 4</t>
  </si>
  <si>
    <t>BROCHE DORADO Nº 8</t>
  </si>
  <si>
    <t>BROCHE DORADO Nº 12</t>
  </si>
  <si>
    <t>BROCHE DORADO N° 14</t>
  </si>
  <si>
    <t>BROCHE APRIETA PAPEL 41 mm</t>
  </si>
  <si>
    <t>BROCHE APRIETA PAPEL 25 mm</t>
  </si>
  <si>
    <t>Cajas plásticas</t>
  </si>
  <si>
    <t>81-0039-OC24</t>
  </si>
  <si>
    <t>2.9.2-850.1</t>
  </si>
  <si>
    <t>CORRECTOR EN LAPIZ</t>
  </si>
  <si>
    <t>CARPETA CARATULA A4</t>
  </si>
  <si>
    <t>CARPETA CARTULINA OFICIO  26X36</t>
  </si>
  <si>
    <t>Carpeta presupuesto tapa transparente A4</t>
  </si>
  <si>
    <t>2.9.2-1358.398</t>
  </si>
  <si>
    <t>Carpeta tres solapas</t>
  </si>
  <si>
    <t>81-0040-OC24</t>
  </si>
  <si>
    <t>2.9.2-1358.59</t>
  </si>
  <si>
    <t>CARPETA TAPA PLASTICA TRANSP. OFICIO</t>
  </si>
  <si>
    <t>CARPET TRANSP. A 4 TIPO SOBRE</t>
  </si>
  <si>
    <t>CARPETA P/FICHERO CARTULINA OFICIO INTERNA</t>
  </si>
  <si>
    <t>CARPETA OFICIO CON OREJAS</t>
  </si>
  <si>
    <t>CARPETA 3 SOLAPAS CON ELASTICO</t>
  </si>
  <si>
    <t>2.9.2-1358.3</t>
  </si>
  <si>
    <t>CARPETA C/BROCHE NEPACO</t>
  </si>
  <si>
    <t>CARPETA COLGANTE CON VISOR</t>
  </si>
  <si>
    <t>Cinta para embalar Marrón 5 cm x 50 mts</t>
  </si>
  <si>
    <t>81-0041-OC24</t>
  </si>
  <si>
    <t>2.3.4-734.75</t>
  </si>
  <si>
    <t>Cinta para embalar Transparente 5 cm x 50 mts</t>
  </si>
  <si>
    <t>2.3.4-734.11</t>
  </si>
  <si>
    <t>CINTA DE PAPEL ENMASCARAR 48 mm x 50 mts</t>
  </si>
  <si>
    <t>Clips N° 3</t>
  </si>
  <si>
    <t>2.9.2-660.28</t>
  </si>
  <si>
    <t>CUADERNO CORRESPONDENCIA</t>
  </si>
  <si>
    <t>CUADERNO INDICE</t>
  </si>
  <si>
    <t>Cuaderno tapa dura rayado x 50 hojas</t>
  </si>
  <si>
    <t>2.3.1-6587.347</t>
  </si>
  <si>
    <t>Cuaderno tipo universitario rayado</t>
  </si>
  <si>
    <t>2.3.1-6587.267</t>
  </si>
  <si>
    <t>Cuaderno tipo universitario cuadriculado</t>
  </si>
  <si>
    <t>2.3.1-6587.266</t>
  </si>
  <si>
    <t>Cúter</t>
  </si>
  <si>
    <t>2.9.2-790.30</t>
  </si>
  <si>
    <t>Folio A4 paquete x 100 unidades</t>
  </si>
  <si>
    <t>2.9.2-1611.3</t>
  </si>
  <si>
    <t>FOLIOS OFICIO</t>
  </si>
  <si>
    <t>GOMA BORRA TINTA Y LAPIZ</t>
  </si>
  <si>
    <t>GOMA BORRAR LAPIZ</t>
  </si>
  <si>
    <t>Hilo Plástico</t>
  </si>
  <si>
    <t>2.9.2-851.16</t>
  </si>
  <si>
    <t>LAPIZ NEGRO 2H</t>
  </si>
  <si>
    <t>LAPIZ NEGRO 2 B</t>
  </si>
  <si>
    <t>LAPIZ  2HB</t>
  </si>
  <si>
    <t>Libro de actas 400 folios</t>
  </si>
  <si>
    <t>81-0042-OC24</t>
  </si>
  <si>
    <t>2.3.1-6587.404</t>
  </si>
  <si>
    <t>Lomo para Bibliorato (paquete x 20 unidades)</t>
  </si>
  <si>
    <t>2.3.1-1650.1</t>
  </si>
  <si>
    <t>Máquina perforadora grande</t>
  </si>
  <si>
    <t>2.9.2-858.7</t>
  </si>
  <si>
    <t>MARCADOR PIZARRA NEGRO</t>
  </si>
  <si>
    <t>MARCADOR PIZARRA ROJO</t>
  </si>
  <si>
    <t>Marcador al agua azul</t>
  </si>
  <si>
    <t>81-0043-OC24</t>
  </si>
  <si>
    <t>2.9.2-1616.25</t>
  </si>
  <si>
    <t>Marcador al agua negro</t>
  </si>
  <si>
    <t>2.9.2-1616.1</t>
  </si>
  <si>
    <t>Marcador al agua rojo</t>
  </si>
  <si>
    <t>2.9.2-1616.57</t>
  </si>
  <si>
    <t>Marcador al agua verde</t>
  </si>
  <si>
    <t>2.9.2-1616.66</t>
  </si>
  <si>
    <t>MARCADOR TRAZO FINO AZUL</t>
  </si>
  <si>
    <t>MARCADOR INDELEBLE AZUL</t>
  </si>
  <si>
    <t>MARCADOR INDELEBLE NEGRO</t>
  </si>
  <si>
    <t>MARCADOR NEGRO AL SOLVENTE</t>
  </si>
  <si>
    <t>MARCADOR AZUL AL SOLVENTE</t>
  </si>
  <si>
    <t>MARCADOR CELESTE AL SOLVENTE</t>
  </si>
  <si>
    <t>MARCADOR ROJO AL SOLVENTE</t>
  </si>
  <si>
    <t>MARCADOR VERDE AL SOLVENTE</t>
  </si>
  <si>
    <t>MARCADOR CELESTE AL SOVENTE</t>
  </si>
  <si>
    <t>Papel obra A4</t>
  </si>
  <si>
    <t>81-0018-OC25</t>
  </si>
  <si>
    <t>2.3.1-9896.10</t>
  </si>
  <si>
    <t>PAPEL OBRA OFICIO</t>
  </si>
  <si>
    <t>PAPEL OBRA A3 80 grs</t>
  </si>
  <si>
    <t>PAPEL CARBONICO</t>
  </si>
  <si>
    <t>PAPEL CORRECTOR PARA MAQ ESCRIBIR</t>
  </si>
  <si>
    <t>PAPEL PARA MAQUINA DE SUMAR</t>
  </si>
  <si>
    <t>PORTA CINTA CHICO</t>
  </si>
  <si>
    <t>PORTA CINTA GRANDE</t>
  </si>
  <si>
    <t>PORTA LAPICES</t>
  </si>
  <si>
    <t>PORTA TACOS  9 X9</t>
  </si>
  <si>
    <t>PORTACLIPS PLASTICO</t>
  </si>
  <si>
    <t>REGLA PLASTICA  X 30 CMTS</t>
  </si>
  <si>
    <t>REGLAT/PLANA METAL 100cm</t>
  </si>
  <si>
    <t>REGLA T/PLANA METAL 50 cm</t>
  </si>
  <si>
    <t>REPUESTO HOJA DE CUTER</t>
  </si>
  <si>
    <t>Resaltadores color amarillo</t>
  </si>
  <si>
    <t>2.9.2-1354.28</t>
  </si>
  <si>
    <t>Resaltadores color verde</t>
  </si>
  <si>
    <t>2.9.2-1354.29</t>
  </si>
  <si>
    <t>Resaltadores color naranja</t>
  </si>
  <si>
    <t>2.9.2-1354.16</t>
  </si>
  <si>
    <t>Resaltadores color rosa</t>
  </si>
  <si>
    <t>Resaltadores color celeste</t>
  </si>
  <si>
    <t xml:space="preserve">SACABROCHES PLASTICO </t>
  </si>
  <si>
    <t>Sacapuntas</t>
  </si>
  <si>
    <t>2.9.2-696.6</t>
  </si>
  <si>
    <t>SELLO FECHADOR</t>
  </si>
  <si>
    <t>SELLO NUMERADOR</t>
  </si>
  <si>
    <t>SEPARADOR A4 JGO. X 5 UNIDADES</t>
  </si>
  <si>
    <t>SOBRE BLANCO 11X 22 CON MEMBRETE</t>
  </si>
  <si>
    <t>SOBRE BLANCO 15X23 SIN MEMBRETE</t>
  </si>
  <si>
    <t>SOBRE BLANCO 15 X 23 CON MEMBRETE</t>
  </si>
  <si>
    <t>SOBRE BLANCO 12 X 23 SIN MEMBRETE</t>
  </si>
  <si>
    <t>SOBRE BLANCO KRAFT 16 X 22 CON MEMBRETE</t>
  </si>
  <si>
    <t>SOBRE BLANCO KRAFT 25 X 20 CON MEMBRETE</t>
  </si>
  <si>
    <t>SOBRE BLANCO KRAFT 24 X 30 SIN MEMBRETE</t>
  </si>
  <si>
    <t>SOBRE KRAFT A4 MARRON 23 X 32 S/MEMBRETE</t>
  </si>
  <si>
    <t>SOBRE KRAFT OFICIO MARRON 23x 36 S/MEMBRETE</t>
  </si>
  <si>
    <t>SOBRE MADERA 27 X 36 CON MEMBRETE</t>
  </si>
  <si>
    <t>SOBRE MADERA 30 X 40 CON MEMBRETE</t>
  </si>
  <si>
    <t xml:space="preserve">SOBRE BOLSA MADERA 37 X 45 SIN MEMBRETE </t>
  </si>
  <si>
    <t>Tacos de colores 9 x 9</t>
  </si>
  <si>
    <t>2.9.2-1466.1</t>
  </si>
  <si>
    <t>TIJERAS CHICA</t>
  </si>
  <si>
    <t>Tijeras</t>
  </si>
  <si>
    <t>2.9.2-758.34</t>
  </si>
  <si>
    <t>TINTA NEGRA PARA SELLOS</t>
  </si>
  <si>
    <t>TINTA AZUL PARA SELLOS</t>
  </si>
  <si>
    <t>2.3.3-1450.6</t>
  </si>
  <si>
    <t>CABLE CANAL</t>
  </si>
  <si>
    <t xml:space="preserve">ACOPLE RECTO 10 X 20 </t>
  </si>
  <si>
    <t xml:space="preserve">ACOPLE RECTO 40 X 16 </t>
  </si>
  <si>
    <t>CODO EXTERNO 20X10</t>
  </si>
  <si>
    <t xml:space="preserve">TIRAS PISO </t>
  </si>
  <si>
    <t>TIRAS 21 x 18 m.m.</t>
  </si>
  <si>
    <t>TIRAS 10 X 20</t>
  </si>
  <si>
    <t>TIRAS 50X100</t>
  </si>
  <si>
    <t>TIRAS 14 X 7</t>
  </si>
  <si>
    <t xml:space="preserve">DERIVACION T 10 X 20 </t>
  </si>
  <si>
    <t>VESTIMENTA</t>
  </si>
  <si>
    <t>BORCEGUI SUELA GOMA CAÑA LARGA</t>
  </si>
  <si>
    <t>BUZO AZUL C/LOGO MINISTERIO DEL INTERIOR</t>
  </si>
  <si>
    <t>CALZADO SEGURIDAD C/PUNTA DE ACERO</t>
  </si>
  <si>
    <t>CALZADO PARA HOMBRE</t>
  </si>
  <si>
    <t>CALZADO PARA DAMA</t>
  </si>
  <si>
    <t>CAMISA BLANCA PARA MOZA</t>
  </si>
  <si>
    <t>CAMISA BLANCA DE MUJER C/LOGO M/LARGA</t>
  </si>
  <si>
    <t>CAMISA BLANCA VESTIR DE HOMBRE</t>
  </si>
  <si>
    <t>CAMISA BLANCA HOMBRE C/LOGO</t>
  </si>
  <si>
    <t>CAMISA CELESTE VESTIR</t>
  </si>
  <si>
    <t>CAMISA DE TRABAJO HOMBRE CARGO C/ BEIGE</t>
  </si>
  <si>
    <t>CAMISA TRABAJO AZULINO</t>
  </si>
  <si>
    <t>CAMISA TRABAJO BLANCA</t>
  </si>
  <si>
    <t>CAMISA BLANCA M/CORTA  CON LOGO VIVIENDA</t>
  </si>
  <si>
    <t>CAMISA BLANCA M/LARGA CON LOGO VIVIENDA</t>
  </si>
  <si>
    <t>CAMPERA CON LOGO MINISTERIO Y VIVIENDA</t>
  </si>
  <si>
    <t>CAMPERA IMPERMEABLE C/CAPUCHA</t>
  </si>
  <si>
    <t>CARDIGAN CON LOGO MINISTERIO</t>
  </si>
  <si>
    <t>CASCOS SEGURIDAD</t>
  </si>
  <si>
    <t>CHALECO MOZO NEGRO</t>
  </si>
  <si>
    <t>CHOMBA AZUL C/LOGO MINISTERIO DEL INTERIOR</t>
  </si>
  <si>
    <t>CHOMBAS CON LOGO MINISTERIO Y VIVIENDA</t>
  </si>
  <si>
    <t>CORBATA AZUL</t>
  </si>
  <si>
    <t>DELANTAL BLANCO COCINA</t>
  </si>
  <si>
    <t>PANTALON BLANCO TRABAJO</t>
  </si>
  <si>
    <t>PANTALON NEGRO DE GABARDINA PARA MOZO</t>
  </si>
  <si>
    <t>PANTALON NEGRO VESTIR HOMBRE</t>
  </si>
  <si>
    <t>PANTALON NEGRO PARA MOZA</t>
  </si>
  <si>
    <t>PANTALON DE TRABAJO CARGO COLOR BEIGE</t>
  </si>
  <si>
    <t>POLAINAS DESCARNE PARA SOLDADOR</t>
  </si>
  <si>
    <t>PULLOVER LANA</t>
  </si>
  <si>
    <t>SWEATER CON LOGO</t>
  </si>
  <si>
    <t>SACO CRUZADO DE VESTIR</t>
  </si>
  <si>
    <t>SACO MOZO NEGRO</t>
  </si>
  <si>
    <t>TERMOFUSION</t>
  </si>
  <si>
    <t>CAÑO 20 MM X 4 MTS</t>
  </si>
  <si>
    <t>CAÑO 25 MM X 4 MTS</t>
  </si>
  <si>
    <t>CAÑO 32 MM X 4 MTS</t>
  </si>
  <si>
    <t>CODO 90 º X 25 MM</t>
  </si>
  <si>
    <t>CODO 90 º X 32 MM</t>
  </si>
  <si>
    <t>CODO 90 º X 25 MM X 1/2" C/REDUCCION HEMBRA</t>
  </si>
  <si>
    <t>CODO 90 º X 25 MM X 3/4" C/REDUCCION HEMBRA</t>
  </si>
  <si>
    <t>CODO 45 º X 20 MM</t>
  </si>
  <si>
    <t>CODO 45 º X 25 MM</t>
  </si>
  <si>
    <t>CODO 45 º X 32 MM</t>
  </si>
  <si>
    <t>CUPLA  REDUCCION 25 MM A 20 MM</t>
  </si>
  <si>
    <t>CUPLA  REDUCCION 32 MM A 20 MM</t>
  </si>
  <si>
    <t>CUPLA  REDUCCION 32 MM A 25 MM</t>
  </si>
  <si>
    <t>REDUCCION X 25 MM X 1/2" MACHO</t>
  </si>
  <si>
    <t>REDUCCION EN T 20 MM X 1/2</t>
  </si>
  <si>
    <t xml:space="preserve">REDUCCION EN T X 25 MM X 3/4" MACHO </t>
  </si>
  <si>
    <t>REDUCCION X 32 MM X 1" MACHO</t>
  </si>
  <si>
    <t>REDUCCION X 25 MM X 1/2" HEMBRA</t>
  </si>
  <si>
    <t>REDUCCION X 25 MM X 3/4" HEMBRA</t>
  </si>
  <si>
    <t>REDUCCION X 32 MM X 1" HEMBRA</t>
  </si>
  <si>
    <t>TAPA DE 25 MM</t>
  </si>
  <si>
    <t>TAPA DE 32 MM</t>
  </si>
  <si>
    <t>TAPON DE 3/4"</t>
  </si>
  <si>
    <t>UNION NORMAL 20 MM</t>
  </si>
  <si>
    <t>UNION NORMAL 25 MM</t>
  </si>
  <si>
    <t>UNION NORMAL 32 MM</t>
  </si>
  <si>
    <t xml:space="preserve">UNION EN T REDUCCIÒN 25 A 20 MM </t>
  </si>
  <si>
    <t>UNION EN T REDUCCIÒN 32 A 20 MM</t>
  </si>
  <si>
    <t>UNION EN T REDUCCIÒN 32 A 25 MM</t>
  </si>
  <si>
    <t>UNION DOBLE MIXTA 20 MM  X 1/2"</t>
  </si>
  <si>
    <t>UNION DOBLE MIXTA 25 MM  X 3/4"</t>
  </si>
  <si>
    <t>UNION DOBLE MIXTA 32 MM X 1"</t>
  </si>
  <si>
    <t>VARIOS</t>
  </si>
  <si>
    <t>AMOLADORA ANGULAR DE BANCO 150 MM 250 WATTS</t>
  </si>
  <si>
    <t>BARBIJOS</t>
  </si>
  <si>
    <t>CINTA DESTAPA CAÑERIA X 15 MTS METALICA</t>
  </si>
  <si>
    <t>CINTA DESTAPA CAÑERIA X 10 MTS PLASTICA</t>
  </si>
  <si>
    <t>CHISPERO PARA AUTÒGENA</t>
  </si>
  <si>
    <t xml:space="preserve">DESTORNILLADORES CHICOS (3 PHILIPS + 3 PLANOS) </t>
  </si>
  <si>
    <t>DISCO P/AMOLADORA TIPO ABRASIVO</t>
  </si>
  <si>
    <t>FRATACHO</t>
  </si>
  <si>
    <t>HOJA PARA SIERRA PARA CALADORA TIPO EXPERTO</t>
  </si>
  <si>
    <t>PINZA PELA CABLE</t>
  </si>
  <si>
    <t>RUEDA DE GOMA</t>
  </si>
  <si>
    <t>SIERRA CIRCULAR</t>
  </si>
  <si>
    <t>N° DE PEDIDO</t>
  </si>
  <si>
    <t>FECHA DE ENTREGA</t>
  </si>
  <si>
    <t>DEPENDENCIA</t>
  </si>
  <si>
    <t>CANTIDAD ENTREGADA</t>
  </si>
  <si>
    <t>mantenimiento</t>
  </si>
  <si>
    <t>PINTURERIA</t>
  </si>
  <si>
    <t>OFICINA 713 - PISO 7 ALEM 168</t>
  </si>
  <si>
    <t xml:space="preserve">ACCESO 25 DE MAYO 101 </t>
  </si>
  <si>
    <t>COMEDOR 8TO PISO 168</t>
  </si>
  <si>
    <t>OFICINA 236 101 2DO PISO</t>
  </si>
  <si>
    <t>OFI 259 101 2DO PISO</t>
  </si>
  <si>
    <t>OFI  246 101 2DO PISO</t>
  </si>
  <si>
    <t>CALO RICARDO</t>
  </si>
  <si>
    <t>SCABANI CLAUDIO</t>
  </si>
  <si>
    <t>NERINA</t>
  </si>
  <si>
    <t>RETAMAR MARIA JOSE</t>
  </si>
  <si>
    <t>LETIERI MARIANA</t>
  </si>
  <si>
    <t>SORTINO CELESTE</t>
  </si>
  <si>
    <t>LEONARDI FABIO</t>
  </si>
  <si>
    <t>RODRIGUEZ IGNACIO</t>
  </si>
  <si>
    <t>AQUINO ROMINA</t>
  </si>
  <si>
    <t>PAGANI NIDIA</t>
  </si>
  <si>
    <t>SILVIA TOLOZA</t>
  </si>
  <si>
    <t>COSTA JORGE</t>
  </si>
  <si>
    <t>ZARATE PATRICIA</t>
  </si>
  <si>
    <t>SEC DE ACTUACION - QUALLITO MARCELO</t>
  </si>
  <si>
    <t>UPCN - MELON SERGIO</t>
  </si>
  <si>
    <t>DEPARTAMENTO LICENCIA - ALBERTO ORUE</t>
  </si>
  <si>
    <t>DEPARTAMENTO SUELDOS - PEREGINI MARIELA</t>
  </si>
  <si>
    <t>COORD TEC ADM - FACUNDO MELIAN</t>
  </si>
  <si>
    <t>AUTOMOTORES - FERNANDA</t>
  </si>
  <si>
    <t>DIR NAC DE REL CON LAS PROV - ARGUELLO NELIDA</t>
  </si>
  <si>
    <t>OFI CONCESIONES - LETICIA CAVAGNARO</t>
  </si>
  <si>
    <t>SEC DE ASUNTOS POLITICOS - TORRES MARTIN</t>
  </si>
  <si>
    <t>DIR DE ADM DE RRHH - HERNAN FORTIN</t>
  </si>
  <si>
    <t>SUBS DE RELAC. CON LOS MUN - HERRERA MARIA</t>
  </si>
  <si>
    <t>DIR DE FRONTERAS - ROBLES PATRICIA</t>
  </si>
  <si>
    <t>ASUNTOS POLITICOS - CASTELNUEVO</t>
  </si>
  <si>
    <t>DIR DE JURIDICOS - GARCIA</t>
  </si>
  <si>
    <t>SUBS DE RELAC. CON LOS MUN - FERRANTE SANDRA</t>
  </si>
  <si>
    <t>SUBS RELAC. CON PROV. - ALVAREZ FLORENCIA</t>
  </si>
  <si>
    <t>DIR DE TECNOLOGIA E INFORMACION - MATIA KALUZKA</t>
  </si>
  <si>
    <t xml:space="preserve">SUBS DE REL CON LOS MUN - ELISABET RENAULT </t>
  </si>
  <si>
    <t>COMISION DE REC DEF -ALONSO</t>
  </si>
  <si>
    <t>ARCHIVO GEN DE LA NAC - MAGALY KAIS</t>
  </si>
  <si>
    <t xml:space="preserve">DIR NAC ELECTORAL - ESTRAMUCCI </t>
  </si>
  <si>
    <t>CASA DE GOBIERNO - MEDERO</t>
  </si>
  <si>
    <t>DIR NAC ANAL INSTITU. - TRAICHEVICH</t>
  </si>
  <si>
    <t xml:space="preserve">DIR DE REL CON LA COMUN - SANCHEZ </t>
  </si>
  <si>
    <t>DIV SEG Y CUSTODIA - MORENO</t>
  </si>
  <si>
    <t>DEPARTAMENTO MEDICO LABORAL - PAOLI</t>
  </si>
  <si>
    <t>ASUNTOS POLITICOS -TORRES</t>
  </si>
  <si>
    <t>DEPARTAMENTO DE GESTION Y DOCUMENTACION - FERNANDEZ</t>
  </si>
  <si>
    <t>DIRECCION DE JURIDICOS - SARTIRANA</t>
  </si>
  <si>
    <t>DIRECCION DE SUMARIOS - SINI</t>
  </si>
  <si>
    <t>DIRECCION DE REFOR POL - RECALT</t>
  </si>
  <si>
    <t>AUDITORIA INTERNA - GARCIA</t>
  </si>
  <si>
    <t xml:space="preserve">CONSOLIDADO DE STOCK Y SALDO </t>
  </si>
  <si>
    <t>SUM of CANTIDAD COMPRADA</t>
  </si>
  <si>
    <t>SUM of PRECIO TOTAL</t>
  </si>
  <si>
    <t>SUM of BIENES EN STOCK</t>
  </si>
  <si>
    <t>Total general</t>
  </si>
  <si>
    <t>(Varios elementos)</t>
  </si>
  <si>
    <t>Total SUM of CANTIDAD COMPRADA</t>
  </si>
  <si>
    <t>Total SUM of BIENES EN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</si>
</sst>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\ * #,##0.00_-;\-&quot;$&quot;\ * #,##0.00_-;_-&quot;$&quot;\ * &quot;-&quot;??_-;_-@"/>
    <numFmt numFmtId="165" formatCode="_ &quot;$&quot;\ * #,##0.00_ ;_ &quot;$&quot;\ * \-#,##0.00_ ;_ &quot;$&quot;\ * &quot;-&quot;??_ ;_ @_ "/>
    <numFmt numFmtId="166" formatCode="_ &quot;$&quot;\ * #,##0.00000_ ;_ &quot;$&quot;\ * \-#,##0.00000_ ;_ &quot;$&quot;\ * &quot;-&quot;??_ ;_ @_ "/>
  </numFmts>
  <fonts count="9">
    <font>
      <sz val="11"/>
      <name val="Calibri"/>
      <scheme val="minor"/>
    </font>
    <font>
      <sz val="11"/>
      <name val="Calibri"/>
    </font>
    <font>
      <sz val="10"/>
      <color rgb="FF17365D"/>
      <name val="Arial"/>
    </font>
    <font>
      <sz val="9"/>
      <color rgb="FF17365D"/>
      <name val="Arial"/>
    </font>
    <font>
      <sz val="11"/>
      <color rgb="FF333333"/>
      <name val="Arial"/>
    </font>
    <font>
      <sz val="10"/>
      <color rgb="FF1F497D"/>
      <name val="Arial"/>
    </font>
    <font>
      <b/>
      <sz val="11"/>
      <name val="Calibri"/>
    </font>
    <font>
      <b/>
      <sz val="24"/>
      <color rgb="FFFF0000"/>
      <name val="Calibri"/>
    </font>
    <font>
      <sz val="14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4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16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164" fontId="8" fillId="0" borderId="0" xfId="0" applyNumberFormat="1" applyFont="1" applyAlignment="1">
      <alignment wrapText="1"/>
    </xf>
    <xf numFmtId="0" fontId="8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wrapText="1"/>
    </xf>
    <xf numFmtId="0" fontId="0" fillId="0" borderId="0" xfId="0" applyFont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NumberFormat="1" applyFont="1" applyBorder="1" applyAlignment="1"/>
    <xf numFmtId="0" fontId="0" fillId="0" borderId="10" xfId="0" pivotButton="1" applyFont="1" applyBorder="1" applyAlignment="1"/>
    <xf numFmtId="0" fontId="0" fillId="0" borderId="10" xfId="0" applyFont="1" applyBorder="1" applyAlignment="1"/>
    <xf numFmtId="164" fontId="0" fillId="0" borderId="10" xfId="0" applyNumberFormat="1" applyFont="1" applyBorder="1" applyAlignment="1">
      <alignment horizontal="left"/>
    </xf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Angel" refreshedDate="45859.838662037037" refreshedVersion="6" recordCount="704">
  <cacheSource type="worksheet">
    <worksheetSource ref="A1:J705" sheet="Stock y Compras"/>
  </cacheSource>
  <cacheFields count="10">
    <cacheField name="RUBRO" numFmtId="0">
      <sharedItems containsBlank="1" count="10">
        <s v="INSUMOS AIRES"/>
        <s v="PLOMERIA"/>
        <s v="ELECTRICIDAD"/>
        <s v="PINTURA"/>
        <s v="LIBRERIA"/>
        <s v="CABLE CANAL"/>
        <s v="VESTIMENTA"/>
        <s v="TERMOFUSION"/>
        <s v="VARIOS"/>
        <m/>
      </sharedItems>
    </cacheField>
    <cacheField name="BIEN" numFmtId="0">
      <sharedItems containsBlank="1" count="533">
        <s v="EQUIPO SPLIT DE 4500 FRIGORÍAS - TIPO DE CLIMATIZACIÓNFRIO/CALOR - EFICIENCIA ENERGÉTICA DE CLASE C O MAYOR"/>
        <s v="EQUIPO SPLIT DE 6000 FRIGORÍAS - TIPO DE CLIMATIZACIÓN_x000a_FRIO/CALOR - EFICIENCIA ENERGÉTICA DE CLASE C O MAYOR EN CALEFACCIÓN Y A EN REFRIGERACIÓN - NO CONVERTER"/>
        <s v="ROLLO DE 15 METROS CAÑO DE COBRE DE 5/8"/>
        <s v="ROLLO DE 15 METROS CAÑO DE COBRE DE 3/8"/>
        <s v="ROLLO DE 15 METROS CAÑO DE COBRE DE 1/2"/>
        <s v="ROLLO DE 15 METROS CAÑO DE COBRE DE 1/4"/>
        <s v="ROLLO DE 2 METROS DE TIRA DE AISLACIÓN TÉRMICA PARA CAÑOS DE 5/8"/>
        <s v="ROLLO DE 2 METROS DE TIRA DE AISLACIÓN TÉRMICA PARA CAÑOS DE 3/8"/>
        <s v="ROLLO DE 2 METROS DE TIRA DE AISLACIÓN TÉRMICA PARA CAÑOS DE 1/2"/>
        <s v="ROLLO DE 2 METROS DE TIRA DE AISLACIÓN TÉRMICA PARA CAÑOS DE 1/4"/>
        <s v="CINTA DE PVC PARA REFRIGERACIÓN, SIN ADHESIVO – ROLLO DE 20 METROS"/>
        <s v="MENSULAS PARA AIRE ACONDICIONADO DE 4500 A 6000 FRIGORIAS, 50X50 APROXIMADAMENTE"/>
        <s v="GARRAFA REFRIGERANTE R410"/>
        <s v="GARRAFA REFRIGERANTE R22"/>
        <s v="MANGUERA CRISTAL PARA DESAGÜE DE 5/8&quot; – ROLLO DE 50 METROS (PRECIO POR METRO)"/>
        <s v="TACO DE GOMA, AMORTIGUADOR ANTIVIBRACIÓN – BOLSA X 4 UNIDADES"/>
        <s v="CAJA DE 200 TARUGOS MULTIPROPÓSITOS DE 8MM"/>
        <s v="CAJA DE 200 TARUGOS MULTIPROPÓSITOS DE 10MM"/>
        <s v="CAJA DE 200 TORNILLOS TIRAFONDO PARA TARUGO DE 10MM - PRECIO POR UNIDAD"/>
        <s v="CAJA DE 200 TORNILLOS TIRAFONDO PARA TARUGO DE 8MM"/>
        <s v="CAJA DE 200 ARANDELAS PLANAS PARA TARUGOS DE 10MM"/>
        <s v="CAJA DE 200 ARANDELAS PLANAS PARA TARUGOS DE 8MM"/>
        <s v="ADHESIVO - CEMENTO DE CONTACTO; TIPO: DE CONTACTO, PRESENTACION: ENVASE X 1 L"/>
        <s v="ADHESIVO COLA CARPINTERO BLANCO"/>
        <s v="ARANDELA PLASTICA 1/2&quot;"/>
        <s v="ARANDELA PLASTICA 3/4&quot;"/>
        <s v="ARO GOMA BASE DE INODORO"/>
        <s v="BOYA OBTURADOR UNIVERSAL REGULABLE PARA DEPOSITO EMBUTIR TIPO IDEAL 1450"/>
        <s v="BOYAS FLOTANTE telgopor"/>
        <s v="BOTON PULSADO MOCHILA LATERAL"/>
        <s v="BOTON PARA MOCHILA CUADRADO PLASTICO"/>
        <s v="BOTON PULSADOR MOCHILA SUPERIOR REDONDO"/>
        <s v="BUJE BRONCE REDUCCION DIAMETRO MAYOR 1/4&quot;"/>
        <s v="BUJE BRONCE REDUCCION DIAMETRO MAYOR 3/8&quot;"/>
        <s v="BUJE BRONCE REDUCCION 1/2&quot; M A 3/8&quot; PESTAÑA"/>
        <s v="BUJE HIDROBRONZ REDUCCION 1/2&quot; A 3/8&quot;"/>
        <s v="BUJE HIDROBRONZ REDUCCION 1&quot; A 3/4&quot;"/>
        <s v="CAÑAMO BOLSA X 100 GR"/>
        <s v="CAÑAMO BOLSA GRANDE"/>
        <s v="CAÑAMO BOLSA X 1000 GR"/>
        <s v="CAÑO GALVANIZADO 1/2&quot; X 6,40 M"/>
        <s v="CAÑO GALVANIZADO 3/4&quot; X 6,40 M"/>
        <s v="CAÑO GALVANIZADO 1&quot; X 6,40 M"/>
        <s v="CANO PVC 38/40 X 4 MTS"/>
        <s v="CAÑO PVC X 3,2 MTS   50 MM"/>
        <s v="CAÑO PVC X 4 MTS      60 MM"/>
        <s v="CAÑO PVC X 4 MTS      150 MM"/>
        <s v="Carga De Agua 1/2 PuLG P/mochila Capea O Mónaco"/>
        <s v="CARTUCHO PARA PRESSMA TIC FV (360 361 362) 0360.25.0"/>
        <s v="CANILLA LAVATORIO AUTOMATICA TEMPORIZADA A_x000a_PRESION TIPO FV; PAZZA; GENEBRE O CALIDAD_x000a_SUPERIOR. LARGO CANILLA 10 CM (+/- 10%), ALTURA CANILLA 10 CM (+/- 20%)"/>
        <s v="CODO BRONCE M/H 3/8&quot;"/>
        <s v="CODO BRONCE M/M 3/8&quot;"/>
        <s v="CODO BRONCE H/H 3/8&quot;"/>
        <s v="CODO HB M/E 1/2 X 1/2"/>
        <s v="CODO HB  E/E  1/2&quot;"/>
        <s v="CODO HB E/H 3/4&quot;"/>
        <s v="CODO HB  E/E  3/4&quot; A 1/2&quot; REDUCCION"/>
        <s v="CODO HB H/H 1&quot;"/>
        <s v="CODO GALVANIZADO H/M 1/2&quot;"/>
        <s v="CODO GALVANIZADO H/H 3/4&quot;"/>
        <s v="CODO GALVANIZADO M/H 3/4&quot;"/>
        <s v="CODO GALVANIZADO H/H 1&quot;"/>
        <s v="CODO GALVANIZADO M/H 1&quot;"/>
        <s v="CODO PVC DIAMETRO 110 MM 45° "/>
        <s v="CODO PVC DIAMETRO 150 MM 45° "/>
        <s v="CODO PVC DIAMETRO 150 MM 90° "/>
        <s v="CONEXIONES P/ SANITARIOS; TIPO FLEXIBLE MALLADO -_x000a_MATERAIL ACERO INOXIDABLE - GOMA - LONG. DE CUERPO 40 CM - TIPO DE CONEXIÓN 1/2 PULGADAS"/>
        <s v="CONEXIONES P/ SANITARIOS; TIPO FLEXIBLE MALLADO -_x000a_MATERAIL ACERO INOXIDABLE - GOMA - LONG. DE CUERPO 30 CM - TIPO DE CONEXIÓN 1/2 PULGADAS"/>
        <s v="CINTAS DESTAPA CAÑERÍAS; MATERIAL: ACERO, LONG. DE_x000a_CUERPO: 15 M"/>
        <s v="CINTA DE TEFLÓN X ROLLO, MEDIDA 3/4 X 20 MTS."/>
        <s v="CONEXIÓN FLEXIBLE PARA MINGITORIO"/>
        <s v="CUPLA BRONCE 1&quot; PASANTE "/>
        <s v="CUPLA BRONCE 3/4&quot; PASANTE "/>
        <s v="CUPLA HB 1/2&quot; PASANTE "/>
        <s v="CUPLA HB C/ TOPE 1/2&quot;"/>
        <s v="CUPLA HB 3/4&quot; PASANTE "/>
        <s v="CUPLA HB C/ TOPE 3/4&quot;"/>
        <s v="CUPLA REDUCCION HB 3/4&quot; A 1/2&quot;"/>
        <s v="CUPLA REDUCCION HB 1&quot; A 3/4&quot;"/>
        <s v="CUPLA HB C/ TOPE 1&quot;"/>
        <s v="CUPLA HB PASANTE 1&quot; "/>
        <s v="CUPLA GALVANIZADA 1/2&quot;"/>
        <s v="CUPLA GALVANIZADA 3/4&quot;"/>
        <s v="CUPLA GALVANIZADA 1&quot;"/>
        <s v="CUPLA GALVANIZADA 1/2&quot; A 3/8&quot; REDUCCION"/>
        <s v="CUPLA PVC RED.2 A 1 1/2"/>
        <s v="CUPLA PVC DIAMETRO 40 MM"/>
        <s v="CUPLA PVC DIAMETRO 60 MM"/>
        <s v="CUPLA PVC DIAMETRO 110 MM"/>
        <s v="CUPLA PVC DIAMETRO 150 MM"/>
        <s v="CURVA PVC DIAMETRO 150 MM 45º "/>
        <s v="CURVA PVC DIAMETRO 110 MM 90º "/>
        <s v="CURVA PVC DIAMETRO 150 MM 90º "/>
        <s v="Descarga Mochila Capea Roca Superior Cromado Repuesto Eco_x000a_Flush"/>
        <s v="DEPOSITO P/ MINGITORIO PVC X 8 LTS"/>
        <s v="ELECTRODO 2 MM "/>
        <s v="ELECTRODO 2,5 MM"/>
        <s v="ESTERINA EN PANES"/>
        <s v="GOMA FUELLE P/ INODORO CORTAS"/>
        <s v="GOMA FUELLE PARA INODORO (LARGO)"/>
        <s v="GOMA RIGIDAS P/INODORO NEGRAS"/>
        <s v="GRASA GRAFITADA  POTE X 120 GRS"/>
        <s v="GRASA GRAFITADA  POTE X 1000 GRS"/>
        <s v="KIT O'RING Y RETENES PARA VALVULA DESCARGA INODORO FV 368 (367.17)"/>
        <s v="LITARGILIO  X  250 GRS"/>
        <s v="LLAVE ESFERICA BRONCE 1/2&quot;"/>
        <s v="LLAVE ESFERICA METALICA 1&quot;"/>
        <s v="MASILLA EPOXI PARA SANITARIO X 500 GRS. MARCA PARSECS, POXILINA O SIMILAR"/>
        <s v="MINGITORIO DE LOZA BLANCO"/>
        <s v="NIPLE BRONCE CONEXIÓN P/ DEPOSITO 1/2&quot;"/>
        <s v="NIPLE BRONCE 1/2&quot; X 10 CM"/>
        <s v="NIPLE BRONCE 1/2&quot; X 12 CM"/>
        <s v="NIPLE BRONCE 1/2&quot; X 15 CM"/>
        <s v="NIPLE GALVANIZADO 1/2&quot; X 8 CM"/>
        <s v="NIPLE GALVANIZADO 1/2&quot; X 12 CM"/>
        <s v="NIPLE GALVANIZADO 1/2&quot; X 15 CM"/>
        <s v="NIPLE GALVANIZADO 3/4&quot; X 8 CM"/>
        <s v="NIPLE GALVANIZADO 3/4&quot; X 10 CM"/>
        <s v="NIPLE GALVANIZADO 3/4&quot; X 12 CM"/>
        <s v="NIPLE GALVANIZADO 3/4&quot; X 15 CM"/>
        <s v="PAÑO PARA SOLDADOR X PAQUETE"/>
        <s v="PROLONGACION P/ CANILLA 1/2&quot; X 10 CM"/>
        <s v="RESPUESTO FV CARTUCHO PARA PRESSMA"/>
        <s v="PISTON COMPLETO PARA PRESSMA TIC 0361.01.20.0)"/>
        <s v="REJILLA 8 X 8 CM ABIERTA"/>
        <s v="REJILLA CIEGA ACERO 10 X 10 CM"/>
        <s v="ROSCA C/ TUERCA BRONCE 1&quot;"/>
        <s v="ROSCA C/ TUERCA GALVANIZADA 3/4&quot;"/>
        <s v="ROSCA C/ TUERCA GALVANIZADA 1&quot;"/>
        <s v="Repuesto Válvula Vf051 Descarga Mochila Ferrum"/>
        <s v="Repuesto Deposito Mochila Entrada Agua Dealer 1/2 Boya 4110"/>
        <s v="SIFON DE GOMA SIMPLE P/ 1 BACHA"/>
        <s v="SIFON DE GOMA DOBLE P/ 2 BACHAS"/>
        <s v="SILICONA TRANSPARENTE"/>
        <s v="SOPAPA DE GOMA GRANDE"/>
        <s v="SOPAPA DE GOMA CHICA"/>
        <s v="SELLADOR SILICONA UNIVERSAL TRANSPARENTE CARTUCHO X 280 GRS."/>
        <s v="SELLADOR DE ROSCAS SANITARIAS CAUCHO X 125 CC TIPO HYDRO 3"/>
        <s v="TORNILLO PARA FIJACIÓN DE INODORO"/>
        <s v="TAPAS P/ INODORO UNIVERSAL, MATERIAL: PVC REFORZADO"/>
        <s v="TAPA PLASTICA PARA FRENTE DE DEPOSITO, PARA EMBUTIR CON BOTON A RESORTE DE BRONCE CROMADO Y_x000a_SOBRETAPA PLASTICA O METALICA"/>
        <s v="TAPA CIEGA P/INSPECCION 40 X 40 "/>
        <s v="TAPA GALVANIZADA 1/2&quot;"/>
        <s v="TAPA GALVANIZADA 3/4&quot;"/>
        <s v="TAPA GALVANIZADA 1&quot;"/>
        <s v="TAPON GALVANIZADO 3/4&quot;"/>
        <s v="TAPON GALVANIZADO 1&quot;"/>
        <s v="TAPON PVC 3/4&quot;"/>
        <s v="TARUGOS DE NYLON CON TOPE N° 6"/>
        <s v="TARUGOS DE NYLON CON TOPE N° 8"/>
        <s v="TARUGOS DE NYLON CON TOPE N° 10"/>
        <s v="TARUGO ESPIRAL PARA PLACA DE YESO"/>
        <s v="TEE BRONCE 1/2&quot; X 1/2&quot;"/>
        <s v="TEE BRONCE REDUCCION 3/4&quot;  A  1/2&quot;  H / H"/>
        <s v="TEE HB 1/2&quot; E - E"/>
        <s v="TEE HB 1/2&quot; E - H"/>
        <s v="TEE HB 3/4&quot; E - E"/>
        <s v="TEE HB 3/4&quot; E - M"/>
        <s v="TEE GALVANIZADA 1/2&quot; - 1/2&quot; - 1/2&quot;"/>
        <s v="TEE GALVANIZADA 3/4&quot; - 1/2&quot; - 3/4&quot;"/>
        <s v="TEE GALVANIZADA 3/4&quot; - 3/4&quot; - 3/4&quot; HHH"/>
        <s v="TEE GALVANIZADA 1&quot; - 3/4&quot; - 1&quot;  H H"/>
        <s v="TEE GALVANIZADA 1&quot; - 1&quot; - 1&quot; H H"/>
        <s v="TEE EPOXI 1/2&quot; - 1/2&quot; - 1/2&quot;  H H"/>
        <s v="TEFLON 1/2&quot; ROLLO"/>
        <s v="TELA ESMERIL 60"/>
        <s v="TORNILLOS FIX CABEZA FRESADA RANURA PHILLIPS_x000a_ACABADO ZINCADO AMARILLO 4 X 35 MM"/>
        <s v="TORNILLOS FIX CABEZA FRESADA RANURA PHILLIPS_x000a_ACABADO ZINCADO AMARILLO 5 X 45 MM"/>
        <s v="TORNILLOS FIX CABEZA FRESADA RANURA PHILLIPS_x000a_ACABADO ZINCADO AMARILLO 6 X 60 MM"/>
        <s v="TORNILLO DE BRONCE PARA FIJAR MOCHILA"/>
        <s v="TUBO HB 1/2&quot; H"/>
        <s v="TUBO HB 1/2&quot; M"/>
        <s v="TUBO HB 3/4 M"/>
        <s v="UNIÓN DOBLE GALVANIZADO 3/4&quot;"/>
        <s v="UNIÓN DOBLE PVC EN T DIAMETRO 40 MM"/>
        <s v="UNIÓN DOBLE PVC EN T DIAMETRO 60 MM"/>
        <s v="UNIÓN DOBLE PVC EN T DIAMETRO 110 MM"/>
        <s v="UNION DOBLE PVC EN T DIAMETRO 150 MM"/>
        <s v="Válvula Descarga Mochila Deposito Para Roca Capea"/>
        <s v="VALVULA NEOPRENO S/ VASTAGO 3/4&quot;"/>
        <s v="VALVULA NEOPRENO S/ VASTAGO 1&quot;"/>
        <s v="VALVULA NEOPRENP S/BASTAGO 1/2&quot;"/>
        <s v="VALVULA NEOPRENO C/ VASTAGO 1/2&quot;"/>
        <s v="VALVULA NEOPRENO C/ VASTAGO 3/4&quot;"/>
        <s v="VALVULA NEOPRENO C/ VASTAGO 1&quot;"/>
        <s v="VALVULA TIPO IMSA TUERCA HEMBRA PARA PARED"/>
        <s v="VALVULA AGUA WJ211 TIPO FLUMAC ROSCA M"/>
        <s v="VARILLA ROSCADA 1/4 X 1 M"/>
        <s v="Válvula Automática + Tecla De Descarga – Clean- Combo Deca "/>
        <s v="VALVULAS P/MINGITORIOS; ACCIONAMIENTO: MANUAL, VOLUMEN DE DESCARGA: REGULABLE TEMPORIZADORA,_x000a_MATERIAL: BRONCE CROMADO"/>
        <s v="ADAPTADOR DE 2 REDONDO A 2 PLANO "/>
        <s v="ADAPTADOR DE 3 PLANO A 2 REDONDO"/>
        <s v="BANDEJA PORTA CABLE"/>
        <s v="BASTIDORES DE CHAPA"/>
        <s v="Bastidor rectangular – Tipo Jeluz"/>
        <s v="BATERIAS RECARG. GEL P/EQUIPO ALARMA"/>
        <s v="CABLE UNIPOLAR 1X 1,50"/>
        <s v="CABLE UNIPOLAR 1 X 2 ,50 TRANSP. X250MTS."/>
        <s v="CABLE UNIPOLAR 1 X 4"/>
        <s v="CABLE UNIPOLAR 1 X 6"/>
        <s v="CABLE UNIPOLAR 1 x 10 mm                                                  MTS"/>
        <s v="CABLE SINTENAX 4 X1 6 mm                                                   MTS"/>
        <s v="CABLE SUBTERRANEO 3X70 + 1X35"/>
        <s v="CAJA PARA EMBUTIR TIPO MIGNON PLASTICA"/>
        <s v="CAMPANILLA PARA TIMBRE"/>
        <s v="CAPACITOR DOBLE 50 + 4uf 450 Vca"/>
        <s v="CAPACITOR MARCHA 4 Mf X 400 CA"/>
        <s v="Cable canal - PVC - formato lineal - 100 mm x 50 mm sin adhesivo - color blanco x 2 metros"/>
        <s v="Cable canal - PVC - formato lineal - 18 mm x 21 mm con adhesivo - color blanco"/>
        <s v="Cinta Aisladora 3m Tipo Temflex 1550 X 20 Mts Color negra"/>
        <s v="CINTA AISLADORA TELA NEGRA"/>
        <s v="CINTA AISLADORA AUTOSOLDABLE"/>
        <s v="Cable Unipolar – Tipo Trefilcon 2.5 Mm Normalizado Rollo 100 Metros Cubierta Marrón (PRECIO POR METRO) "/>
        <s v="Cable Unipolar – Tipo Trefilcon 2.5 Mm Normalizado Rollo 100 Metros Color De La Cubierta Celeste"/>
        <s v="Conductor tipo taller - 3 x 2,5 mm2 - aislación PVC, normalizado Tipo Pirelli o superior x 100 mts. (PRECIO POR METRO) "/>
        <s v="CONTACTORES 40A TRIPOLAR"/>
        <s v="CONTACTORES 50A TRIPOLAR"/>
        <s v="CONTACTORES 65A TRIPOLAR"/>
        <s v="CONTACTORES 95A TRIPOLAR"/>
        <s v="DETECTOR DE VOLTAJE"/>
        <s v="DVL1000-9 Buscapolo Inductivo Digital Lápiz Detector De Tensión 1000v"/>
        <s v="EQUIPO DE ENCENDIDO"/>
        <s v="FICHA HEMBRA 2 PATAS REDONDAS P/PROLONGACION"/>
        <s v="FICHA MACHO 3 PATAS CHATAS C/TIERRA P/PROLONGACION "/>
        <s v="FOTOCONTROLES FOTOCELULAS"/>
        <s v="Fuente driver para panel led 24w (28x28cm)"/>
        <s v="Fuente driver para panel led NRV-PL 32005 40w (60x60cm)"/>
        <s v="FUSIBLE NH  100 A   500 V 120 kA "/>
        <s v="FUSIBLE NH 500 V 500 Amp 120 kA LARGO"/>
        <s v="GRAMPAS KALOP N° 5"/>
        <s v="GRAMPAS KALOP N° 8"/>
        <s v="GRAMPAS KALOP N° 10"/>
        <s v="INTERRUPTOR COMANDO ESTRIBO 600 A"/>
        <s v="Lampara Led 9w / 10w Tipo Foco 220v (E27) - luz fría"/>
        <s v="Lampara Dicroica Led 7w Gu10 220v Gu 10 - luz fría"/>
        <s v="LAMPARA TUBO HALOGENO 400W MERCURIO"/>
        <s v="LLAVE TREMICA 2 X 40 A"/>
        <s v="LLAVE TERMICA 3 X 32 A"/>
        <s v="LLAVE TERMICA 3 X 40 A"/>
        <s v="LLAVE TERMICA 3 X 50 A"/>
        <s v="LLAVE TERMICA 3 X 63 A"/>
        <s v="LLAVE TERMICA 3 X 100 A"/>
        <s v="MODULO INTERRUPTOR TECLA PARA EMBUTIR"/>
        <s v="MODULO TOMA PARA EMBUTIR CON TIERRA"/>
        <s v="Módulo 1 toma para embutir - 10 A - Tipo línea Siglo XXI"/>
        <s v="Módulo punto simple – Tipo Jeluz platinum"/>
        <s v="MODULO TOMA CORRIENTE DE 10 Amp"/>
        <s v="Módulo punto ciego – Tipo Jeluz platinum"/>
        <s v="Panel Plafón Led Embutir 60x60 cm Cuadrado 40w Luz Fría Empotrable"/>
        <s v="PILAS DURACELL AA"/>
        <s v="Plafón listón doble para 2 tubos led 120cm 18w 220v - Luz fría"/>
        <s v="Pinza amperométrica digital Uni-T UT204+ 600ª"/>
        <s v="Pack x 50 mts de cable taller Tpr 3 x 4 mm Tipo Kalop"/>
        <s v="Plafón Aplicar Led 60x60 48w Frio"/>
        <s v="Periscopio Piso/pared con 4 Tomas 10 Amp Triangulo"/>
        <s v="Precinto plástico - longitud 200 mm - color negro x 100"/>
        <s v="Precinto plástico - longitud 300 mm - color negro x 100"/>
        <s v="PULSADOR PARA TIMBRE EMBUTIR"/>
        <s v="REACTANCIAS  ELECTRICA PARA TUBOS 18/20 W"/>
        <s v="REACTANCIAS ELCTRICA PARA TUBOS 27/30 W"/>
        <s v="REACTANCIAS ELECTRICA 38/40W"/>
        <s v="REACTANCIAS ELCTRICA PARA TUBOS 70 W"/>
        <s v="REACTANCIAS ELECTRICA PARA TUBOS 150 W"/>
        <s v="RECATANCIA ELECTRONICA 30 W"/>
        <s v="REACTANC.ELECTRONICA 36/40W"/>
        <s v="REACTANCIA ELECTRONICA 55W"/>
        <s v="Spot Dicroica Led Completa Acero Blanco 7w / 6w Embutir Móvil - Luz Fría"/>
        <s v="SOPORTE LISTON PARA 2 TUBOS"/>
        <s v="TAPA PLASTICA BLANCA RECTANGULAR 1 RANURA"/>
        <s v="TAPA PLASTICA BLANCA RECTANGULAR 2 RANURAS"/>
        <s v="TAPA PLASTICA BLANCA RECTANGULAR 3 RANURAS"/>
        <s v="TAPA PLASTICA BLANCA BIPOLAR C/ TIERRA COMBINADA"/>
        <s v="TAPA PLASTICA BLANCA RECTANGULAR  CIEGA"/>
        <s v="TARUGO FISHER 8 MM SIN TOPE"/>
        <s v="TARUGO FISHER 10 MM"/>
        <s v="TARUGO FISHER 12 MM"/>
        <s v="TARUGO FISHER C/TOPE  5 MM"/>
        <s v="TARUGO FISHER C/ TOPE  10 MM"/>
        <s v="TORNILLO PARKER P/TARUGO DEL 6&quot;"/>
        <s v="TORNILLO PARKER P/TARUGO DEL 8&quot;"/>
        <s v="TORNILLO PARA BASTIDOR LARGO BOLSAS"/>
        <s v="TRANFORMADOR P/DICROICA 12 V X 50 W"/>
        <s v="TUBOS 18/20  W"/>
        <s v="TUBOS 36/40"/>
        <s v="TUBOS 55W"/>
        <s v="TUBOS 105 W"/>
        <s v="Tubo led 18w T8 220v (reemplazo flurescente 36w) 120 cm - luz fría"/>
        <s v="Tapa rectangular - Tipo Jeluz platinum"/>
        <s v="Zócalo Gu10 220v Dicroicas Ar111 Lámparas"/>
        <s v="ZOCALO PARA TUBOS 105 W (JUEGO)"/>
        <s v="Zapatilla 4 tomas con cable 2,5 / 3 mts. - con llave de corte (Tipo Kalop, Richi, Cambre o calidad superior)"/>
        <s v="CEPILLO ALAMBRE ACERO CON MANGO"/>
        <s v="CINTA ENMASCARAR X 12 MM"/>
        <s v="Diluyente - Envase x 4L"/>
        <s v="Enduido - Lata x 10L"/>
        <s v="Esmalte sintético blanco - Lata x 4L"/>
        <s v="ENDUIDO PLASTICO AL AGUA LATA X 20 KG"/>
        <s v="ENTONADOR X 120 CC SIENA"/>
        <s v="ENTONADOR X 120 CC AMARILLO"/>
        <s v="ENTONADOR X 120 CC OCRE"/>
        <s v="FIBRADO P/TECHO IMPERMEABILIZANTE LATA 20 KG"/>
        <s v="Fijador - Lata x 10L"/>
        <s v="FIJADOR AL ACEITE LATA X 20 L"/>
        <s v="FIJADOR AL AGUA LATA X 20 L"/>
        <s v="Látex interior tipo SW7005 - Lata x 20L"/>
        <s v="Látex interior tipo SW7010 - Lata x 20L"/>
        <s v="Laca exterior brillante melacrílica - Lata x 0,5 L"/>
        <s v="LIJA Nº 400"/>
        <s v="MASILLA PLASTICA LATA X 1 KG GRIS"/>
        <s v="Pintura asfaltica - Lata x 18L"/>
        <s v="Pintura alto tránsito (Amarillo) - Lata x 4L"/>
        <s v="Pintura alto tránsito (Negro) - Lata x 4L"/>
        <s v="PINTURA ESMALTE HIDROESMALTE X 4 LITROS"/>
        <s v="PINTURA LATEX AL AGUA X 20 LITROS"/>
        <s v="Papel de Lija N° 80 x 50"/>
        <s v="Papel de Lija N° 100 x 50"/>
        <s v="Papel de Lija N° 120 x 50"/>
        <s v="Pincel cerda larga N° 20"/>
        <s v="Pincel cerda larga N° 25"/>
        <s v="Pincel cerda larga N° 40"/>
        <s v="Rollo de cartón corrugado 1 m x 30 metros"/>
        <s v="REMOVEDOR X 4 LITROS"/>
        <s v="Rodillo de lana de 22 cm"/>
        <s v="VIRUTA EN BOLSAS"/>
        <s v="YESO BOLSA X 10 KG"/>
        <s v="ABROCHADORA 21/6 pinza"/>
        <s v="ABROCHADORA 10/50 pinza"/>
        <s v="ABROCHADORA N°23 pinza"/>
        <s v="ABROCHADORA ESCRITORIO 64"/>
        <s v="Adhesivo tipo boligoma x 30 ml."/>
        <s v="ADHESIVO VINILICO X 250 CC"/>
        <s v="ADHESIVO VINILICO X 30 ML"/>
        <s v="ADHESIVO BARRA"/>
        <s v="ADHESIVO TRANSPARENTE X50 ML"/>
        <s v="ARANDELAS DE CARTON"/>
        <s v="ARCHIVOS PLASTICOS"/>
        <s v="ALMOHADILLA PARA SELLOS"/>
        <s v="Bandas elásticas grandes"/>
        <s v="Bibliorato tamaño carta"/>
        <s v="Bibliorato tamaño oficio"/>
        <s v="Bolígrafo azul"/>
        <s v="BOLIGRAFO NEGRO"/>
        <s v="Bolígrafo rojo"/>
        <s v="BOLIGRAFO VERDE"/>
        <s v="BROCHE P/ABROCHADORA 21/6"/>
        <s v="Broches P/abrochadora 10"/>
        <s v="BROCHE P/ABROCHADORA 64"/>
        <s v="BROCHE P/ABROCHADORA N° 23/10   23/24"/>
        <s v="BROCHE DORADO N° 4"/>
        <s v="BROCHE DORADO Nº 8"/>
        <s v="BROCHE DORADO Nº 12"/>
        <s v="BROCHE DORADO N° 14"/>
        <s v="BROCHE APRIETA PAPEL 41 mm"/>
        <s v="BROCHE APRIETA PAPEL 25 mm"/>
        <s v="Cajas plásticas"/>
        <s v="CORRECTOR EN LAPIZ"/>
        <s v="CARPETA CARATULA A4"/>
        <s v="CARPETA CARTULINA OFICIO  26X36"/>
        <s v="Carpeta presupuesto tapa transparente A4"/>
        <s v="Carpeta tres solapas"/>
        <s v="CARPETA TAPA PLASTICA TRANSP. OFICIO"/>
        <s v="CARPET TRANSP. A 4 TIPO SOBRE"/>
        <s v="CARPETA P/FICHERO CARTULINA OFICIO INTERNA"/>
        <s v="CARPETA OFICIO CON OREJAS"/>
        <s v="CARPETA 3 SOLAPAS CON ELASTICO"/>
        <s v="CARPETA C/BROCHE NEPACO"/>
        <s v="CARPETA COLGANTE CON VISOR"/>
        <s v="Cinta para embalar Marrón 5 cm x 50 mts"/>
        <s v="Cinta para embalar Transparente 5 cm x 50 mts"/>
        <s v="CINTA DE PAPEL ENMASCARAR 48 mm x 50 mts"/>
        <s v="Clips N° 3"/>
        <s v="CUADERNO CORRESPONDENCIA"/>
        <s v="CUADERNO INDICE"/>
        <s v="Cuaderno tapa dura rayado x 50 hojas"/>
        <s v="Cuaderno tipo universitario rayado"/>
        <s v="Cuaderno tipo universitario cuadriculado"/>
        <s v="Cúter"/>
        <s v="Folio A4 paquete x 100 unidades"/>
        <s v="FOLIOS OFICIO"/>
        <s v="GOMA BORRA TINTA Y LAPIZ"/>
        <s v="GOMA BORRAR LAPIZ"/>
        <s v="Hilo Plástico"/>
        <s v="LAPIZ NEGRO 2H"/>
        <s v="LAPIZ NEGRO 2 B"/>
        <s v="LAPIZ  2HB"/>
        <s v="Libro de actas 400 folios"/>
        <s v="Lomo para Bibliorato (paquete x 20 unidades)"/>
        <s v="Máquina perforadora grande"/>
        <s v="MARCADOR PIZARRA NEGRO"/>
        <s v="MARCADOR PIZARRA ROJO"/>
        <s v="Marcador al agua azul"/>
        <s v="Marcador al agua negro"/>
        <s v="Marcador al agua rojo"/>
        <s v="Marcador al agua verde"/>
        <s v="MARCADOR TRAZO FINO AZUL"/>
        <s v="MARCADOR INDELEBLE AZUL"/>
        <s v="MARCADOR INDELEBLE NEGRO"/>
        <s v="MARCADOR NEGRO AL SOLVENTE"/>
        <s v="MARCADOR AZUL AL SOLVENTE"/>
        <s v="MARCADOR CELESTE AL SOLVENTE"/>
        <s v="MARCADOR ROJO AL SOLVENTE"/>
        <s v="MARCADOR VERDE AL SOLVENTE"/>
        <s v="MARCADOR CELESTE AL SOVENTE"/>
        <s v="Papel obra A4"/>
        <s v="PAPEL OBRA OFICIO"/>
        <s v="PAPEL OBRA A3 80 grs"/>
        <s v="PAPEL CARBONICO"/>
        <s v="PAPEL CORRECTOR PARA MAQ ESCRIBIR"/>
        <s v="PAPEL PARA MAQUINA DE SUMAR"/>
        <s v="PORTA CINTA CHICO"/>
        <s v="PORTA CINTA GRANDE"/>
        <s v="PORTA LAPICES"/>
        <s v="PORTA TACOS  9 X9"/>
        <s v="PORTACLIPS PLASTICO"/>
        <s v="REGLA PLASTICA  X 30 CMTS"/>
        <s v="REGLAT/PLANA METAL 100cm"/>
        <s v="REGLA T/PLANA METAL 50 cm"/>
        <s v="REPUESTO HOJA DE CUTER"/>
        <s v="Resaltadores color amarillo"/>
        <s v="Resaltadores color verde"/>
        <s v="Resaltadores color naranja"/>
        <s v="Resaltadores color rosa"/>
        <s v="Resaltadores color celeste"/>
        <s v="SACABROCHES PLASTICO "/>
        <s v="Sacapuntas"/>
        <s v="SELLO FECHADOR"/>
        <s v="SELLO NUMERADOR"/>
        <s v="SEPARADOR A4 JGO. X 5 UNIDADES"/>
        <s v="SOBRE BLANCO 11X 22 CON MEMBRETE"/>
        <s v="SOBRE BLANCO 15X23 SIN MEMBRETE"/>
        <s v="SOBRE BLANCO 15 X 23 CON MEMBRETE"/>
        <s v="SOBRE BLANCO 12 X 23 SIN MEMBRETE"/>
        <s v="SOBRE BLANCO KRAFT 16 X 22 CON MEMBRETE"/>
        <s v="SOBRE BLANCO KRAFT 25 X 20 CON MEMBRETE"/>
        <s v="SOBRE BLANCO KRAFT 24 X 30 SIN MEMBRETE"/>
        <s v="SOBRE KRAFT A4 MARRON 23 X 32 S/MEMBRETE"/>
        <s v="SOBRE KRAFT OFICIO MARRON 23x 36 S/MEMBRETE"/>
        <s v="SOBRE MADERA 27 X 36 CON MEMBRETE"/>
        <s v="SOBRE MADERA 30 X 40 CON MEMBRETE"/>
        <s v="SOBRE BOLSA MADERA 37 X 45 SIN MEMBRETE "/>
        <s v="Tacos de colores 9 x 9"/>
        <s v="TIJERAS CHICA"/>
        <s v="Tijeras"/>
        <s v="TINTA NEGRA PARA SELLOS"/>
        <s v="TINTA AZUL PARA SELLOS"/>
        <s v="ACOPLE RECTO 10 X 20 "/>
        <s v="ACOPLE RECTO 40 X 16 "/>
        <s v="CODO EXTERNO 20X10"/>
        <s v="TIRAS PISO "/>
        <s v="TIRAS 21 x 18 m.m."/>
        <s v="TIRAS 10 X 20"/>
        <s v="TIRAS 50X100"/>
        <s v="TIRAS 14 X 7"/>
        <s v="DERIVACION T 10 X 20 "/>
        <s v="BORCEGUI SUELA GOMA CAÑA LARGA"/>
        <s v="BUZO AZUL C/LOGO MINISTERIO DEL INTERIOR"/>
        <s v="CALZADO SEGURIDAD C/PUNTA DE ACERO"/>
        <s v="CALZADO PARA HOMBRE"/>
        <s v="CALZADO PARA DAMA"/>
        <s v="CAMISA BLANCA PARA MOZA"/>
        <s v="CAMISA BLANCA DE MUJER C/LOGO M/LARGA"/>
        <s v="CAMISA BLANCA VESTIR DE HOMBRE"/>
        <s v="CAMISA BLANCA HOMBRE C/LOGO"/>
        <s v="CAMISA CELESTE VESTIR"/>
        <s v="CAMISA DE TRABAJO HOMBRE CARGO C/ BEIGE"/>
        <s v="CAMISA TRABAJO AZULINO"/>
        <s v="CAMISA TRABAJO BLANCA"/>
        <s v="CAMISA BLANCA M/CORTA  CON LOGO VIVIENDA"/>
        <s v="CAMISA BLANCA M/LARGA CON LOGO VIVIENDA"/>
        <s v="CAMPERA CON LOGO MINISTERIO Y VIVIENDA"/>
        <s v="CAMPERA IMPERMEABLE C/CAPUCHA"/>
        <s v="CARDIGAN CON LOGO MINISTERIO"/>
        <s v="CASCOS SEGURIDAD"/>
        <s v="CHALECO MOZO NEGRO"/>
        <s v="CHOMBA AZUL C/LOGO MINISTERIO DEL INTERIOR"/>
        <s v="CHOMBAS CON LOGO MINISTERIO Y VIVIENDA"/>
        <s v="CORBATA AZUL"/>
        <s v="DELANTAL BLANCO COCINA"/>
        <s v="PANTALON BLANCO TRABAJO"/>
        <s v="PANTALON NEGRO DE GABARDINA PARA MOZO"/>
        <s v="PANTALON NEGRO VESTIR HOMBRE"/>
        <s v="PANTALON NEGRO PARA MOZA"/>
        <s v="PANTALON DE TRABAJO CARGO COLOR BEIGE"/>
        <s v="POLAINAS DESCARNE PARA SOLDADOR"/>
        <s v="PULLOVER LANA"/>
        <s v="SWEATER CON LOGO"/>
        <s v="SACO CRUZADO DE VESTIR"/>
        <s v="SACO MOZO NEGRO"/>
        <s v="CAÑO 20 MM X 4 MTS"/>
        <s v="CAÑO 25 MM X 4 MTS"/>
        <s v="CAÑO 32 MM X 4 MTS"/>
        <s v="CODO 90 º X 25 MM"/>
        <s v="CODO 90 º X 32 MM"/>
        <s v="CODO 90 º X 25 MM X 1/2&quot; C/REDUCCION HEMBRA"/>
        <s v="CODO 90 º X 25 MM X 3/4&quot; C/REDUCCION HEMBRA"/>
        <s v="CODO 45 º X 20 MM"/>
        <s v="CODO 45 º X 25 MM"/>
        <s v="CODO 45 º X 32 MM"/>
        <s v="CUPLA  REDUCCION 25 MM A 20 MM"/>
        <s v="CUPLA  REDUCCION 32 MM A 20 MM"/>
        <s v="CUPLA  REDUCCION 32 MM A 25 MM"/>
        <s v="REDUCCION X 25 MM X 1/2&quot; MACHO"/>
        <s v="REDUCCION EN T 20 MM X 1/2"/>
        <s v="REDUCCION EN T X 25 MM X 3/4&quot; MACHO "/>
        <s v="REDUCCION X 32 MM X 1&quot; MACHO"/>
        <s v="REDUCCION X 25 MM X 1/2&quot; HEMBRA"/>
        <s v="REDUCCION X 25 MM X 3/4&quot; HEMBRA"/>
        <s v="REDUCCION X 32 MM X 1&quot; HEMBRA"/>
        <s v="TAPA DE 25 MM"/>
        <s v="TAPA DE 32 MM"/>
        <s v="TAPON DE 3/4&quot;"/>
        <s v="UNION NORMAL 20 MM"/>
        <s v="UNION NORMAL 25 MM"/>
        <s v="UNION NORMAL 32 MM"/>
        <s v="UNION EN T REDUCCIÒN 25 A 20 MM "/>
        <s v="UNION EN T REDUCCIÒN 32 A 20 MM"/>
        <s v="UNION EN T REDUCCIÒN 32 A 25 MM"/>
        <s v="UNION DOBLE MIXTA 20 MM  X 1/2&quot;"/>
        <s v="UNION DOBLE MIXTA 25 MM  X 3/4&quot;"/>
        <s v="UNION DOBLE MIXTA 32 MM X 1&quot;"/>
        <s v="AMOLADORA ANGULAR DE BANCO 150 MM 250 WATTS"/>
        <s v="BARBIJOS"/>
        <s v="CINTA DESTAPA CAÑERIA X 15 MTS METALICA"/>
        <s v="CINTA DESTAPA CAÑERIA X 10 MTS PLASTICA"/>
        <s v="CHISPERO PARA AUTÒGENA"/>
        <s v="DESTORNILLADORES CHICOS (3 PHILIPS + 3 PLANOS) "/>
        <s v="DISCO P/AMOLADORA TIPO ABRASIVO"/>
        <s v="FRATACHO"/>
        <s v="HOJA PARA SIERRA PARA CALADORA TIPO EXPERTO"/>
        <s v="PINZA PELA CABLE"/>
        <s v="RUEDA DE GOMA"/>
        <s v="SIERRA CIRCULAR"/>
        <m/>
      </sharedItems>
    </cacheField>
    <cacheField name="ORDEN DE COMPRA" numFmtId="0">
      <sharedItems containsBlank="1"/>
    </cacheField>
    <cacheField name="CATALOGO" numFmtId="0">
      <sharedItems containsBlank="1"/>
    </cacheField>
    <cacheField name="RENGLÓN" numFmtId="0">
      <sharedItems containsBlank="1" containsMixedTypes="1" containsNumber="1" containsInteger="1" minValue="1" maxValue="34"/>
    </cacheField>
    <cacheField name="CANTIDAD COMPRADA" numFmtId="0">
      <sharedItems containsString="0" containsBlank="1" containsNumber="1" containsInteger="1" minValue="1" maxValue="12875"/>
    </cacheField>
    <cacheField name="PRECIO UNITARIO" numFmtId="0">
      <sharedItems containsSemiMixedTypes="0" containsString="0" containsNumber="1" minValue="0" maxValue="1413000"/>
    </cacheField>
    <cacheField name="PRECIO TOTAL" numFmtId="164">
      <sharedItems containsString="0" containsBlank="1" containsNumber="1" minValue="0.79" maxValue="15543000"/>
    </cacheField>
    <cacheField name="BIENES EN STOCK" numFmtId="0">
      <sharedItems containsString="0" containsBlank="1" containsNumber="1" containsInteger="1" minValue="0" maxValue="12875"/>
    </cacheField>
    <cacheField name="SALDO EN $" numFmtId="164">
      <sharedItems containsString="0" containsBlank="1" containsNumber="1" minValue="0" maxValue="9144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Angel" refreshedDate="45859.838662615737" refreshedVersion="6" recordCount="1263">
  <cacheSource type="worksheet">
    <worksheetSource ref="A1:J1264" sheet="Stock y Compras"/>
  </cacheSource>
  <cacheFields count="10">
    <cacheField name="RUBRO" numFmtId="0">
      <sharedItems containsBlank="1"/>
    </cacheField>
    <cacheField name="BIEN" numFmtId="0">
      <sharedItems containsBlank="1" count="533">
        <s v="EQUIPO SPLIT DE 4500 FRIGORÍAS - TIPO DE CLIMATIZACIÓNFRIO/CALOR - EFICIENCIA ENERGÉTICA DE CLASE C O MAYOR"/>
        <s v="EQUIPO SPLIT DE 6000 FRIGORÍAS - TIPO DE CLIMATIZACIÓN_x000a_FRIO/CALOR - EFICIENCIA ENERGÉTICA DE CLASE C O MAYOR EN CALEFACCIÓN Y A EN REFRIGERACIÓN - NO CONVERTER"/>
        <s v="ROLLO DE 15 METROS CAÑO DE COBRE DE 5/8"/>
        <s v="ROLLO DE 15 METROS CAÑO DE COBRE DE 3/8"/>
        <s v="ROLLO DE 15 METROS CAÑO DE COBRE DE 1/2"/>
        <s v="ROLLO DE 15 METROS CAÑO DE COBRE DE 1/4"/>
        <s v="ROLLO DE 2 METROS DE TIRA DE AISLACIÓN TÉRMICA PARA CAÑOS DE 5/8"/>
        <s v="ROLLO DE 2 METROS DE TIRA DE AISLACIÓN TÉRMICA PARA CAÑOS DE 3/8"/>
        <s v="ROLLO DE 2 METROS DE TIRA DE AISLACIÓN TÉRMICA PARA CAÑOS DE 1/2"/>
        <s v="ROLLO DE 2 METROS DE TIRA DE AISLACIÓN TÉRMICA PARA CAÑOS DE 1/4"/>
        <s v="CINTA DE PVC PARA REFRIGERACIÓN, SIN ADHESIVO – ROLLO DE 20 METROS"/>
        <s v="MENSULAS PARA AIRE ACONDICIONADO DE 4500 A 6000 FRIGORIAS, 50X50 APROXIMADAMENTE"/>
        <s v="GARRAFA REFRIGERANTE R410"/>
        <s v="GARRAFA REFRIGERANTE R22"/>
        <s v="MANGUERA CRISTAL PARA DESAGÜE DE 5/8&quot; – ROLLO DE 50 METROS (PRECIO POR METRO)"/>
        <s v="TACO DE GOMA, AMORTIGUADOR ANTIVIBRACIÓN – BOLSA X 4 UNIDADES"/>
        <s v="CAJA DE 200 TARUGOS MULTIPROPÓSITOS DE 8MM"/>
        <s v="CAJA DE 200 TARUGOS MULTIPROPÓSITOS DE 10MM"/>
        <s v="CAJA DE 200 TORNILLOS TIRAFONDO PARA TARUGO DE 10MM - PRECIO POR UNIDAD"/>
        <s v="CAJA DE 200 TORNILLOS TIRAFONDO PARA TARUGO DE 8MM"/>
        <s v="CAJA DE 200 ARANDELAS PLANAS PARA TARUGOS DE 10MM"/>
        <s v="CAJA DE 200 ARANDELAS PLANAS PARA TARUGOS DE 8MM"/>
        <s v="ADHESIVO - CEMENTO DE CONTACTO; TIPO: DE CONTACTO, PRESENTACION: ENVASE X 1 L"/>
        <s v="ADHESIVO COLA CARPINTERO BLANCO"/>
        <s v="ARANDELA PLASTICA 1/2&quot;"/>
        <s v="ARANDELA PLASTICA 3/4&quot;"/>
        <s v="ARO GOMA BASE DE INODORO"/>
        <s v="BOYA OBTURADOR UNIVERSAL REGULABLE PARA DEPOSITO EMBUTIR TIPO IDEAL 1450"/>
        <s v="BOYAS FLOTANTE telgopor"/>
        <s v="BOTON PULSADO MOCHILA LATERAL"/>
        <s v="BOTON PARA MOCHILA CUADRADO PLASTICO"/>
        <s v="BOTON PULSADOR MOCHILA SUPERIOR REDONDO"/>
        <s v="BUJE BRONCE REDUCCION DIAMETRO MAYOR 1/4&quot;"/>
        <s v="BUJE BRONCE REDUCCION DIAMETRO MAYOR 3/8&quot;"/>
        <s v="BUJE BRONCE REDUCCION 1/2&quot; M A 3/8&quot; PESTAÑA"/>
        <s v="BUJE HIDROBRONZ REDUCCION 1/2&quot; A 3/8&quot;"/>
        <s v="BUJE HIDROBRONZ REDUCCION 1&quot; A 3/4&quot;"/>
        <s v="CAÑAMO BOLSA X 100 GR"/>
        <s v="CAÑAMO BOLSA GRANDE"/>
        <s v="CAÑAMO BOLSA X 1000 GR"/>
        <s v="CAÑO GALVANIZADO 1/2&quot; X 6,40 M"/>
        <s v="CAÑO GALVANIZADO 3/4&quot; X 6,40 M"/>
        <s v="CAÑO GALVANIZADO 1&quot; X 6,40 M"/>
        <s v="CANO PVC 38/40 X 4 MTS"/>
        <s v="CAÑO PVC X 3,2 MTS   50 MM"/>
        <s v="CAÑO PVC X 4 MTS      60 MM"/>
        <s v="CAÑO PVC X 4 MTS      150 MM"/>
        <s v="Carga De Agua 1/2 PuLG P/mochila Capea O Mónaco"/>
        <s v="CARTUCHO PARA PRESSMA TIC FV (360 361 362) 0360.25.0"/>
        <s v="CANILLA LAVATORIO AUTOMATICA TEMPORIZADA A_x000a_PRESION TIPO FV; PAZZA; GENEBRE O CALIDAD_x000a_SUPERIOR. LARGO CANILLA 10 CM (+/- 10%), ALTURA CANILLA 10 CM (+/- 20%)"/>
        <s v="CODO BRONCE M/H 3/8&quot;"/>
        <s v="CODO BRONCE M/M 3/8&quot;"/>
        <s v="CODO BRONCE H/H 3/8&quot;"/>
        <s v="CODO HB M/E 1/2 X 1/2"/>
        <s v="CODO HB  E/E  1/2&quot;"/>
        <s v="CODO HB E/H 3/4&quot;"/>
        <s v="CODO HB  E/E  3/4&quot; A 1/2&quot; REDUCCION"/>
        <s v="CODO HB H/H 1&quot;"/>
        <s v="CODO GALVANIZADO H/M 1/2&quot;"/>
        <s v="CODO GALVANIZADO H/H 3/4&quot;"/>
        <s v="CODO GALVANIZADO M/H 3/4&quot;"/>
        <s v="CODO GALVANIZADO H/H 1&quot;"/>
        <s v="CODO GALVANIZADO M/H 1&quot;"/>
        <s v="CODO PVC DIAMETRO 110 MM 45° "/>
        <s v="CODO PVC DIAMETRO 150 MM 45° "/>
        <s v="CODO PVC DIAMETRO 150 MM 90° "/>
        <s v="CONEXIONES P/ SANITARIOS; TIPO FLEXIBLE MALLADO -_x000a_MATERAIL ACERO INOXIDABLE - GOMA - LONG. DE CUERPO 40 CM - TIPO DE CONEXIÓN 1/2 PULGADAS"/>
        <s v="CONEXIONES P/ SANITARIOS; TIPO FLEXIBLE MALLADO -_x000a_MATERAIL ACERO INOXIDABLE - GOMA - LONG. DE CUERPO 30 CM - TIPO DE CONEXIÓN 1/2 PULGADAS"/>
        <s v="CINTAS DESTAPA CAÑERÍAS; MATERIAL: ACERO, LONG. DE_x000a_CUERPO: 15 M"/>
        <s v="CINTA DE TEFLÓN X ROLLO, MEDIDA 3/4 X 20 MTS."/>
        <s v="CONEXIÓN FLEXIBLE PARA MINGITORIO"/>
        <s v="CUPLA BRONCE 1&quot; PASANTE "/>
        <s v="CUPLA BRONCE 3/4&quot; PASANTE "/>
        <s v="CUPLA HB 1/2&quot; PASANTE "/>
        <s v="CUPLA HB C/ TOPE 1/2&quot;"/>
        <s v="CUPLA HB 3/4&quot; PASANTE "/>
        <s v="CUPLA HB C/ TOPE 3/4&quot;"/>
        <s v="CUPLA REDUCCION HB 3/4&quot; A 1/2&quot;"/>
        <s v="CUPLA REDUCCION HB 1&quot; A 3/4&quot;"/>
        <s v="CUPLA HB C/ TOPE 1&quot;"/>
        <s v="CUPLA HB PASANTE 1&quot; "/>
        <s v="CUPLA GALVANIZADA 1/2&quot;"/>
        <s v="CUPLA GALVANIZADA 3/4&quot;"/>
        <s v="CUPLA GALVANIZADA 1&quot;"/>
        <s v="CUPLA GALVANIZADA 1/2&quot; A 3/8&quot; REDUCCION"/>
        <s v="CUPLA PVC RED.2 A 1 1/2"/>
        <s v="CUPLA PVC DIAMETRO 40 MM"/>
        <s v="CUPLA PVC DIAMETRO 60 MM"/>
        <s v="CUPLA PVC DIAMETRO 110 MM"/>
        <s v="CUPLA PVC DIAMETRO 150 MM"/>
        <s v="CURVA PVC DIAMETRO 150 MM 45º "/>
        <s v="CURVA PVC DIAMETRO 110 MM 90º "/>
        <s v="CURVA PVC DIAMETRO 150 MM 90º "/>
        <s v="Descarga Mochila Capea Roca Superior Cromado Repuesto Eco_x000a_Flush"/>
        <s v="DEPOSITO P/ MINGITORIO PVC X 8 LTS"/>
        <s v="ELECTRODO 2 MM "/>
        <s v="ELECTRODO 2,5 MM"/>
        <s v="ESTERINA EN PANES"/>
        <s v="GOMA FUELLE P/ INODORO CORTAS"/>
        <s v="GOMA FUELLE PARA INODORO (LARGO)"/>
        <s v="GOMA RIGIDAS P/INODORO NEGRAS"/>
        <s v="GRASA GRAFITADA  POTE X 120 GRS"/>
        <s v="GRASA GRAFITADA  POTE X 1000 GRS"/>
        <s v="KIT O'RING Y RETENES PARA VALVULA DESCARGA INODORO FV 368 (367.17)"/>
        <s v="LITARGILIO  X  250 GRS"/>
        <s v="LLAVE ESFERICA BRONCE 1/2&quot;"/>
        <s v="LLAVE ESFERICA METALICA 1&quot;"/>
        <s v="MASILLA EPOXI PARA SANITARIO X 500 GRS. MARCA PARSECS, POXILINA O SIMILAR"/>
        <s v="MINGITORIO DE LOZA BLANCO"/>
        <s v="NIPLE BRONCE CONEXIÓN P/ DEPOSITO 1/2&quot;"/>
        <s v="NIPLE BRONCE 1/2&quot; X 10 CM"/>
        <s v="NIPLE BRONCE 1/2&quot; X 12 CM"/>
        <s v="NIPLE BRONCE 1/2&quot; X 15 CM"/>
        <s v="NIPLE GALVANIZADO 1/2&quot; X 8 CM"/>
        <s v="NIPLE GALVANIZADO 1/2&quot; X 12 CM"/>
        <s v="NIPLE GALVANIZADO 1/2&quot; X 15 CM"/>
        <s v="NIPLE GALVANIZADO 3/4&quot; X 8 CM"/>
        <s v="NIPLE GALVANIZADO 3/4&quot; X 10 CM"/>
        <s v="NIPLE GALVANIZADO 3/4&quot; X 12 CM"/>
        <s v="NIPLE GALVANIZADO 3/4&quot; X 15 CM"/>
        <s v="PAÑO PARA SOLDADOR X PAQUETE"/>
        <s v="PROLONGACION P/ CANILLA 1/2&quot; X 10 CM"/>
        <s v="RESPUESTO FV CARTUCHO PARA PRESSMA"/>
        <s v="PISTON COMPLETO PARA PRESSMA TIC 0361.01.20.0)"/>
        <s v="REJILLA 8 X 8 CM ABIERTA"/>
        <s v="REJILLA CIEGA ACERO 10 X 10 CM"/>
        <s v="ROSCA C/ TUERCA BRONCE 1&quot;"/>
        <s v="ROSCA C/ TUERCA GALVANIZADA 3/4&quot;"/>
        <s v="ROSCA C/ TUERCA GALVANIZADA 1&quot;"/>
        <s v="Repuesto Válvula Vf051 Descarga Mochila Ferrum"/>
        <s v="Repuesto Deposito Mochila Entrada Agua Dealer 1/2 Boya 4110"/>
        <s v="SIFON DE GOMA SIMPLE P/ 1 BACHA"/>
        <s v="SIFON DE GOMA DOBLE P/ 2 BACHAS"/>
        <s v="SILICONA TRANSPARENTE"/>
        <s v="SOPAPA DE GOMA GRANDE"/>
        <s v="SOPAPA DE GOMA CHICA"/>
        <s v="SELLADOR SILICONA UNIVERSAL TRANSPARENTE CARTUCHO X 280 GRS."/>
        <s v="SELLADOR DE ROSCAS SANITARIAS CAUCHO X 125 CC TIPO HYDRO 3"/>
        <s v="TORNILLO PARA FIJACIÓN DE INODORO"/>
        <s v="TAPAS P/ INODORO UNIVERSAL, MATERIAL: PVC REFORZADO"/>
        <s v="TAPA PLASTICA PARA FRENTE DE DEPOSITO, PARA EMBUTIR CON BOTON A RESORTE DE BRONCE CROMADO Y_x000a_SOBRETAPA PLASTICA O METALICA"/>
        <s v="TAPA CIEGA P/INSPECCION 40 X 40 "/>
        <s v="TAPA GALVANIZADA 1/2&quot;"/>
        <s v="TAPA GALVANIZADA 3/4&quot;"/>
        <s v="TAPA GALVANIZADA 1&quot;"/>
        <s v="TAPON GALVANIZADO 3/4&quot;"/>
        <s v="TAPON GALVANIZADO 1&quot;"/>
        <s v="TAPON PVC 3/4&quot;"/>
        <s v="TARUGOS DE NYLON CON TOPE N° 6"/>
        <s v="TARUGOS DE NYLON CON TOPE N° 8"/>
        <s v="TARUGOS DE NYLON CON TOPE N° 10"/>
        <s v="TARUGO ESPIRAL PARA PLACA DE YESO"/>
        <s v="TEE BRONCE 1/2&quot; X 1/2&quot;"/>
        <s v="TEE BRONCE REDUCCION 3/4&quot;  A  1/2&quot;  H / H"/>
        <s v="TEE HB 1/2&quot; E - E"/>
        <s v="TEE HB 1/2&quot; E - H"/>
        <s v="TEE HB 3/4&quot; E - E"/>
        <s v="TEE HB 3/4&quot; E - M"/>
        <s v="TEE GALVANIZADA 1/2&quot; - 1/2&quot; - 1/2&quot;"/>
        <s v="TEE GALVANIZADA 3/4&quot; - 1/2&quot; - 3/4&quot;"/>
        <s v="TEE GALVANIZADA 3/4&quot; - 3/4&quot; - 3/4&quot; HHH"/>
        <s v="TEE GALVANIZADA 1&quot; - 3/4&quot; - 1&quot;  H H"/>
        <s v="TEE GALVANIZADA 1&quot; - 1&quot; - 1&quot; H H"/>
        <s v="TEE EPOXI 1/2&quot; - 1/2&quot; - 1/2&quot;  H H"/>
        <s v="TEFLON 1/2&quot; ROLLO"/>
        <s v="TELA ESMERIL 60"/>
        <s v="TORNILLOS FIX CABEZA FRESADA RANURA PHILLIPS_x000a_ACABADO ZINCADO AMARILLO 4 X 35 MM"/>
        <s v="TORNILLOS FIX CABEZA FRESADA RANURA PHILLIPS_x000a_ACABADO ZINCADO AMARILLO 5 X 45 MM"/>
        <s v="TORNILLOS FIX CABEZA FRESADA RANURA PHILLIPS_x000a_ACABADO ZINCADO AMARILLO 6 X 60 MM"/>
        <s v="TORNILLO DE BRONCE PARA FIJAR MOCHILA"/>
        <s v="TUBO HB 1/2&quot; H"/>
        <s v="TUBO HB 1/2&quot; M"/>
        <s v="TUBO HB 3/4 M"/>
        <s v="UNIÓN DOBLE GALVANIZADO 3/4&quot;"/>
        <s v="UNIÓN DOBLE PVC EN T DIAMETRO 40 MM"/>
        <s v="UNIÓN DOBLE PVC EN T DIAMETRO 60 MM"/>
        <s v="UNIÓN DOBLE PVC EN T DIAMETRO 110 MM"/>
        <s v="UNION DOBLE PVC EN T DIAMETRO 150 MM"/>
        <s v="Válvula Descarga Mochila Deposito Para Roca Capea"/>
        <s v="VALVULA NEOPRENO S/ VASTAGO 3/4&quot;"/>
        <s v="VALVULA NEOPRENO S/ VASTAGO 1&quot;"/>
        <s v="VALVULA NEOPRENP S/BASTAGO 1/2&quot;"/>
        <s v="VALVULA NEOPRENO C/ VASTAGO 1/2&quot;"/>
        <s v="VALVULA NEOPRENO C/ VASTAGO 3/4&quot;"/>
        <s v="VALVULA NEOPRENO C/ VASTAGO 1&quot;"/>
        <s v="VALVULA TIPO IMSA TUERCA HEMBRA PARA PARED"/>
        <s v="VALVULA AGUA WJ211 TIPO FLUMAC ROSCA M"/>
        <s v="VARILLA ROSCADA 1/4 X 1 M"/>
        <s v="Válvula Automática + Tecla De Descarga – Clean- Combo Deca "/>
        <s v="VALVULAS P/MINGITORIOS; ACCIONAMIENTO: MANUAL, VOLUMEN DE DESCARGA: REGULABLE TEMPORIZADORA,_x000a_MATERIAL: BRONCE CROMADO"/>
        <s v="ADAPTADOR DE 2 REDONDO A 2 PLANO "/>
        <s v="ADAPTADOR DE 3 PLANO A 2 REDONDO"/>
        <s v="BANDEJA PORTA CABLE"/>
        <s v="BASTIDORES DE CHAPA"/>
        <s v="Bastidor rectangular – Tipo Jeluz"/>
        <s v="BATERIAS RECARG. GEL P/EQUIPO ALARMA"/>
        <s v="CABLE UNIPOLAR 1X 1,50"/>
        <s v="CABLE UNIPOLAR 1 X 2 ,50 TRANSP. X250MTS."/>
        <s v="CABLE UNIPOLAR 1 X 4"/>
        <s v="CABLE UNIPOLAR 1 X 6"/>
        <s v="CABLE UNIPOLAR 1 x 10 mm                                                  MTS"/>
        <s v="CABLE SINTENAX 4 X1 6 mm                                                   MTS"/>
        <s v="CABLE SUBTERRANEO 3X70 + 1X35"/>
        <s v="CAJA PARA EMBUTIR TIPO MIGNON PLASTICA"/>
        <s v="CAMPANILLA PARA TIMBRE"/>
        <s v="CAPACITOR DOBLE 50 + 4uf 450 Vca"/>
        <s v="CAPACITOR MARCHA 4 Mf X 400 CA"/>
        <s v="Cable canal - PVC - formato lineal - 100 mm x 50 mm sin adhesivo - color blanco x 2 metros"/>
        <s v="Cable canal - PVC - formato lineal - 18 mm x 21 mm con adhesivo - color blanco"/>
        <s v="Cinta Aisladora 3m Tipo Temflex 1550 X 20 Mts Color negra"/>
        <s v="CINTA AISLADORA TELA NEGRA"/>
        <s v="CINTA AISLADORA AUTOSOLDABLE"/>
        <s v="Cable Unipolar – Tipo Trefilcon 2.5 Mm Normalizado Rollo 100 Metros Cubierta Marrón (PRECIO POR METRO) "/>
        <s v="Cable Unipolar – Tipo Trefilcon 2.5 Mm Normalizado Rollo 100 Metros Color De La Cubierta Celeste"/>
        <s v="Conductor tipo taller - 3 x 2,5 mm2 - aislación PVC, normalizado Tipo Pirelli o superior x 100 mts. (PRECIO POR METRO) "/>
        <s v="CONTACTORES 40A TRIPOLAR"/>
        <s v="CONTACTORES 50A TRIPOLAR"/>
        <s v="CONTACTORES 65A TRIPOLAR"/>
        <s v="CONTACTORES 95A TRIPOLAR"/>
        <s v="DETECTOR DE VOLTAJE"/>
        <s v="DVL1000-9 Buscapolo Inductivo Digital Lápiz Detector De Tensión 1000v"/>
        <s v="EQUIPO DE ENCENDIDO"/>
        <s v="FICHA HEMBRA 2 PATAS REDONDAS P/PROLONGACION"/>
        <s v="FICHA MACHO 3 PATAS CHATAS C/TIERRA P/PROLONGACION "/>
        <s v="FOTOCONTROLES FOTOCELULAS"/>
        <s v="Fuente driver para panel led 24w (28x28cm)"/>
        <s v="Fuente driver para panel led NRV-PL 32005 40w (60x60cm)"/>
        <s v="FUSIBLE NH  100 A   500 V 120 kA "/>
        <s v="FUSIBLE NH 500 V 500 Amp 120 kA LARGO"/>
        <s v="GRAMPAS KALOP N° 5"/>
        <s v="GRAMPAS KALOP N° 8"/>
        <s v="GRAMPAS KALOP N° 10"/>
        <s v="INTERRUPTOR COMANDO ESTRIBO 600 A"/>
        <s v="Lampara Led 9w / 10w Tipo Foco 220v (E27) - luz fría"/>
        <s v="Lampara Dicroica Led 7w Gu10 220v Gu 10 - luz fría"/>
        <s v="LAMPARA TUBO HALOGENO 400W MERCURIO"/>
        <s v="LLAVE TREMICA 2 X 40 A"/>
        <s v="LLAVE TERMICA 3 X 32 A"/>
        <s v="LLAVE TERMICA 3 X 40 A"/>
        <s v="LLAVE TERMICA 3 X 50 A"/>
        <s v="LLAVE TERMICA 3 X 63 A"/>
        <s v="LLAVE TERMICA 3 X 100 A"/>
        <s v="MODULO INTERRUPTOR TECLA PARA EMBUTIR"/>
        <s v="MODULO TOMA PARA EMBUTIR CON TIERRA"/>
        <s v="Módulo 1 toma para embutir - 10 A - Tipo línea Siglo XXI"/>
        <s v="Módulo punto simple – Tipo Jeluz platinum"/>
        <s v="MODULO TOMA CORRIENTE DE 10 Amp"/>
        <s v="Módulo punto ciego – Tipo Jeluz platinum"/>
        <s v="Panel Plafón Led Embutir 60x60 cm Cuadrado 40w Luz Fría Empotrable"/>
        <s v="PILAS DURACELL AA"/>
        <s v="Plafón listón doble para 2 tubos led 120cm 18w 220v - Luz fría"/>
        <s v="Pinza amperométrica digital Uni-T UT204+ 600ª"/>
        <s v="Pack x 50 mts de cable taller Tpr 3 x 4 mm Tipo Kalop"/>
        <s v="Plafón Aplicar Led 60x60 48w Frio"/>
        <s v="Periscopio Piso/pared con 4 Tomas 10 Amp Triangulo"/>
        <s v="Precinto plástico - longitud 200 mm - color negro x 100"/>
        <s v="Precinto plástico - longitud 300 mm - color negro x 100"/>
        <s v="PULSADOR PARA TIMBRE EMBUTIR"/>
        <s v="REACTANCIAS  ELECTRICA PARA TUBOS 18/20 W"/>
        <s v="REACTANCIAS ELCTRICA PARA TUBOS 27/30 W"/>
        <s v="REACTANCIAS ELECTRICA 38/40W"/>
        <s v="REACTANCIAS ELCTRICA PARA TUBOS 70 W"/>
        <s v="REACTANCIAS ELECTRICA PARA TUBOS 150 W"/>
        <s v="RECATANCIA ELECTRONICA 30 W"/>
        <s v="REACTANC.ELECTRONICA 36/40W"/>
        <s v="REACTANCIA ELECTRONICA 55W"/>
        <s v="Spot Dicroica Led Completa Acero Blanco 7w / 6w Embutir Móvil - Luz Fría"/>
        <s v="SOPORTE LISTON PARA 2 TUBOS"/>
        <s v="TAPA PLASTICA BLANCA RECTANGULAR 1 RANURA"/>
        <s v="TAPA PLASTICA BLANCA RECTANGULAR 2 RANURAS"/>
        <s v="TAPA PLASTICA BLANCA RECTANGULAR 3 RANURAS"/>
        <s v="TAPA PLASTICA BLANCA BIPOLAR C/ TIERRA COMBINADA"/>
        <s v="TAPA PLASTICA BLANCA RECTANGULAR  CIEGA"/>
        <s v="TARUGO FISHER 8 MM SIN TOPE"/>
        <s v="TARUGO FISHER 10 MM"/>
        <s v="TARUGO FISHER 12 MM"/>
        <s v="TARUGO FISHER C/TOPE  5 MM"/>
        <s v="TARUGO FISHER C/ TOPE  10 MM"/>
        <s v="TORNILLO PARKER P/TARUGO DEL 6&quot;"/>
        <s v="TORNILLO PARKER P/TARUGO DEL 8&quot;"/>
        <s v="TORNILLO PARA BASTIDOR LARGO BOLSAS"/>
        <s v="TRANFORMADOR P/DICROICA 12 V X 50 W"/>
        <s v="TUBOS 18/20  W"/>
        <s v="TUBOS 36/40"/>
        <s v="TUBOS 55W"/>
        <s v="TUBOS 105 W"/>
        <s v="Tubo led 18w T8 220v (reemplazo flurescente 36w) 120 cm - luz fría"/>
        <s v="Tapa rectangular - Tipo Jeluz platinum"/>
        <s v="Zócalo Gu10 220v Dicroicas Ar111 Lámparas"/>
        <s v="ZOCALO PARA TUBOS 105 W (JUEGO)"/>
        <s v="Zapatilla 4 tomas con cable 2,5 / 3 mts. - con llave de corte (Tipo Kalop, Richi, Cambre o calidad superior)"/>
        <s v="CEPILLO ALAMBRE ACERO CON MANGO"/>
        <s v="CINTA ENMASCARAR X 12 MM"/>
        <s v="Diluyente - Envase x 4L"/>
        <s v="Enduido - Lata x 10L"/>
        <s v="Esmalte sintético blanco - Lata x 4L"/>
        <s v="ENDUIDO PLASTICO AL AGUA LATA X 20 KG"/>
        <s v="ENTONADOR X 120 CC SIENA"/>
        <s v="ENTONADOR X 120 CC AMARILLO"/>
        <s v="ENTONADOR X 120 CC OCRE"/>
        <s v="FIBRADO P/TECHO IMPERMEABILIZANTE LATA 20 KG"/>
        <s v="Fijador - Lata x 10L"/>
        <s v="FIJADOR AL ACEITE LATA X 20 L"/>
        <s v="FIJADOR AL AGUA LATA X 20 L"/>
        <s v="Látex interior tipo SW7005 - Lata x 20L"/>
        <s v="Látex interior tipo SW7010 - Lata x 20L"/>
        <s v="Laca exterior brillante melacrílica - Lata x 0,5 L"/>
        <s v="LIJA Nº 400"/>
        <s v="MASILLA PLASTICA LATA X 1 KG GRIS"/>
        <s v="Pintura asfaltica - Lata x 18L"/>
        <s v="Pintura alto tránsito (Amarillo) - Lata x 4L"/>
        <s v="Pintura alto tránsito (Negro) - Lata x 4L"/>
        <s v="PINTURA ESMALTE HIDROESMALTE X 4 LITROS"/>
        <s v="PINTURA LATEX AL AGUA X 20 LITROS"/>
        <s v="Papel de Lija N° 80 x 50"/>
        <s v="Papel de Lija N° 100 x 50"/>
        <s v="Papel de Lija N° 120 x 50"/>
        <s v="Pincel cerda larga N° 20"/>
        <s v="Pincel cerda larga N° 25"/>
        <s v="Pincel cerda larga N° 40"/>
        <s v="Rollo de cartón corrugado 1 m x 30 metros"/>
        <s v="REMOVEDOR X 4 LITROS"/>
        <s v="Rodillo de lana de 22 cm"/>
        <s v="VIRUTA EN BOLSAS"/>
        <s v="YESO BOLSA X 10 KG"/>
        <s v="ABROCHADORA 21/6 pinza"/>
        <s v="ABROCHADORA 10/50 pinza"/>
        <s v="ABROCHADORA N°23 pinza"/>
        <s v="ABROCHADORA ESCRITORIO 64"/>
        <s v="Adhesivo tipo boligoma x 30 ml."/>
        <s v="ADHESIVO VINILICO X 250 CC"/>
        <s v="ADHESIVO VINILICO X 30 ML"/>
        <s v="ADHESIVO BARRA"/>
        <s v="ADHESIVO TRANSPARENTE X50 ML"/>
        <s v="ARANDELAS DE CARTON"/>
        <s v="ARCHIVOS PLASTICOS"/>
        <s v="ALMOHADILLA PARA SELLOS"/>
        <s v="Bandas elásticas grandes"/>
        <s v="Bibliorato tamaño carta"/>
        <s v="Bibliorato tamaño oficio"/>
        <s v="Bolígrafo azul"/>
        <s v="BOLIGRAFO NEGRO"/>
        <s v="Bolígrafo rojo"/>
        <s v="BOLIGRAFO VERDE"/>
        <s v="BROCHE P/ABROCHADORA 21/6"/>
        <s v="Broches P/abrochadora 10"/>
        <s v="BROCHE P/ABROCHADORA 64"/>
        <s v="BROCHE P/ABROCHADORA N° 23/10   23/24"/>
        <s v="BROCHE DORADO N° 4"/>
        <s v="BROCHE DORADO Nº 8"/>
        <s v="BROCHE DORADO Nº 12"/>
        <s v="BROCHE DORADO N° 14"/>
        <s v="BROCHE APRIETA PAPEL 41 mm"/>
        <s v="BROCHE APRIETA PAPEL 25 mm"/>
        <s v="Cajas plásticas"/>
        <s v="CORRECTOR EN LAPIZ"/>
        <s v="CARPETA CARATULA A4"/>
        <s v="CARPETA CARTULINA OFICIO  26X36"/>
        <s v="Carpeta presupuesto tapa transparente A4"/>
        <s v="Carpeta tres solapas"/>
        <s v="CARPETA TAPA PLASTICA TRANSP. OFICIO"/>
        <s v="CARPET TRANSP. A 4 TIPO SOBRE"/>
        <s v="CARPETA P/FICHERO CARTULINA OFICIO INTERNA"/>
        <s v="CARPETA OFICIO CON OREJAS"/>
        <s v="CARPETA 3 SOLAPAS CON ELASTICO"/>
        <s v="CARPETA C/BROCHE NEPACO"/>
        <s v="CARPETA COLGANTE CON VISOR"/>
        <s v="Cinta para embalar Marrón 5 cm x 50 mts"/>
        <s v="Cinta para embalar Transparente 5 cm x 50 mts"/>
        <s v="CINTA DE PAPEL ENMASCARAR 48 mm x 50 mts"/>
        <s v="Clips N° 3"/>
        <s v="CUADERNO CORRESPONDENCIA"/>
        <s v="CUADERNO INDICE"/>
        <s v="Cuaderno tapa dura rayado x 50 hojas"/>
        <s v="Cuaderno tipo universitario rayado"/>
        <s v="Cuaderno tipo universitario cuadriculado"/>
        <s v="Cúter"/>
        <s v="Folio A4 paquete x 100 unidades"/>
        <s v="FOLIOS OFICIO"/>
        <s v="GOMA BORRA TINTA Y LAPIZ"/>
        <s v="GOMA BORRAR LAPIZ"/>
        <s v="Hilo Plástico"/>
        <s v="LAPIZ NEGRO 2H"/>
        <s v="LAPIZ NEGRO 2 B"/>
        <s v="LAPIZ  2HB"/>
        <s v="Libro de actas 400 folios"/>
        <s v="Lomo para Bibliorato (paquete x 20 unidades)"/>
        <s v="Máquina perforadora grande"/>
        <s v="MARCADOR PIZARRA NEGRO"/>
        <s v="MARCADOR PIZARRA ROJO"/>
        <s v="Marcador al agua azul"/>
        <s v="Marcador al agua negro"/>
        <s v="Marcador al agua rojo"/>
        <s v="Marcador al agua verde"/>
        <s v="MARCADOR TRAZO FINO AZUL"/>
        <s v="MARCADOR INDELEBLE AZUL"/>
        <s v="MARCADOR INDELEBLE NEGRO"/>
        <s v="MARCADOR NEGRO AL SOLVENTE"/>
        <s v="MARCADOR AZUL AL SOLVENTE"/>
        <s v="MARCADOR CELESTE AL SOLVENTE"/>
        <s v="MARCADOR ROJO AL SOLVENTE"/>
        <s v="MARCADOR VERDE AL SOLVENTE"/>
        <s v="MARCADOR CELESTE AL SOVENTE"/>
        <s v="Papel obra A4"/>
        <s v="PAPEL OBRA OFICIO"/>
        <s v="PAPEL OBRA A3 80 grs"/>
        <s v="PAPEL CARBONICO"/>
        <s v="PAPEL CORRECTOR PARA MAQ ESCRIBIR"/>
        <s v="PAPEL PARA MAQUINA DE SUMAR"/>
        <s v="PORTA CINTA CHICO"/>
        <s v="PORTA CINTA GRANDE"/>
        <s v="PORTA LAPICES"/>
        <s v="PORTA TACOS  9 X9"/>
        <s v="PORTACLIPS PLASTICO"/>
        <s v="REGLA PLASTICA  X 30 CMTS"/>
        <s v="REGLAT/PLANA METAL 100cm"/>
        <s v="REGLA T/PLANA METAL 50 cm"/>
        <s v="REPUESTO HOJA DE CUTER"/>
        <s v="Resaltadores color amarillo"/>
        <s v="Resaltadores color verde"/>
        <s v="Resaltadores color naranja"/>
        <s v="Resaltadores color rosa"/>
        <s v="Resaltadores color celeste"/>
        <s v="SACABROCHES PLASTICO "/>
        <s v="Sacapuntas"/>
        <s v="SELLO FECHADOR"/>
        <s v="SELLO NUMERADOR"/>
        <s v="SEPARADOR A4 JGO. X 5 UNIDADES"/>
        <s v="SOBRE BLANCO 11X 22 CON MEMBRETE"/>
        <s v="SOBRE BLANCO 15X23 SIN MEMBRETE"/>
        <s v="SOBRE BLANCO 15 X 23 CON MEMBRETE"/>
        <s v="SOBRE BLANCO 12 X 23 SIN MEMBRETE"/>
        <s v="SOBRE BLANCO KRAFT 16 X 22 CON MEMBRETE"/>
        <s v="SOBRE BLANCO KRAFT 25 X 20 CON MEMBRETE"/>
        <s v="SOBRE BLANCO KRAFT 24 X 30 SIN MEMBRETE"/>
        <s v="SOBRE KRAFT A4 MARRON 23 X 32 S/MEMBRETE"/>
        <s v="SOBRE KRAFT OFICIO MARRON 23x 36 S/MEMBRETE"/>
        <s v="SOBRE MADERA 27 X 36 CON MEMBRETE"/>
        <s v="SOBRE MADERA 30 X 40 CON MEMBRETE"/>
        <s v="SOBRE BOLSA MADERA 37 X 45 SIN MEMBRETE "/>
        <s v="Tacos de colores 9 x 9"/>
        <s v="TIJERAS CHICA"/>
        <s v="Tijeras"/>
        <s v="TINTA NEGRA PARA SELLOS"/>
        <s v="TINTA AZUL PARA SELLOS"/>
        <s v="ACOPLE RECTO 10 X 20 "/>
        <s v="ACOPLE RECTO 40 X 16 "/>
        <s v="CODO EXTERNO 20X10"/>
        <s v="TIRAS PISO "/>
        <s v="TIRAS 21 x 18 m.m."/>
        <s v="TIRAS 10 X 20"/>
        <s v="TIRAS 50X100"/>
        <s v="TIRAS 14 X 7"/>
        <s v="DERIVACION T 10 X 20 "/>
        <s v="BORCEGUI SUELA GOMA CAÑA LARGA"/>
        <s v="BUZO AZUL C/LOGO MINISTERIO DEL INTERIOR"/>
        <s v="CALZADO SEGURIDAD C/PUNTA DE ACERO"/>
        <s v="CALZADO PARA HOMBRE"/>
        <s v="CALZADO PARA DAMA"/>
        <s v="CAMISA BLANCA PARA MOZA"/>
        <s v="CAMISA BLANCA DE MUJER C/LOGO M/LARGA"/>
        <s v="CAMISA BLANCA VESTIR DE HOMBRE"/>
        <s v="CAMISA BLANCA HOMBRE C/LOGO"/>
        <s v="CAMISA CELESTE VESTIR"/>
        <s v="CAMISA DE TRABAJO HOMBRE CARGO C/ BEIGE"/>
        <s v="CAMISA TRABAJO AZULINO"/>
        <s v="CAMISA TRABAJO BLANCA"/>
        <s v="CAMISA BLANCA M/CORTA  CON LOGO VIVIENDA"/>
        <s v="CAMISA BLANCA M/LARGA CON LOGO VIVIENDA"/>
        <s v="CAMPERA CON LOGO MINISTERIO Y VIVIENDA"/>
        <s v="CAMPERA IMPERMEABLE C/CAPUCHA"/>
        <s v="CARDIGAN CON LOGO MINISTERIO"/>
        <s v="CASCOS SEGURIDAD"/>
        <s v="CHALECO MOZO NEGRO"/>
        <s v="CHOMBA AZUL C/LOGO MINISTERIO DEL INTERIOR"/>
        <s v="CHOMBAS CON LOGO MINISTERIO Y VIVIENDA"/>
        <s v="CORBATA AZUL"/>
        <s v="DELANTAL BLANCO COCINA"/>
        <s v="PANTALON BLANCO TRABAJO"/>
        <s v="PANTALON NEGRO DE GABARDINA PARA MOZO"/>
        <s v="PANTALON NEGRO VESTIR HOMBRE"/>
        <s v="PANTALON NEGRO PARA MOZA"/>
        <s v="PANTALON DE TRABAJO CARGO COLOR BEIGE"/>
        <s v="POLAINAS DESCARNE PARA SOLDADOR"/>
        <s v="PULLOVER LANA"/>
        <s v="SWEATER CON LOGO"/>
        <s v="SACO CRUZADO DE VESTIR"/>
        <s v="SACO MOZO NEGRO"/>
        <s v="CAÑO 20 MM X 4 MTS"/>
        <s v="CAÑO 25 MM X 4 MTS"/>
        <s v="CAÑO 32 MM X 4 MTS"/>
        <s v="CODO 90 º X 25 MM"/>
        <s v="CODO 90 º X 32 MM"/>
        <s v="CODO 90 º X 25 MM X 1/2&quot; C/REDUCCION HEMBRA"/>
        <s v="CODO 90 º X 25 MM X 3/4&quot; C/REDUCCION HEMBRA"/>
        <s v="CODO 45 º X 20 MM"/>
        <s v="CODO 45 º X 25 MM"/>
        <s v="CODO 45 º X 32 MM"/>
        <s v="CUPLA  REDUCCION 25 MM A 20 MM"/>
        <s v="CUPLA  REDUCCION 32 MM A 20 MM"/>
        <s v="CUPLA  REDUCCION 32 MM A 25 MM"/>
        <s v="REDUCCION X 25 MM X 1/2&quot; MACHO"/>
        <s v="REDUCCION EN T 20 MM X 1/2"/>
        <s v="REDUCCION EN T X 25 MM X 3/4&quot; MACHO "/>
        <s v="REDUCCION X 32 MM X 1&quot; MACHO"/>
        <s v="REDUCCION X 25 MM X 1/2&quot; HEMBRA"/>
        <s v="REDUCCION X 25 MM X 3/4&quot; HEMBRA"/>
        <s v="REDUCCION X 32 MM X 1&quot; HEMBRA"/>
        <s v="TAPA DE 25 MM"/>
        <s v="TAPA DE 32 MM"/>
        <s v="TAPON DE 3/4&quot;"/>
        <s v="UNION NORMAL 20 MM"/>
        <s v="UNION NORMAL 25 MM"/>
        <s v="UNION NORMAL 32 MM"/>
        <s v="UNION EN T REDUCCIÒN 25 A 20 MM "/>
        <s v="UNION EN T REDUCCIÒN 32 A 20 MM"/>
        <s v="UNION EN T REDUCCIÒN 32 A 25 MM"/>
        <s v="UNION DOBLE MIXTA 20 MM  X 1/2&quot;"/>
        <s v="UNION DOBLE MIXTA 25 MM  X 3/4&quot;"/>
        <s v="UNION DOBLE MIXTA 32 MM X 1&quot;"/>
        <s v="AMOLADORA ANGULAR DE BANCO 150 MM 250 WATTS"/>
        <s v="BARBIJOS"/>
        <s v="CINTA DESTAPA CAÑERIA X 15 MTS METALICA"/>
        <s v="CINTA DESTAPA CAÑERIA X 10 MTS PLASTICA"/>
        <s v="CHISPERO PARA AUTÒGENA"/>
        <s v="DESTORNILLADORES CHICOS (3 PHILIPS + 3 PLANOS) "/>
        <s v="DISCO P/AMOLADORA TIPO ABRASIVO"/>
        <s v="FRATACHO"/>
        <s v="HOJA PARA SIERRA PARA CALADORA TIPO EXPERTO"/>
        <s v="PINZA PELA CABLE"/>
        <s v="RUEDA DE GOMA"/>
        <s v="SIERRA CIRCULAR"/>
        <m/>
      </sharedItems>
    </cacheField>
    <cacheField name="ORDEN DE COMPRA" numFmtId="0">
      <sharedItems containsBlank="1" count="28">
        <s v="81-0080-OC24"/>
        <s v="81-0081-OC24"/>
        <s v="81-0082-OC24"/>
        <s v="81-0054-OC24"/>
        <s v="EXISTENCIA PREV. 1"/>
        <s v="EXISTENCIA PREV. 2"/>
        <s v="81-0049-OC24"/>
        <s v="81-0050-OC24"/>
        <s v="81-0052-OC24"/>
        <s v="EXISTENCIA PREV. 3"/>
        <s v="81-0053-OC25"/>
        <s v="81-0051-OC24"/>
        <s v="81-0055-OC24"/>
        <s v="81-0058-OC24"/>
        <s v="81-0057-OC24"/>
        <s v="81-0059-OC24"/>
        <s v="EXISTENCIA PREV. 4"/>
        <s v="81-0047-OC24"/>
        <s v="81-0048-OC24"/>
        <s v="81-0037-OC24"/>
        <s v="81-0038-OC24"/>
        <s v="81-0039-OC24"/>
        <s v="81-0040-OC24"/>
        <s v="81-0041-OC24"/>
        <s v="81-0042-OC24"/>
        <s v="81-0043-OC24"/>
        <s v="81-0018-OC25"/>
        <m/>
      </sharedItems>
    </cacheField>
    <cacheField name="CATALOGO" numFmtId="0">
      <sharedItems containsBlank="1"/>
    </cacheField>
    <cacheField name="RENGLÓN" numFmtId="0">
      <sharedItems containsBlank="1" containsMixedTypes="1" containsNumber="1" containsInteger="1" minValue="1" maxValue="34"/>
    </cacheField>
    <cacheField name="CANTIDAD COMPRADA" numFmtId="0">
      <sharedItems containsString="0" containsBlank="1" containsNumber="1" containsInteger="1" minValue="1" maxValue="12875"/>
    </cacheField>
    <cacheField name="PRECIO UNITARIO" numFmtId="0">
      <sharedItems containsString="0" containsBlank="1" containsNumber="1" minValue="0" maxValue="1413000"/>
    </cacheField>
    <cacheField name="PRECIO TOTAL" numFmtId="164">
      <sharedItems containsString="0" containsBlank="1" containsNumber="1" minValue="0.79" maxValue="15543000" count="589">
        <n v="11792300"/>
        <n v="15543000"/>
        <n v="804000"/>
        <n v="448000"/>
        <n v="785000"/>
        <n v="365000"/>
        <n v="98670"/>
        <n v="75900"/>
        <n v="108780"/>
        <n v="68460"/>
        <n v="96000"/>
        <n v="460800"/>
        <n v="1512000"/>
        <n v="2641410"/>
        <n v="186000"/>
        <n v="68400"/>
        <n v="44800"/>
        <n v="94500"/>
        <n v="163450"/>
        <n v="107800"/>
        <n v="62300"/>
        <n v="42000"/>
        <n v="105000"/>
        <n v="73"/>
        <n v="32.4"/>
        <n v="4.5"/>
        <n v="78"/>
        <n v="123420"/>
        <n v="145635.5"/>
        <n v="55"/>
        <n v="308.27999999999997"/>
        <n v="726"/>
        <n v="2376"/>
        <n v="513"/>
        <n v="9.0299999999999994"/>
        <n v="13.2"/>
        <n v="17"/>
        <n v="2.19"/>
        <n v="26.03"/>
        <n v="71"/>
        <n v="8.7200000000000006"/>
        <n v="165"/>
        <n v="138.5"/>
        <n v="326.70000000000005"/>
        <n v="457.59999999999997"/>
        <n v="346.34999999999997"/>
        <n v="170.39999999999998"/>
        <n v="568.79999999999995"/>
        <n v="236.70000000000002"/>
        <n v="159.06"/>
        <n v="3336"/>
        <n v="518750"/>
        <n v="342000"/>
        <n v="586000"/>
        <n v="5.76"/>
        <n v="8.0400000000000009"/>
        <n v="8.3800000000000008"/>
        <n v="31.51"/>
        <n v="53"/>
        <n v="86"/>
        <n v="29.25"/>
        <n v="542.30000000000007"/>
        <n v="32.599999999999994"/>
        <n v="80.039999999999992"/>
        <n v="19.71"/>
        <n v="13.080000000000002"/>
        <n v="9.5"/>
        <n v="21.06"/>
        <n v="6.36"/>
        <n v="8.48"/>
        <n v="62"/>
        <n v="321.2"/>
        <n v="160.6"/>
        <n v="172353"/>
        <n v="164604"/>
        <n v="24152"/>
        <n v="57322"/>
        <n v="328.5"/>
        <n v="88.06"/>
        <n v="6460"/>
        <n v="11.9"/>
        <n v="14.95"/>
        <n v="2.52"/>
        <n v="54.6"/>
        <n v="16.8"/>
        <n v="11.88"/>
        <n v="73.5"/>
        <n v="8.2999999999999989"/>
        <n v="27.200000000000003"/>
        <n v="33.800000000000004"/>
        <n v="26.400000000000002"/>
        <n v="23.04"/>
        <n v="46"/>
        <n v="21.6"/>
        <n v="0.79"/>
        <n v="14.96"/>
        <n v="25.56"/>
        <n v="15.010000000000002"/>
        <n v="23.869999999999997"/>
        <n v="11"/>
        <n v="72.599999999999994"/>
        <n v="760"/>
        <n v="784"/>
        <n v="233.2"/>
        <n v="233000"/>
        <n v="109.5"/>
        <n v="3914.0800000000004"/>
        <n v="2749.39"/>
        <n v="114.4"/>
        <n v="124"/>
        <n v="113134.99999999999"/>
        <n v="740"/>
        <n v="56.2"/>
        <n v="332.64"/>
        <n v="213"/>
        <n v="186"/>
        <n v="118000"/>
        <n v="144"/>
        <n v="381.8"/>
        <n v="182.60000000000002"/>
        <n v="230000"/>
        <n v="573.57999999999993"/>
        <n v="21"/>
        <n v="4.8"/>
        <n v="31.799999999999997"/>
        <n v="6.56"/>
        <n v="8.32"/>
        <n v="16.149999999999999"/>
        <n v="32.76"/>
        <n v="24.32"/>
        <n v="29.6"/>
        <n v="41.6"/>
        <n v="55.62"/>
        <n v="205200"/>
        <n v="223950"/>
        <n v="15.04"/>
        <n v="210"/>
        <n v="95"/>
        <n v="3.2"/>
        <n v="3.8"/>
        <n v="3.3000000000000003"/>
        <n v="25"/>
        <n v="725000"/>
        <n v="450000"/>
        <n v="185.4"/>
        <n v="523"/>
        <n v="426.84000000000003"/>
        <n v="133.69999999999999"/>
        <n v="674250"/>
        <n v="1050"/>
        <n v="520"/>
        <n v="2639200"/>
        <n v="125362"/>
        <n v="93600"/>
        <n v="1484900"/>
        <n v="776700"/>
        <n v="1245"/>
        <n v="8.1999999999999993"/>
        <n v="19.2"/>
        <n v="2.84"/>
        <n v="3.85"/>
        <n v="27000"/>
        <n v="28000"/>
        <n v="25000"/>
        <n v="37500"/>
        <n v="24.849999999999998"/>
        <n v="123.20000000000002"/>
        <n v="46.41"/>
        <n v="111.00000000000001"/>
        <n v="64.86"/>
        <n v="78.75"/>
        <n v="32.200000000000003"/>
        <n v="124.80000000000001"/>
        <n v="34.79"/>
        <n v="1.2"/>
        <n v="3.1500000000000004"/>
        <n v="12.72"/>
        <n v="12.78"/>
        <n v="12.24"/>
        <n v="100.43"/>
        <n v="8"/>
        <n v="38200"/>
        <n v="56200"/>
        <n v="138424"/>
        <n v="31.200000000000003"/>
        <n v="61.38"/>
        <n v="48.1"/>
        <n v="46.69"/>
        <n v="18.689999999999998"/>
        <n v="123.2"/>
        <n v="151.80000000000001"/>
        <n v="392.7"/>
        <n v="1505"/>
        <n v="601550"/>
        <n v="15"/>
        <n v="2"/>
        <n v="58.400000000000006"/>
        <n v="25.5"/>
        <n v="224"/>
        <n v="1.59"/>
        <n v="80.92"/>
        <n v="276"/>
        <n v="394.8"/>
        <n v="247"/>
        <n v="3295410"/>
        <n v="839000"/>
        <n v="118.5"/>
        <n v="255.20000000000002"/>
        <n v="76"/>
        <n v="18.36"/>
        <n v="93000"/>
        <n v="61830"/>
        <n v="4160"/>
        <n v="1022.0000000000001"/>
        <n v="11116"/>
        <n v="52687.35"/>
        <n v="2541"/>
        <n v="28630"/>
        <n v="16240.35"/>
        <n v="9.6000000000000014"/>
        <n v="143.5"/>
        <n v="11556"/>
        <n v="33"/>
        <n v="366440.4"/>
        <n v="34960"/>
        <n v="835175"/>
        <n v="118"/>
        <n v="80"/>
        <n v="634850"/>
        <n v="76758"/>
        <n v="1119275"/>
        <n v="1111"/>
        <n v="2420"/>
        <n v="5250"/>
        <n v="13608"/>
        <n v="39123.360000000001"/>
        <n v="58685.04"/>
        <n v="25296"/>
        <n v="876.55"/>
        <n v="49.44"/>
        <n v="7581"/>
        <n v="90000"/>
        <n v="612000"/>
        <n v="285"/>
        <n v="1158"/>
        <n v="4"/>
        <n v="1825.5"/>
        <n v="144.5"/>
        <n v="214"/>
        <n v="148"/>
        <n v="207"/>
        <n v="228.48"/>
        <n v="174"/>
        <n v="432"/>
        <n v="188.6"/>
        <n v="85"/>
        <n v="88.800000000000011"/>
        <n v="623720"/>
        <n v="135592"/>
        <n v="7096"/>
        <n v="2068"/>
        <n v="665"/>
        <n v="1020"/>
        <n v="7521"/>
        <n v="660"/>
        <n v="3330"/>
        <n v="825"/>
        <n v="1995"/>
        <n v="3300"/>
        <n v="4440"/>
        <n v="3.9000000000000004"/>
        <n v="198"/>
        <n v="381"/>
        <n v="1094000"/>
        <n v="26500"/>
        <n v="842380"/>
        <n v="3600"/>
        <n v="1542291.5"/>
        <n v="9183.9"/>
        <n v="786457.5"/>
        <n v="831000"/>
        <n v="3549840"/>
        <n v="2128306.5"/>
        <n v="9260000"/>
        <n v="54936"/>
        <n v="87415.1"/>
        <n v="11.200000000000001"/>
        <n v="400"/>
        <n v="3630"/>
        <n v="594"/>
        <n v="60911.28"/>
        <n v="994"/>
        <n v="682"/>
        <n v="63584.499999999993"/>
        <n v="150422.75999999998"/>
        <n v="11024"/>
        <n v="295324"/>
        <n v="15440"/>
        <n v="67.86"/>
        <n v="36.25"/>
        <n v="57.2"/>
        <n v="25.2"/>
        <n v="70.8"/>
        <n v="6.12"/>
        <n v="94.56"/>
        <n v="48.64"/>
        <n v="189"/>
        <n v="155.70000000000002"/>
        <n v="284"/>
        <n v="2743.1909999999998"/>
        <n v="3524.3775999999998"/>
        <n v="980"/>
        <n v="390.40000000000003"/>
        <n v="19600"/>
        <n v="25600"/>
        <n v="5202"/>
        <n v="1450832"/>
        <n v="102000"/>
        <n v="108573.00000000001"/>
        <n v="1840.8000000000002"/>
        <n v="1200000"/>
        <n v="775903"/>
        <n v="66.25"/>
        <n v="1147120"/>
        <n v="4169580.0000000005"/>
        <n v="3385682"/>
        <n v="5974.94"/>
        <n v="360"/>
        <n v="405"/>
        <n v="90"/>
        <n v="10560"/>
        <n v="4615860"/>
        <n v="985.77"/>
        <n v="499.95"/>
        <n v="3840"/>
        <n v="7166790.4000000004"/>
        <n v="7190536"/>
        <n v="195596.51"/>
        <n v="263970"/>
        <n v="81.960000000000008"/>
        <n v="23.2"/>
        <n v="2204780"/>
        <n v="3310763.4000000004"/>
        <n v="2459963"/>
        <n v="318522"/>
        <n v="54852"/>
        <n v="261500"/>
        <n v="38570"/>
        <n v="3677880.0000000005"/>
        <n v="4940780"/>
        <n v="2471522"/>
        <n v="799000"/>
        <n v="987"/>
        <n v="2827400"/>
        <n v="460.20000000000005"/>
        <n v="65"/>
        <n v="255040"/>
        <n v="78765.2"/>
        <n v="35900"/>
        <n v="212380"/>
        <n v="38494"/>
        <n v="34866"/>
        <n v="3821.6"/>
        <n v="4745"/>
        <n v="36184.36"/>
        <n v="943.40000000000009"/>
        <n v="831914.1"/>
        <n v="4050.7999999999997"/>
        <n v="431766"/>
        <n v="279328"/>
        <n v="104280"/>
        <n v="93167.22"/>
        <n v="52140"/>
        <n v="29531.399999999998"/>
        <n v="3976.83"/>
        <n v="40500"/>
        <n v="4024.7999999999997"/>
        <n v="54263"/>
        <n v="25970"/>
        <n v="16863.900000000001"/>
        <n v="3846.8"/>
        <n v="81320"/>
        <n v="9860"/>
        <n v="4900"/>
        <n v="1091.52"/>
        <n v="3219.5"/>
        <n v="2300"/>
        <n v="1741.5000000000002"/>
        <n v="9320.4"/>
        <n v="10087.949999999999"/>
        <n v="63010.079999999994"/>
        <n v="30910.63"/>
        <n v="983350"/>
        <n v="63936"/>
        <n v="40820"/>
        <n v="3861"/>
        <n v="52000"/>
        <n v="155015"/>
        <n v="294830"/>
        <n v="14763.03"/>
        <n v="215490"/>
        <n v="3570"/>
        <n v="4201.5600000000004"/>
        <n v="1230"/>
        <n v="10296"/>
        <n v="57491.85"/>
        <n v="55604.56"/>
        <n v="1185.8400000000001"/>
        <n v="29400"/>
        <n v="66760"/>
        <n v="18880.88"/>
        <n v="133520"/>
        <n v="21102.160000000003"/>
        <n v="41230"/>
        <n v="76410"/>
        <n v="1734.1999999999998"/>
        <n v="1287"/>
        <n v="369600"/>
        <n v="217352"/>
        <n v="543380"/>
        <n v="23881"/>
        <n v="7106"/>
        <n v="445400"/>
        <n v="20402.2"/>
        <n v="16605"/>
        <n v="3120"/>
        <n v="328020"/>
        <n v="9960"/>
        <n v="19920"/>
        <n v="11991.25"/>
        <n v="187000"/>
        <n v="112200"/>
        <n v="362854"/>
        <n v="31416"/>
        <n v="33768"/>
        <n v="90715.200000000012"/>
        <n v="2141.3000000000002"/>
        <n v="1899.24"/>
        <n v="2979.2000000000003"/>
        <n v="8506.3000000000011"/>
        <n v="6207.3"/>
        <n v="41827.279999999999"/>
        <n v="36959.449999999997"/>
        <n v="43269.599999999999"/>
        <n v="53005.259999999995"/>
        <n v="36238.29"/>
        <n v="39844.089999999997"/>
        <n v="4310000"/>
        <n v="735080"/>
        <n v="20449"/>
        <n v="1620"/>
        <n v="806"/>
        <n v="173.6"/>
        <n v="2057"/>
        <n v="14940"/>
        <n v="20655"/>
        <n v="11869.2"/>
        <n v="7463.2"/>
        <n v="1323.52"/>
        <n v="12598.369999999999"/>
        <n v="18250"/>
        <n v="5680"/>
        <n v="11622"/>
        <n v="85092"/>
        <n v="329241"/>
        <n v="14208.000000000002"/>
        <n v="1520"/>
        <n v="2769.6"/>
        <n v="1624"/>
        <n v="3560"/>
        <n v="62514"/>
        <n v="1810.056"/>
        <n v="61967.4"/>
        <n v="1010.1"/>
        <n v="81485.91"/>
        <n v="129600.00000000001"/>
        <n v="18270"/>
        <n v="23807.85"/>
        <n v="19994.010999999999"/>
        <n v="179606.25"/>
        <n v="200024.4"/>
        <n v="10635.75"/>
        <n v="14608.44"/>
        <n v="36894"/>
        <n v="546080"/>
        <n v="38493"/>
        <n v="156660"/>
        <n v="518.35"/>
        <n v="1164"/>
        <n v="1391.89"/>
        <n v="18.88"/>
        <n v="28.5"/>
        <n v="40"/>
        <n v="38.35"/>
        <n v="82.5"/>
        <n v="125"/>
        <n v="28.32"/>
        <n v="38"/>
        <n v="64"/>
        <n v="14392"/>
        <n v="30482.1"/>
        <n v="69920"/>
        <n v="99.12"/>
        <n v="305367"/>
        <n v="492.40999999999997"/>
        <n v="94.399999999999991"/>
        <n v="4950"/>
        <n v="207870"/>
        <n v="9117.119999999999"/>
        <n v="128000"/>
        <n v="24955"/>
        <n v="10208"/>
        <n v="193050"/>
        <n v="2208"/>
        <n v="343200"/>
        <n v="321"/>
        <n v="267730"/>
        <n v="31863.530000000002"/>
        <n v="129.60000000000002"/>
        <n v="968"/>
        <n v="3936"/>
        <n v="35096.800000000003"/>
        <n v="30822.400000000001"/>
        <n v="28120"/>
        <n v="357000"/>
        <n v="22770"/>
        <n v="62.1"/>
        <n v="666.9"/>
        <n v="86580"/>
        <n v="183160"/>
        <n v="119900"/>
        <n v="4536"/>
        <n v="19.600000000000001"/>
        <n v="2016"/>
        <n v="98"/>
        <n v="6012"/>
        <n v="663300"/>
        <n v="9401"/>
        <n v="4635"/>
        <n v="181500"/>
        <n v="73.800000000000011"/>
        <n v="5117"/>
        <n v="294860"/>
        <n v="1641420"/>
        <n v="178.8"/>
        <n v="317.24"/>
        <n v="854.61999999999989"/>
        <n v="1454.08"/>
        <n v="5.87"/>
        <n v="329.20000000000005"/>
        <n v="1035.6299999999999"/>
        <n v="312"/>
        <n v="136.71"/>
        <n v="271.92"/>
        <n v="517.86"/>
        <n v="76.180000000000007"/>
        <n v="211.2"/>
        <n v="325.22999999999996"/>
        <n v="786.62"/>
        <n v="255"/>
        <n v="459"/>
        <n v="2011.38"/>
        <n v="753.54"/>
        <n v="490.82"/>
        <n v="1750.05"/>
        <n v="44"/>
        <n v="98.85"/>
        <n v="28.02"/>
        <n v="111"/>
        <n v="53.519999999999996"/>
        <n v="250"/>
        <n v="151.68"/>
        <n v="350"/>
        <n v="189.29000000000002"/>
        <n v="670.12"/>
        <n v="611.16000000000008"/>
        <n v="56"/>
        <n v="374"/>
        <n v="1127"/>
        <n v="1161.26"/>
        <n v="100.8"/>
        <n v="348"/>
        <n v="68"/>
        <n v="1568"/>
        <n v="1794"/>
        <n v="1240"/>
        <n v="293"/>
        <n v="499"/>
        <m/>
      </sharedItems>
    </cacheField>
    <cacheField name="BIENES EN STOCK" numFmtId="0">
      <sharedItems containsString="0" containsBlank="1" containsNumber="1" containsInteger="1" minValue="0" maxValue="12875"/>
    </cacheField>
    <cacheField name="SALDO EN $" numFmtId="164">
      <sharedItems containsString="0" containsBlank="1" containsNumber="1" minValue="0" maxValue="9144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">
  <r>
    <x v="0"/>
    <x v="0"/>
    <s v="81-0080-OC24"/>
    <s v="4.3.7-1367.320"/>
    <n v="1"/>
    <n v="13"/>
    <n v="907100"/>
    <n v="11792300"/>
    <n v="8"/>
    <n v="7256800"/>
  </r>
  <r>
    <x v="0"/>
    <x v="1"/>
    <s v="81-0081-OC24"/>
    <s v="4.3.7-1367.330"/>
    <n v="2"/>
    <n v="11"/>
    <n v="1413000"/>
    <n v="15543000"/>
    <n v="4"/>
    <n v="5652000"/>
  </r>
  <r>
    <x v="0"/>
    <x v="2"/>
    <s v="81-0082-OC24"/>
    <s v="2.9.6-5591.3"/>
    <n v="3"/>
    <n v="4"/>
    <n v="201000"/>
    <n v="804000"/>
    <n v="2"/>
    <n v="402000"/>
  </r>
  <r>
    <x v="0"/>
    <x v="3"/>
    <s v="81-0082-OC24"/>
    <s v="2.9.6-5591.4"/>
    <n v="4"/>
    <n v="4"/>
    <n v="112000"/>
    <n v="448000"/>
    <n v="4"/>
    <n v="448000"/>
  </r>
  <r>
    <x v="0"/>
    <x v="4"/>
    <s v="81-0082-OC24"/>
    <s v="2.9.6-5591.5"/>
    <n v="5"/>
    <n v="5"/>
    <n v="157000"/>
    <n v="785000"/>
    <n v="2"/>
    <n v="314000"/>
  </r>
  <r>
    <x v="0"/>
    <x v="5"/>
    <s v="81-0082-OC24"/>
    <s v="2.9.6-5591.6"/>
    <n v="6"/>
    <n v="5"/>
    <n v="73000"/>
    <n v="365000"/>
    <n v="0"/>
    <n v="0"/>
  </r>
  <r>
    <x v="0"/>
    <x v="6"/>
    <s v="81-0082-OC24"/>
    <s v="2.9.6-1712.305"/>
    <n v="7"/>
    <n v="33"/>
    <n v="2990"/>
    <n v="98670"/>
    <n v="17"/>
    <n v="50830"/>
  </r>
  <r>
    <x v="0"/>
    <x v="7"/>
    <s v="81-0082-OC24"/>
    <s v="2.9.6-1712.306"/>
    <n v="8"/>
    <n v="33"/>
    <n v="2300"/>
    <n v="75900"/>
    <n v="24"/>
    <n v="55200"/>
  </r>
  <r>
    <x v="0"/>
    <x v="8"/>
    <s v="81-0082-OC24"/>
    <s v="2.9.6-1712.307"/>
    <n v="9"/>
    <n v="42"/>
    <n v="2590"/>
    <n v="108780"/>
    <n v="22"/>
    <n v="56980"/>
  </r>
  <r>
    <x v="0"/>
    <x v="9"/>
    <s v="81-0082-OC24"/>
    <s v="2.9.6-1712.308"/>
    <n v="10"/>
    <n v="42"/>
    <n v="1630"/>
    <n v="68460"/>
    <n v="13"/>
    <n v="21190"/>
  </r>
  <r>
    <x v="0"/>
    <x v="10"/>
    <s v="81-0082-OC24"/>
    <s v="2.9.9-3027.9"/>
    <n v="11"/>
    <n v="24"/>
    <n v="4000"/>
    <n v="96000"/>
    <n v="5"/>
    <n v="20000"/>
  </r>
  <r>
    <x v="0"/>
    <x v="11"/>
    <s v="81-0082-OC24"/>
    <s v="2.9.6-1376.235"/>
    <n v="13"/>
    <n v="24"/>
    <n v="19200"/>
    <n v="460800"/>
    <n v="21"/>
    <n v="403200"/>
  </r>
  <r>
    <x v="0"/>
    <x v="12"/>
    <s v="81-0082-OC24"/>
    <s v="2.5.6-6856.29"/>
    <n v="14"/>
    <n v="6"/>
    <n v="252000"/>
    <n v="1512000"/>
    <n v="5"/>
    <n v="1260000"/>
  </r>
  <r>
    <x v="0"/>
    <x v="13"/>
    <s v="81-0082-OC24"/>
    <s v="2.5.6-6856.1"/>
    <n v="15"/>
    <n v="6"/>
    <n v="440235"/>
    <n v="2641410"/>
    <n v="5"/>
    <n v="2201175"/>
  </r>
  <r>
    <x v="0"/>
    <x v="14"/>
    <s v="81-0082-OC24"/>
    <s v="2.9.9-9053.30"/>
    <n v="16"/>
    <n v="150"/>
    <n v="1240"/>
    <n v="186000"/>
    <n v="125"/>
    <n v="155000"/>
  </r>
  <r>
    <x v="0"/>
    <x v="15"/>
    <s v="81-0082-OC24"/>
    <s v="2.9.6-1712.93"/>
    <n v="17"/>
    <n v="24"/>
    <n v="2850"/>
    <n v="68400"/>
    <n v="13"/>
    <n v="37050"/>
  </r>
  <r>
    <x v="0"/>
    <x v="16"/>
    <s v="81-0082-OC24"/>
    <s v="2.5.8-819.9"/>
    <n v="18"/>
    <n v="1400"/>
    <n v="32"/>
    <n v="44800"/>
    <n v="1160"/>
    <n v="37120"/>
  </r>
  <r>
    <x v="0"/>
    <x v="17"/>
    <s v="81-0082-OC24"/>
    <s v="2.5.8-819.9"/>
    <n v="19"/>
    <n v="1400"/>
    <n v="67.5"/>
    <n v="94500"/>
    <n v="1224"/>
    <n v="82620"/>
  </r>
  <r>
    <x v="0"/>
    <x v="18"/>
    <s v="81-0082-OC24"/>
    <s v="2.7.9-643.112"/>
    <n v="20"/>
    <n v="1400"/>
    <n v="116.75"/>
    <n v="163450"/>
    <n v="1224"/>
    <n v="142902"/>
  </r>
  <r>
    <x v="0"/>
    <x v="19"/>
    <s v="81-0082-OC24"/>
    <s v="2.7.9-643.25"/>
    <n v="21"/>
    <n v="1400"/>
    <n v="77"/>
    <n v="107800"/>
    <n v="1160"/>
    <n v="89320"/>
  </r>
  <r>
    <x v="0"/>
    <x v="20"/>
    <s v="81-0082-OC24"/>
    <s v="2.7.9-1600.44"/>
    <n v="22"/>
    <n v="1400"/>
    <n v="44.5"/>
    <n v="62300"/>
    <n v="1224"/>
    <n v="54468"/>
  </r>
  <r>
    <x v="0"/>
    <x v="21"/>
    <s v="81-0082-OC24"/>
    <s v="2.7.9-1600.35"/>
    <n v="23"/>
    <n v="1400"/>
    <n v="30"/>
    <n v="42000"/>
    <n v="1160"/>
    <n v="34800"/>
  </r>
  <r>
    <x v="1"/>
    <x v="22"/>
    <s v="81-0054-OC24"/>
    <s v="2.5.9-6887.43"/>
    <n v="19"/>
    <n v="10"/>
    <n v="10500"/>
    <n v="105000"/>
    <n v="6"/>
    <n v="63000"/>
  </r>
  <r>
    <x v="1"/>
    <x v="23"/>
    <s v="EXISTENCIA PREV. 1"/>
    <m/>
    <s v="S/N"/>
    <n v="1"/>
    <n v="73"/>
    <n v="73"/>
    <n v="1"/>
    <n v="73"/>
  </r>
  <r>
    <x v="1"/>
    <x v="24"/>
    <s v="EXISTENCIA PREV. 1"/>
    <s v="2.5.8-6723.1"/>
    <s v="S/N"/>
    <n v="27"/>
    <n v="1.2"/>
    <n v="32.4"/>
    <n v="27"/>
    <n v="32.4"/>
  </r>
  <r>
    <x v="1"/>
    <x v="25"/>
    <s v="EXISTENCIA PREV. 1"/>
    <s v="2.5.8-6723.2"/>
    <s v="S/N"/>
    <n v="9"/>
    <n v="0.5"/>
    <n v="4.5"/>
    <n v="9"/>
    <n v="4.5"/>
  </r>
  <r>
    <x v="1"/>
    <x v="25"/>
    <s v="EXISTENCIA PREV. 2"/>
    <s v="2.5.8-6723.2"/>
    <s v="S/N"/>
    <n v="52"/>
    <n v="1.5"/>
    <n v="78"/>
    <n v="52"/>
    <n v="78"/>
  </r>
  <r>
    <x v="1"/>
    <x v="26"/>
    <s v="81-0049-OC24"/>
    <s v="2.9.6-5017.22"/>
    <n v="8"/>
    <n v="100"/>
    <n v="1234.2"/>
    <n v="123420"/>
    <n v="100"/>
    <n v="123420"/>
  </r>
  <r>
    <x v="1"/>
    <x v="27"/>
    <s v="81-0049-OC24"/>
    <s v="2.9.6-5017.6"/>
    <n v="5"/>
    <n v="50"/>
    <n v="2912.71"/>
    <n v="145635.5"/>
    <n v="46"/>
    <n v="133984.66"/>
  </r>
  <r>
    <x v="1"/>
    <x v="28"/>
    <s v="EXISTENCIA PREV. 1"/>
    <s v="2.9.6-402.1"/>
    <s v="S/N"/>
    <n v="5"/>
    <n v="11"/>
    <n v="55"/>
    <n v="5"/>
    <n v="55"/>
  </r>
  <r>
    <x v="1"/>
    <x v="28"/>
    <s v="EXISTENCIA PREV. 2"/>
    <s v="2.9.6-402.1"/>
    <s v="S/N"/>
    <n v="14"/>
    <n v="22.02"/>
    <n v="308.27999999999997"/>
    <n v="14"/>
    <n v="308.27999999999997"/>
  </r>
  <r>
    <x v="1"/>
    <x v="29"/>
    <s v="EXISTENCIA PREV. 1"/>
    <m/>
    <s v="S/N"/>
    <n v="11"/>
    <n v="66"/>
    <n v="726"/>
    <n v="11"/>
    <n v="726"/>
  </r>
  <r>
    <x v="1"/>
    <x v="30"/>
    <s v="EXISTENCIA PREV. 1"/>
    <m/>
    <s v="S/N"/>
    <n v="12"/>
    <n v="198"/>
    <n v="2376"/>
    <n v="12"/>
    <n v="2376"/>
  </r>
  <r>
    <x v="1"/>
    <x v="31"/>
    <s v="EXISTENCIA PREV. 1"/>
    <m/>
    <s v="S/N"/>
    <n v="9"/>
    <n v="57"/>
    <n v="513"/>
    <n v="9"/>
    <n v="513"/>
  </r>
  <r>
    <x v="1"/>
    <x v="32"/>
    <s v="EXISTENCIA PREV. 1"/>
    <s v="2.5.8-3536.11"/>
    <s v="S/N"/>
    <n v="21"/>
    <n v="0.43"/>
    <n v="9.0299999999999994"/>
    <n v="21"/>
    <n v="9.0299999999999994"/>
  </r>
  <r>
    <x v="1"/>
    <x v="33"/>
    <s v="EXISTENCIA PREV. 1"/>
    <s v="2.5.8-3536.5"/>
    <s v="S/N"/>
    <n v="22"/>
    <n v="0.6"/>
    <n v="13.2"/>
    <n v="22"/>
    <n v="13.2"/>
  </r>
  <r>
    <x v="1"/>
    <x v="34"/>
    <s v="EXISTENCIA PREV. 1"/>
    <s v="2.5.8-3536.5"/>
    <s v="S/N"/>
    <n v="20"/>
    <n v="0.85"/>
    <n v="17"/>
    <n v="20"/>
    <n v="17"/>
  </r>
  <r>
    <x v="1"/>
    <x v="35"/>
    <s v="EXISTENCIA PREV. 1"/>
    <s v="2.5.8-3536.6"/>
    <s v="S/N"/>
    <n v="3"/>
    <n v="0.73"/>
    <n v="2.19"/>
    <n v="3"/>
    <n v="2.19"/>
  </r>
  <r>
    <x v="1"/>
    <x v="36"/>
    <s v="EXISTENCIA PREV. 1"/>
    <s v="2.5.8-3536.4"/>
    <s v="S/N"/>
    <n v="19"/>
    <n v="1.37"/>
    <n v="26.03"/>
    <n v="19"/>
    <n v="26.03"/>
  </r>
  <r>
    <x v="1"/>
    <x v="37"/>
    <s v="EXISTENCIA PREV. 1"/>
    <m/>
    <s v="S/N"/>
    <n v="10"/>
    <n v="7.1"/>
    <n v="71"/>
    <n v="10"/>
    <n v="71"/>
  </r>
  <r>
    <x v="1"/>
    <x v="38"/>
    <s v="EXISTENCIA PREV. 1"/>
    <m/>
    <s v="S/N"/>
    <n v="4"/>
    <n v="2.1800000000000002"/>
    <n v="8.7200000000000006"/>
    <n v="4"/>
    <n v="8.7200000000000006"/>
  </r>
  <r>
    <x v="1"/>
    <x v="39"/>
    <s v="EXISTENCIA PREV. 1"/>
    <m/>
    <s v="S/N"/>
    <n v="1"/>
    <n v="165"/>
    <n v="165"/>
    <n v="1"/>
    <n v="165"/>
  </r>
  <r>
    <x v="1"/>
    <x v="40"/>
    <s v="EXISTENCIA PREV. 1"/>
    <s v="2.7.1-6094.96"/>
    <s v="S/N"/>
    <n v="10"/>
    <n v="13.85"/>
    <n v="138.5"/>
    <n v="10"/>
    <n v="138.5"/>
  </r>
  <r>
    <x v="1"/>
    <x v="40"/>
    <s v="EXISTENCIA PREV. 2"/>
    <s v="2.7.1-6094.96"/>
    <s v="S/N"/>
    <n v="10"/>
    <n v="32.67"/>
    <n v="326.70000000000005"/>
    <n v="10"/>
    <n v="326.70000000000005"/>
  </r>
  <r>
    <x v="1"/>
    <x v="41"/>
    <s v="EXISTENCIA PREV. 1"/>
    <s v="2.7.1-6094.79"/>
    <s v="S/N"/>
    <n v="10"/>
    <n v="45.76"/>
    <n v="457.59999999999997"/>
    <n v="10"/>
    <n v="457.59999999999997"/>
  </r>
  <r>
    <x v="1"/>
    <x v="42"/>
    <s v="EXISTENCIA PREV. 1"/>
    <s v="2.7.1-6094.193"/>
    <s v="S/N"/>
    <n v="5"/>
    <n v="69.27"/>
    <n v="346.34999999999997"/>
    <n v="5"/>
    <n v="346.34999999999997"/>
  </r>
  <r>
    <x v="1"/>
    <x v="43"/>
    <s v="EXISTENCIA PREV. 1"/>
    <s v="2.5.8-378.64"/>
    <s v="S/N"/>
    <n v="5"/>
    <n v="34.08"/>
    <n v="170.39999999999998"/>
    <n v="4"/>
    <n v="136.32"/>
  </r>
  <r>
    <x v="1"/>
    <x v="43"/>
    <s v="EXISTENCIA PREV. 2"/>
    <s v="2.5.8-378.64"/>
    <s v="S/N"/>
    <n v="6"/>
    <n v="94.8"/>
    <n v="568.79999999999995"/>
    <n v="6"/>
    <n v="568.79999999999995"/>
  </r>
  <r>
    <x v="1"/>
    <x v="44"/>
    <s v="EXISTENCIA PREV. 1"/>
    <s v="2.5.8-378.438"/>
    <s v="S/N"/>
    <n v="9"/>
    <n v="26.3"/>
    <n v="236.70000000000002"/>
    <n v="9"/>
    <n v="236.70000000000002"/>
  </r>
  <r>
    <x v="1"/>
    <x v="45"/>
    <s v="EXISTENCIA PREV. 1"/>
    <s v="2.5.8-378.222"/>
    <s v="S/N"/>
    <n v="1"/>
    <n v="159.06"/>
    <n v="159.06"/>
    <n v="1"/>
    <n v="159.06"/>
  </r>
  <r>
    <x v="1"/>
    <x v="46"/>
    <s v="EXISTENCIA PREV. 1"/>
    <s v="2.5.8-378.131"/>
    <s v="S/N"/>
    <n v="6"/>
    <n v="556"/>
    <n v="3336"/>
    <n v="6"/>
    <n v="3336"/>
  </r>
  <r>
    <x v="1"/>
    <x v="47"/>
    <s v="81-0050-OC24"/>
    <s v="2.9.6-1792.89"/>
    <n v="27"/>
    <n v="50"/>
    <n v="10375"/>
    <n v="518750"/>
    <n v="47"/>
    <n v="487625"/>
  </r>
  <r>
    <x v="1"/>
    <x v="48"/>
    <s v="81-0052-OC24"/>
    <s v="2.7.9-8857.185"/>
    <n v="17"/>
    <n v="10"/>
    <n v="34200"/>
    <n v="342000"/>
    <n v="10"/>
    <n v="342000"/>
  </r>
  <r>
    <x v="1"/>
    <x v="49"/>
    <s v="81-0054-OC24"/>
    <s v="2.7.9-626.15"/>
    <n v="15"/>
    <n v="20"/>
    <n v="29300"/>
    <n v="586000"/>
    <n v="10"/>
    <n v="293000"/>
  </r>
  <r>
    <x v="1"/>
    <x v="50"/>
    <s v="EXISTENCIA PREV. 1"/>
    <s v="2.7.9-6383.29"/>
    <s v="S/N"/>
    <n v="3"/>
    <n v="1.92"/>
    <n v="5.76"/>
    <n v="3"/>
    <n v="5.76"/>
  </r>
  <r>
    <x v="1"/>
    <x v="51"/>
    <s v="EXISTENCIA PREV. 1"/>
    <s v="2.7.9-6383.29"/>
    <s v="S/N"/>
    <n v="3"/>
    <n v="2.68"/>
    <n v="8.0400000000000009"/>
    <n v="3"/>
    <n v="8.0400000000000009"/>
  </r>
  <r>
    <x v="1"/>
    <x v="52"/>
    <s v="EXISTENCIA PREV. 1"/>
    <s v="2.7.9-6383.29"/>
    <s v="S/N"/>
    <n v="2"/>
    <n v="4.1900000000000004"/>
    <n v="8.3800000000000008"/>
    <n v="2"/>
    <n v="8.3800000000000008"/>
  </r>
  <r>
    <x v="1"/>
    <x v="53"/>
    <s v="EXISTENCIA PREV. 1"/>
    <s v="2.7.9-5844.2"/>
    <s v="S/N"/>
    <n v="23"/>
    <n v="1.37"/>
    <n v="31.51"/>
    <n v="23"/>
    <n v="31.51"/>
  </r>
  <r>
    <x v="1"/>
    <x v="54"/>
    <s v="EXISTENCIA PREV. 1"/>
    <s v="2.7.9-5844.2"/>
    <s v="S/N"/>
    <n v="50"/>
    <n v="1.06"/>
    <n v="53"/>
    <n v="50"/>
    <n v="53"/>
  </r>
  <r>
    <x v="1"/>
    <x v="54"/>
    <s v="EXISTENCIA PREV. 2"/>
    <s v="2.7.9-5844.2"/>
    <s v="S/N"/>
    <n v="50"/>
    <n v="1.72"/>
    <n v="86"/>
    <n v="50"/>
    <n v="86"/>
  </r>
  <r>
    <x v="1"/>
    <x v="54"/>
    <s v="EXISTENCIA PREV. 3"/>
    <s v="2.7.9-5844.2"/>
    <s v="S/N"/>
    <n v="45"/>
    <n v="0.65"/>
    <n v="29.25"/>
    <n v="45"/>
    <n v="29.25"/>
  </r>
  <r>
    <x v="1"/>
    <x v="55"/>
    <s v="EXISTENCIA PREV. 1"/>
    <s v="2.7.9-5844.3"/>
    <s v="S/N"/>
    <n v="145"/>
    <n v="3.74"/>
    <n v="542.30000000000007"/>
    <n v="145"/>
    <n v="542.30000000000007"/>
  </r>
  <r>
    <x v="1"/>
    <x v="56"/>
    <s v="EXISTENCIA PREV. 1"/>
    <s v="2.7.9-5844.3"/>
    <s v="S/N"/>
    <n v="20"/>
    <n v="1.63"/>
    <n v="32.599999999999994"/>
    <n v="20"/>
    <n v="32.599999999999994"/>
  </r>
  <r>
    <x v="1"/>
    <x v="57"/>
    <s v="EXISTENCIA PREV. 1"/>
    <s v="2.7.9-6383.72"/>
    <s v="S/N"/>
    <n v="29"/>
    <n v="2.76"/>
    <n v="80.039999999999992"/>
    <n v="29"/>
    <n v="80.039999999999992"/>
  </r>
  <r>
    <x v="1"/>
    <x v="57"/>
    <s v="EXISTENCIA PREV. 2"/>
    <s v="2.7.9-6383.72"/>
    <s v="S/N"/>
    <n v="9"/>
    <n v="2.19"/>
    <n v="19.71"/>
    <n v="9"/>
    <n v="19.71"/>
  </r>
  <r>
    <x v="1"/>
    <x v="58"/>
    <s v="EXISTENCIA PREV. 1"/>
    <s v="2.7.1-6082.107"/>
    <s v="S/N"/>
    <n v="12"/>
    <n v="1.0900000000000001"/>
    <n v="13.080000000000002"/>
    <n v="12"/>
    <n v="13.080000000000002"/>
  </r>
  <r>
    <x v="1"/>
    <x v="59"/>
    <s v="EXISTENCIA PREV. 1"/>
    <s v="2.7.1-6082.108"/>
    <s v="S/N"/>
    <n v="10"/>
    <n v="0.95"/>
    <n v="9.5"/>
    <n v="10"/>
    <n v="9.5"/>
  </r>
  <r>
    <x v="1"/>
    <x v="60"/>
    <s v="EXISTENCIA PREV. 1"/>
    <s v="2.7.1-6082.77"/>
    <s v="S/N"/>
    <n v="18"/>
    <n v="1.17"/>
    <n v="21.06"/>
    <n v="18"/>
    <n v="21.06"/>
  </r>
  <r>
    <x v="1"/>
    <x v="61"/>
    <s v="EXISTENCIA PREV. 1"/>
    <s v="2.7.1-6082.109"/>
    <s v="S/N"/>
    <n v="3"/>
    <n v="2.12"/>
    <n v="6.36"/>
    <n v="3"/>
    <n v="6.36"/>
  </r>
  <r>
    <x v="1"/>
    <x v="62"/>
    <s v="EXISTENCIA PREV. 1"/>
    <s v="2.7.1-6082.109"/>
    <s v="S/N"/>
    <n v="4"/>
    <n v="2.12"/>
    <n v="8.48"/>
    <n v="4"/>
    <n v="8.48"/>
  </r>
  <r>
    <x v="1"/>
    <x v="63"/>
    <s v="EXISTENCIA PREV. 1"/>
    <s v="2.5.8-1147.131"/>
    <s v="S/N"/>
    <n v="2"/>
    <n v="31"/>
    <n v="62"/>
    <n v="2"/>
    <n v="62"/>
  </r>
  <r>
    <x v="1"/>
    <x v="64"/>
    <s v="EXISTENCIA PREV. 1"/>
    <s v="2.5.8-1147.143"/>
    <s v="S/N"/>
    <n v="4"/>
    <n v="80.3"/>
    <n v="321.2"/>
    <n v="4"/>
    <n v="321.2"/>
  </r>
  <r>
    <x v="1"/>
    <x v="65"/>
    <s v="EXISTENCIA PREV. 1"/>
    <s v="2.5.8-1147.59"/>
    <s v="S/N"/>
    <n v="2"/>
    <n v="80.3"/>
    <n v="160.6"/>
    <n v="2"/>
    <n v="160.6"/>
  </r>
  <r>
    <x v="1"/>
    <x v="66"/>
    <s v="81-0049-OC24"/>
    <s v="2.7.9-1656.16"/>
    <n v="1"/>
    <n v="50"/>
    <n v="3447.06"/>
    <n v="172353"/>
    <n v="22"/>
    <n v="75835.319999999992"/>
  </r>
  <r>
    <x v="1"/>
    <x v="67"/>
    <s v="81-0049-OC24"/>
    <s v="2.7.9-1656.17"/>
    <n v="2"/>
    <n v="50"/>
    <n v="3292.08"/>
    <n v="164604"/>
    <n v="45"/>
    <n v="148143.6"/>
  </r>
  <r>
    <x v="1"/>
    <x v="68"/>
    <s v="81-0050-OC24"/>
    <s v="2.9.9-7839.2"/>
    <n v="3"/>
    <n v="2"/>
    <n v="12076"/>
    <n v="24152"/>
    <n v="2"/>
    <n v="24152"/>
  </r>
  <r>
    <x v="1"/>
    <x v="69"/>
    <s v="81-0053-OC25"/>
    <s v="2.2.2-1044.47"/>
    <n v="11"/>
    <n v="50"/>
    <n v="1146.44"/>
    <n v="57322"/>
    <n v="50"/>
    <n v="57322"/>
  </r>
  <r>
    <x v="1"/>
    <x v="69"/>
    <s v="EXISTENCIA PREV. 1"/>
    <s v="2.2.2-1044.47"/>
    <s v="S/N"/>
    <n v="15"/>
    <n v="21.9"/>
    <n v="328.5"/>
    <n v="15"/>
    <n v="328.5"/>
  </r>
  <r>
    <x v="1"/>
    <x v="69"/>
    <s v="EXISTENCIA PREV. 2"/>
    <s v="2.2.2-1044.47"/>
    <s v="S/N"/>
    <n v="14"/>
    <n v="6.29"/>
    <n v="88.06"/>
    <n v="14"/>
    <n v="88.06"/>
  </r>
  <r>
    <x v="1"/>
    <x v="70"/>
    <s v="EXISTENCIA PREV. 1"/>
    <m/>
    <s v="S/N"/>
    <n v="19"/>
    <n v="340"/>
    <n v="6460"/>
    <n v="19"/>
    <n v="6460"/>
  </r>
  <r>
    <x v="1"/>
    <x v="71"/>
    <s v="EXISTENCIA PREV. 1"/>
    <m/>
    <s v="S/N"/>
    <n v="7"/>
    <n v="1.7"/>
    <n v="11.9"/>
    <n v="7"/>
    <n v="11.9"/>
  </r>
  <r>
    <x v="1"/>
    <x v="72"/>
    <s v="EXISTENCIA PREV. 1"/>
    <m/>
    <s v="S/N"/>
    <n v="13"/>
    <n v="1.1499999999999999"/>
    <n v="14.95"/>
    <n v="13"/>
    <n v="14.95"/>
  </r>
  <r>
    <x v="1"/>
    <x v="73"/>
    <s v="EXISTENCIA PREV. 1"/>
    <m/>
    <s v="S/N"/>
    <n v="3"/>
    <n v="0.84"/>
    <n v="2.52"/>
    <n v="3"/>
    <n v="2.52"/>
  </r>
  <r>
    <x v="1"/>
    <x v="73"/>
    <s v="EXISTENCIA PREV. 2"/>
    <m/>
    <s v="S/N"/>
    <n v="30"/>
    <n v="1.82"/>
    <n v="54.6"/>
    <n v="30"/>
    <n v="54.6"/>
  </r>
  <r>
    <x v="1"/>
    <x v="74"/>
    <s v="EXISTENCIA PREV. 1"/>
    <m/>
    <s v="S/N"/>
    <n v="20"/>
    <n v="0.84"/>
    <n v="16.8"/>
    <n v="20"/>
    <n v="16.8"/>
  </r>
  <r>
    <x v="1"/>
    <x v="75"/>
    <s v="EXISTENCIA PREV. 1"/>
    <m/>
    <s v="S/N"/>
    <n v="9"/>
    <n v="1.32"/>
    <n v="11.88"/>
    <n v="9"/>
    <n v="11.88"/>
  </r>
  <r>
    <x v="1"/>
    <x v="75"/>
    <s v="EXISTENCIA PREV. 2"/>
    <m/>
    <s v="S/N"/>
    <n v="30"/>
    <n v="2.4500000000000002"/>
    <n v="73.5"/>
    <n v="30"/>
    <n v="73.5"/>
  </r>
  <r>
    <x v="1"/>
    <x v="76"/>
    <s v="EXISTENCIA PREV. 1"/>
    <m/>
    <s v="S/N"/>
    <n v="10"/>
    <n v="0.83"/>
    <n v="8.2999999999999989"/>
    <n v="10"/>
    <n v="8.2999999999999989"/>
  </r>
  <r>
    <x v="1"/>
    <x v="76"/>
    <s v="EXISTENCIA PREV. 2"/>
    <m/>
    <s v="S/N"/>
    <n v="20"/>
    <n v="1.36"/>
    <n v="27.200000000000003"/>
    <n v="20"/>
    <n v="27.200000000000003"/>
  </r>
  <r>
    <x v="1"/>
    <x v="77"/>
    <s v="EXISTENCIA PREV. 1"/>
    <m/>
    <s v="S/N"/>
    <n v="52"/>
    <n v="0.65"/>
    <n v="33.800000000000004"/>
    <n v="52"/>
    <n v="33.800000000000004"/>
  </r>
  <r>
    <x v="1"/>
    <x v="77"/>
    <s v="EXISTENCIA PREV. 2"/>
    <m/>
    <s v="S/N"/>
    <n v="20"/>
    <n v="1.32"/>
    <n v="26.400000000000002"/>
    <n v="20"/>
    <n v="26.400000000000002"/>
  </r>
  <r>
    <x v="1"/>
    <x v="78"/>
    <s v="EXISTENCIA PREV. 1"/>
    <m/>
    <s v="S/N"/>
    <n v="4"/>
    <n v="5.76"/>
    <n v="23.04"/>
    <n v="4"/>
    <n v="23.04"/>
  </r>
  <r>
    <x v="1"/>
    <x v="78"/>
    <s v="EXISTENCIA PREV. 2"/>
    <m/>
    <s v="S/N"/>
    <n v="20"/>
    <n v="2.2999999999999998"/>
    <n v="46"/>
    <n v="20"/>
    <n v="46"/>
  </r>
  <r>
    <x v="1"/>
    <x v="79"/>
    <s v="EXISTENCIA PREV. 1"/>
    <m/>
    <s v="S/N"/>
    <n v="10"/>
    <n v="2.16"/>
    <n v="21.6"/>
    <n v="10"/>
    <n v="21.6"/>
  </r>
  <r>
    <x v="1"/>
    <x v="80"/>
    <s v="EXISTENCIA PREV. 1"/>
    <m/>
    <s v="S/N"/>
    <n v="10"/>
    <n v="2.16"/>
    <n v="21.6"/>
    <n v="10"/>
    <n v="21.6"/>
  </r>
  <r>
    <x v="1"/>
    <x v="81"/>
    <s v="EXISTENCIA PREV. 1"/>
    <m/>
    <s v="S/N"/>
    <n v="1"/>
    <n v="0.79"/>
    <n v="0.79"/>
    <n v="1"/>
    <n v="0.79"/>
  </r>
  <r>
    <x v="1"/>
    <x v="82"/>
    <s v="EXISTENCIA PREV. 1"/>
    <m/>
    <s v="S/N"/>
    <n v="17"/>
    <n v="0.88"/>
    <n v="14.96"/>
    <n v="17"/>
    <n v="14.96"/>
  </r>
  <r>
    <x v="1"/>
    <x v="83"/>
    <s v="EXISTENCIA PREV. 1"/>
    <m/>
    <s v="S/N"/>
    <n v="18"/>
    <n v="1.42"/>
    <n v="25.56"/>
    <n v="18"/>
    <n v="25.56"/>
  </r>
  <r>
    <x v="1"/>
    <x v="84"/>
    <s v="EXISTENCIA PREV. 1"/>
    <m/>
    <s v="S/N"/>
    <n v="19"/>
    <n v="0.79"/>
    <n v="15.010000000000002"/>
    <n v="19"/>
    <n v="15.010000000000002"/>
  </r>
  <r>
    <x v="1"/>
    <x v="85"/>
    <s v="EXISTENCIA PREV. 1"/>
    <m/>
    <s v="S/N"/>
    <n v="11"/>
    <n v="2.17"/>
    <n v="23.869999999999997"/>
    <n v="11"/>
    <n v="23.869999999999997"/>
  </r>
  <r>
    <x v="1"/>
    <x v="86"/>
    <s v="EXISTENCIA PREV. 1"/>
    <m/>
    <s v="S/N"/>
    <n v="2"/>
    <n v="5.5"/>
    <n v="11"/>
    <n v="2"/>
    <n v="11"/>
  </r>
  <r>
    <x v="1"/>
    <x v="87"/>
    <s v="EXISTENCIA PREV. 1"/>
    <m/>
    <s v="S/N"/>
    <n v="6"/>
    <n v="12.1"/>
    <n v="72.599999999999994"/>
    <n v="6"/>
    <n v="72.599999999999994"/>
  </r>
  <r>
    <x v="1"/>
    <x v="88"/>
    <s v="EXISTENCIA PREV. 1"/>
    <m/>
    <s v="S/N"/>
    <n v="3"/>
    <n v="24.2"/>
    <n v="72.599999999999994"/>
    <n v="3"/>
    <n v="72.599999999999994"/>
  </r>
  <r>
    <x v="1"/>
    <x v="89"/>
    <s v="EXISTENCIA PREV. 1"/>
    <m/>
    <s v="S/N"/>
    <n v="8"/>
    <n v="95"/>
    <n v="760"/>
    <n v="8"/>
    <n v="760"/>
  </r>
  <r>
    <x v="1"/>
    <x v="90"/>
    <s v="EXISTENCIA PREV. 1"/>
    <m/>
    <s v="S/N"/>
    <n v="4"/>
    <n v="196"/>
    <n v="784"/>
    <n v="4"/>
    <n v="784"/>
  </r>
  <r>
    <x v="1"/>
    <x v="91"/>
    <s v="EXISTENCIA PREV. 1"/>
    <m/>
    <s v="S/N"/>
    <n v="4"/>
    <n v="58.3"/>
    <n v="233.2"/>
    <n v="4"/>
    <n v="233.2"/>
  </r>
  <r>
    <x v="1"/>
    <x v="92"/>
    <s v="EXISTENCIA PREV. 1"/>
    <m/>
    <s v="S/N"/>
    <n v="4"/>
    <n v="196"/>
    <n v="784"/>
    <n v="4"/>
    <n v="784"/>
  </r>
  <r>
    <x v="1"/>
    <x v="93"/>
    <s v="81-0052-OC24"/>
    <s v="2.9.6-1792.87"/>
    <n v="31"/>
    <n v="20"/>
    <n v="11650"/>
    <n v="233000"/>
    <n v="13"/>
    <n v="151450"/>
  </r>
  <r>
    <x v="1"/>
    <x v="94"/>
    <s v="EXISTENCIA PREV. 1"/>
    <m/>
    <s v="S/N"/>
    <n v="5"/>
    <n v="21.9"/>
    <n v="109.5"/>
    <n v="5"/>
    <n v="109.5"/>
  </r>
  <r>
    <x v="1"/>
    <x v="95"/>
    <s v="EXISTENCIA PREV. 1"/>
    <m/>
    <s v="S/N"/>
    <n v="2878"/>
    <n v="1.36"/>
    <n v="3914.0800000000004"/>
    <n v="2793"/>
    <n v="3798.4800000000005"/>
  </r>
  <r>
    <x v="1"/>
    <x v="96"/>
    <s v="EXISTENCIA PREV. 1"/>
    <m/>
    <s v="S/N"/>
    <n v="1519"/>
    <n v="1.81"/>
    <n v="2749.39"/>
    <n v="1434"/>
    <n v="2595.54"/>
  </r>
  <r>
    <x v="1"/>
    <x v="97"/>
    <s v="EXISTENCIA PREV. 1"/>
    <m/>
    <s v="S/N"/>
    <n v="52"/>
    <n v="2.2000000000000002"/>
    <n v="114.4"/>
    <n v="52"/>
    <n v="114.4"/>
  </r>
  <r>
    <x v="1"/>
    <x v="98"/>
    <s v="EXISTENCIA PREV. 1"/>
    <m/>
    <s v="S/N"/>
    <n v="4"/>
    <n v="31"/>
    <n v="124"/>
    <n v="0"/>
    <n v="0"/>
  </r>
  <r>
    <x v="1"/>
    <x v="99"/>
    <s v="81-0049-OC24"/>
    <s v="2.9.6-5017.21"/>
    <n v="7"/>
    <n v="50"/>
    <n v="2262.6999999999998"/>
    <n v="113134.99999999999"/>
    <n v="50"/>
    <n v="113134.99999999999"/>
  </r>
  <r>
    <x v="1"/>
    <x v="99"/>
    <s v="EXISTENCIA PREV. 1"/>
    <s v="2.9.6-5017.21"/>
    <s v="S/N"/>
    <n v="20"/>
    <n v="37"/>
    <n v="740"/>
    <n v="16"/>
    <n v="592"/>
  </r>
  <r>
    <x v="1"/>
    <x v="100"/>
    <s v="EXISTENCIA PREV. 1"/>
    <m/>
    <s v="S/N"/>
    <n v="20"/>
    <n v="2.81"/>
    <n v="56.2"/>
    <n v="20"/>
    <n v="56.2"/>
  </r>
  <r>
    <x v="1"/>
    <x v="101"/>
    <s v="EXISTENCIA PREV. 1"/>
    <m/>
    <s v="S/N"/>
    <n v="24"/>
    <n v="13.86"/>
    <n v="332.64"/>
    <n v="24"/>
    <n v="332.64"/>
  </r>
  <r>
    <x v="1"/>
    <x v="101"/>
    <s v="EXISTENCIA PREV. 2"/>
    <m/>
    <s v="S/N"/>
    <n v="10"/>
    <n v="21.3"/>
    <n v="213"/>
    <n v="10"/>
    <n v="213"/>
  </r>
  <r>
    <x v="1"/>
    <x v="102"/>
    <s v="EXISTENCIA PREV. 1"/>
    <m/>
    <s v="S/N"/>
    <n v="1"/>
    <n v="186"/>
    <n v="186"/>
    <n v="1"/>
    <n v="186"/>
  </r>
  <r>
    <x v="1"/>
    <x v="103"/>
    <s v="81-0052-OC24"/>
    <s v="2.9.6-1792.11"/>
    <n v="18"/>
    <n v="10"/>
    <n v="11800"/>
    <n v="118000"/>
    <n v="9"/>
    <n v="106200"/>
  </r>
  <r>
    <x v="1"/>
    <x v="104"/>
    <s v="EXISTENCIA PREV. 1"/>
    <m/>
    <s v="S/N"/>
    <n v="24"/>
    <n v="6"/>
    <n v="144"/>
    <n v="24"/>
    <n v="144"/>
  </r>
  <r>
    <x v="1"/>
    <x v="105"/>
    <s v="EXISTENCIA PREV. 1"/>
    <m/>
    <s v="S/N"/>
    <n v="10"/>
    <n v="38.18"/>
    <n v="381.8"/>
    <n v="10"/>
    <n v="381.8"/>
  </r>
  <r>
    <x v="1"/>
    <x v="106"/>
    <s v="EXISTENCIA PREV. 1"/>
    <m/>
    <s v="S/N"/>
    <n v="11"/>
    <n v="16.600000000000001"/>
    <n v="182.60000000000002"/>
    <n v="11"/>
    <n v="182.60000000000002"/>
  </r>
  <r>
    <x v="1"/>
    <x v="107"/>
    <s v="81-0052-OC24"/>
    <s v="2.5.5-579.27"/>
    <n v="9"/>
    <n v="20"/>
    <n v="11500"/>
    <n v="230000"/>
    <n v="13"/>
    <n v="149500"/>
  </r>
  <r>
    <x v="1"/>
    <x v="108"/>
    <s v="EXISTENCIA PREV. 1"/>
    <m/>
    <s v="S/N"/>
    <n v="7"/>
    <n v="81.94"/>
    <n v="573.57999999999993"/>
    <n v="7"/>
    <n v="573.57999999999993"/>
  </r>
  <r>
    <x v="1"/>
    <x v="109"/>
    <s v="EXISTENCIA PREV. 1"/>
    <m/>
    <s v="S/N"/>
    <n v="13"/>
    <n v="2.6"/>
    <n v="33.800000000000004"/>
    <n v="13"/>
    <n v="33.800000000000004"/>
  </r>
  <r>
    <x v="1"/>
    <x v="110"/>
    <s v="EXISTENCIA PREV. 1"/>
    <m/>
    <s v="S/N"/>
    <n v="6"/>
    <n v="3.5"/>
    <n v="21"/>
    <n v="6"/>
    <n v="21"/>
  </r>
  <r>
    <x v="1"/>
    <x v="111"/>
    <s v="EXISTENCIA PREV. 1"/>
    <m/>
    <s v="S/N"/>
    <n v="2"/>
    <n v="2.4"/>
    <n v="4.8"/>
    <n v="2"/>
    <n v="4.8"/>
  </r>
  <r>
    <x v="1"/>
    <x v="112"/>
    <s v="EXISTENCIA PREV. 1"/>
    <m/>
    <s v="S/N"/>
    <n v="6"/>
    <n v="5.3"/>
    <n v="31.799999999999997"/>
    <n v="6"/>
    <n v="31.799999999999997"/>
  </r>
  <r>
    <x v="1"/>
    <x v="113"/>
    <s v="EXISTENCIA PREV. 1"/>
    <m/>
    <s v="S/N"/>
    <n v="8"/>
    <n v="0.82"/>
    <n v="6.56"/>
    <n v="8"/>
    <n v="6.56"/>
  </r>
  <r>
    <x v="1"/>
    <x v="114"/>
    <s v="EXISTENCIA PREV. 1"/>
    <m/>
    <s v="S/N"/>
    <n v="8"/>
    <n v="1.04"/>
    <n v="8.32"/>
    <n v="8"/>
    <n v="8.32"/>
  </r>
  <r>
    <x v="1"/>
    <x v="115"/>
    <s v="EXISTENCIA PREV. 1"/>
    <m/>
    <s v="S/N"/>
    <n v="18"/>
    <n v="1.17"/>
    <n v="21.06"/>
    <n v="18"/>
    <n v="21.06"/>
  </r>
  <r>
    <x v="1"/>
    <x v="116"/>
    <s v="EXISTENCIA PREV. 1"/>
    <m/>
    <s v="S/N"/>
    <n v="17"/>
    <n v="0.95"/>
    <n v="16.149999999999999"/>
    <n v="17"/>
    <n v="16.149999999999999"/>
  </r>
  <r>
    <x v="1"/>
    <x v="117"/>
    <s v="EXISTENCIA PREV. 1"/>
    <m/>
    <s v="S/N"/>
    <n v="28"/>
    <n v="1.17"/>
    <n v="32.76"/>
    <n v="28"/>
    <n v="32.76"/>
  </r>
  <r>
    <x v="1"/>
    <x v="118"/>
    <s v="EXISTENCIA PREV. 1"/>
    <m/>
    <s v="S/N"/>
    <n v="19"/>
    <n v="1.28"/>
    <n v="24.32"/>
    <n v="19"/>
    <n v="24.32"/>
  </r>
  <r>
    <x v="1"/>
    <x v="119"/>
    <s v="EXISTENCIA PREV. 1"/>
    <m/>
    <s v="S/N"/>
    <n v="20"/>
    <n v="1.48"/>
    <n v="29.6"/>
    <n v="20"/>
    <n v="29.6"/>
  </r>
  <r>
    <x v="1"/>
    <x v="120"/>
    <s v="EXISTENCIA PREV. 1"/>
    <m/>
    <s v="S/N"/>
    <n v="8"/>
    <n v="5.2"/>
    <n v="41.6"/>
    <n v="8"/>
    <n v="41.6"/>
  </r>
  <r>
    <x v="1"/>
    <x v="121"/>
    <s v="EXISTENCIA PREV. 1"/>
    <m/>
    <s v="S/N"/>
    <n v="9"/>
    <n v="6.18"/>
    <n v="55.62"/>
    <n v="9"/>
    <n v="55.62"/>
  </r>
  <r>
    <x v="1"/>
    <x v="122"/>
    <s v="EXISTENCIA PREV. 1"/>
    <m/>
    <s v="S/N"/>
    <n v="6"/>
    <n v="34200"/>
    <n v="205200"/>
    <n v="5"/>
    <n v="171000"/>
  </r>
  <r>
    <x v="1"/>
    <x v="123"/>
    <s v="81-0051-OC24"/>
    <s v="2.7.9-8857.185"/>
    <n v="16"/>
    <n v="10"/>
    <n v="22395"/>
    <n v="223950"/>
    <n v="10"/>
    <n v="223950"/>
  </r>
  <r>
    <x v="1"/>
    <x v="124"/>
    <s v="EXISTENCIA PREV. 1"/>
    <m/>
    <s v="S/N"/>
    <n v="4"/>
    <n v="3.76"/>
    <n v="15.04"/>
    <n v="4"/>
    <n v="15.04"/>
  </r>
  <r>
    <x v="1"/>
    <x v="124"/>
    <s v="EXISTENCIA PREV. 2"/>
    <m/>
    <s v="S/N"/>
    <n v="25"/>
    <n v="8.4"/>
    <n v="210"/>
    <n v="25"/>
    <n v="210"/>
  </r>
  <r>
    <x v="1"/>
    <x v="125"/>
    <s v="EXISTENCIA PREV. 1"/>
    <m/>
    <s v="S/N"/>
    <n v="1"/>
    <n v="95"/>
    <n v="95"/>
    <n v="0"/>
    <n v="0"/>
  </r>
  <r>
    <x v="1"/>
    <x v="126"/>
    <s v="EXISTENCIA PREV. 1"/>
    <m/>
    <s v="S/N"/>
    <n v="1"/>
    <n v="3.2"/>
    <n v="3.2"/>
    <n v="1"/>
    <n v="3.2"/>
  </r>
  <r>
    <x v="1"/>
    <x v="127"/>
    <s v="EXISTENCIA PREV. 1"/>
    <m/>
    <s v="S/N"/>
    <n v="5"/>
    <n v="0.76"/>
    <n v="3.8"/>
    <n v="5"/>
    <n v="3.8"/>
  </r>
  <r>
    <x v="1"/>
    <x v="127"/>
    <s v="EXISTENCIA PREV. 2"/>
    <m/>
    <s v="S/N"/>
    <n v="20"/>
    <n v="0.85"/>
    <n v="17"/>
    <n v="20"/>
    <n v="17"/>
  </r>
  <r>
    <x v="1"/>
    <x v="128"/>
    <s v="EXISTENCIA PREV. 1"/>
    <m/>
    <s v="S/N"/>
    <n v="3"/>
    <n v="1.1000000000000001"/>
    <n v="3.3000000000000003"/>
    <n v="3"/>
    <n v="3.3000000000000003"/>
  </r>
  <r>
    <x v="1"/>
    <x v="128"/>
    <s v="EXISTENCIA PREV. 2"/>
    <m/>
    <s v="S/N"/>
    <n v="20"/>
    <n v="1.25"/>
    <n v="25"/>
    <n v="20"/>
    <n v="25"/>
  </r>
  <r>
    <x v="1"/>
    <x v="129"/>
    <s v="81-0055-OC24"/>
    <s v="2.9.6-1792.87"/>
    <n v="29"/>
    <n v="50"/>
    <n v="14500"/>
    <n v="725000"/>
    <n v="50"/>
    <n v="725000"/>
  </r>
  <r>
    <x v="1"/>
    <x v="130"/>
    <s v="81-0054-OC24"/>
    <s v="2.9.6-1792.89"/>
    <n v="30"/>
    <n v="50"/>
    <n v="9000"/>
    <n v="450000"/>
    <n v="48"/>
    <n v="432000"/>
  </r>
  <r>
    <x v="1"/>
    <x v="131"/>
    <s v="EXISTENCIA PREV. 1"/>
    <m/>
    <s v="S/N"/>
    <n v="18"/>
    <n v="10.3"/>
    <n v="185.4"/>
    <n v="18"/>
    <n v="185.4"/>
  </r>
  <r>
    <x v="1"/>
    <x v="131"/>
    <s v="EXISTENCIA PREV. 2"/>
    <m/>
    <s v="S/N"/>
    <n v="10"/>
    <n v="52.3"/>
    <n v="523"/>
    <n v="10"/>
    <n v="523"/>
  </r>
  <r>
    <x v="1"/>
    <x v="131"/>
    <s v="EXISTENCIA PREV. 3"/>
    <m/>
    <s v="S/N"/>
    <n v="12"/>
    <n v="35.57"/>
    <n v="426.84000000000003"/>
    <n v="12"/>
    <n v="426.84000000000003"/>
  </r>
  <r>
    <x v="1"/>
    <x v="132"/>
    <s v="EXISTENCIA PREV. 1"/>
    <m/>
    <s v="S/N"/>
    <n v="2"/>
    <n v="66.849999999999994"/>
    <n v="133.69999999999999"/>
    <n v="2"/>
    <n v="133.69999999999999"/>
  </r>
  <r>
    <x v="1"/>
    <x v="133"/>
    <s v="EXISTENCIA PREV. 1"/>
    <m/>
    <s v="S/N"/>
    <n v="93"/>
    <n v="7250"/>
    <n v="674250"/>
    <n v="93"/>
    <n v="674250"/>
  </r>
  <r>
    <x v="1"/>
    <x v="134"/>
    <s v="EXISTENCIA PREV. 1"/>
    <m/>
    <s v="S/N"/>
    <n v="21"/>
    <n v="50"/>
    <n v="1050"/>
    <n v="21"/>
    <n v="1050"/>
  </r>
  <r>
    <x v="1"/>
    <x v="135"/>
    <s v="EXISTENCIA PREV. 1"/>
    <m/>
    <s v="S/N"/>
    <n v="26"/>
    <n v="20"/>
    <n v="520"/>
    <n v="26"/>
    <n v="520"/>
  </r>
  <r>
    <x v="1"/>
    <x v="136"/>
    <s v="81-0052-OC24"/>
    <s v="2.5.5-7012.114"/>
    <n v="10"/>
    <n v="100"/>
    <n v="7250"/>
    <n v="725000"/>
    <n v="100"/>
    <n v="725000"/>
  </r>
  <r>
    <x v="1"/>
    <x v="137"/>
    <s v="81-0050-OC24"/>
    <s v="2.5.5-7012.7"/>
    <n v="12"/>
    <n v="20"/>
    <n v="131960"/>
    <n v="2639200"/>
    <n v="14"/>
    <n v="1847440"/>
  </r>
  <r>
    <x v="1"/>
    <x v="137"/>
    <s v="EXISTENCIA PREV. 1"/>
    <s v="2.5.5-7012.7"/>
    <n v="12"/>
    <n v="19"/>
    <n v="6598"/>
    <n v="125362"/>
    <n v="19"/>
    <n v="125362"/>
  </r>
  <r>
    <x v="1"/>
    <x v="138"/>
    <s v="81-0050-OC24"/>
    <s v="2.9.6-5017.13"/>
    <n v="13"/>
    <n v="100"/>
    <n v="936"/>
    <n v="93600"/>
    <n v="100"/>
    <n v="93600"/>
  </r>
  <r>
    <x v="1"/>
    <x v="139"/>
    <s v="81-0051-OC24"/>
    <s v="2.9.6-1492.7"/>
    <n v="4"/>
    <n v="100"/>
    <n v="14849"/>
    <n v="1484900"/>
    <n v="72"/>
    <n v="1069128"/>
  </r>
  <r>
    <x v="1"/>
    <x v="140"/>
    <s v="81-0052-OC24"/>
    <s v="2.9.6-1876.3"/>
    <n v="6"/>
    <n v="30"/>
    <n v="25890"/>
    <n v="776700"/>
    <n v="26"/>
    <n v="673140"/>
  </r>
  <r>
    <x v="1"/>
    <x v="141"/>
    <s v="EXISTENCIA PREV. 1"/>
    <m/>
    <s v="S/N"/>
    <n v="5"/>
    <n v="249"/>
    <n v="1245"/>
    <n v="5"/>
    <n v="1245"/>
  </r>
  <r>
    <x v="1"/>
    <x v="142"/>
    <s v="EXISTENCIA PREV. 1"/>
    <m/>
    <s v="S/N"/>
    <n v="20"/>
    <n v="0.41"/>
    <n v="8.1999999999999993"/>
    <n v="20"/>
    <n v="8.1999999999999993"/>
  </r>
  <r>
    <x v="1"/>
    <x v="143"/>
    <s v="EXISTENCIA PREV. 1"/>
    <m/>
    <s v="S/N"/>
    <n v="32"/>
    <n v="0.6"/>
    <n v="19.2"/>
    <n v="32"/>
    <n v="19.2"/>
  </r>
  <r>
    <x v="1"/>
    <x v="144"/>
    <s v="EXISTENCIA PREV. 1"/>
    <m/>
    <s v="S/N"/>
    <n v="4"/>
    <n v="0.71"/>
    <n v="2.84"/>
    <n v="4"/>
    <n v="2.84"/>
  </r>
  <r>
    <x v="1"/>
    <x v="145"/>
    <s v="EXISTENCIA PREV. 1"/>
    <m/>
    <s v="S/N"/>
    <n v="8"/>
    <n v="0.6"/>
    <n v="4.8"/>
    <n v="8"/>
    <n v="4.8"/>
  </r>
  <r>
    <x v="1"/>
    <x v="146"/>
    <s v="EXISTENCIA PREV. 1"/>
    <m/>
    <s v="S/N"/>
    <n v="5"/>
    <n v="0.77"/>
    <n v="3.85"/>
    <n v="5"/>
    <n v="3.85"/>
  </r>
  <r>
    <x v="1"/>
    <x v="147"/>
    <s v="EXISTENCIA PREV. 1"/>
    <m/>
    <s v="S/N"/>
    <n v="3"/>
    <n v="1.5"/>
    <n v="4.5"/>
    <n v="3"/>
    <n v="4.5"/>
  </r>
  <r>
    <x v="1"/>
    <x v="148"/>
    <s v="81-0052-OC24"/>
    <s v="2.5.8-819.125"/>
    <n v="20"/>
    <n v="1000"/>
    <n v="27"/>
    <n v="27000"/>
    <n v="1000"/>
    <n v="27000"/>
  </r>
  <r>
    <x v="1"/>
    <x v="149"/>
    <s v="81-0054-OC24"/>
    <s v="2.5.8-819.126"/>
    <n v="21"/>
    <n v="1000"/>
    <n v="28"/>
    <n v="28000"/>
    <n v="1000"/>
    <n v="28000"/>
  </r>
  <r>
    <x v="1"/>
    <x v="150"/>
    <s v="81-0052-OC24"/>
    <s v="2.5.8-819.127"/>
    <n v="22"/>
    <n v="500"/>
    <n v="50"/>
    <n v="25000"/>
    <n v="500"/>
    <n v="25000"/>
  </r>
  <r>
    <x v="1"/>
    <x v="151"/>
    <s v="81-0052-OC24"/>
    <s v="2.5.8-819.134"/>
    <n v="23"/>
    <n v="300"/>
    <n v="125"/>
    <n v="37500"/>
    <n v="270"/>
    <n v="33750"/>
  </r>
  <r>
    <x v="1"/>
    <x v="152"/>
    <s v="EXISTENCIA PREV. 1"/>
    <m/>
    <s v="S/N"/>
    <n v="7"/>
    <n v="3.55"/>
    <n v="24.849999999999998"/>
    <n v="7"/>
    <n v="24.849999999999998"/>
  </r>
  <r>
    <x v="1"/>
    <x v="153"/>
    <s v="EXISTENCIA PREV. 1"/>
    <m/>
    <s v="S/N"/>
    <n v="28"/>
    <n v="4.4000000000000004"/>
    <n v="123.20000000000002"/>
    <n v="28"/>
    <n v="123.20000000000002"/>
  </r>
  <r>
    <x v="1"/>
    <x v="154"/>
    <s v="EXISTENCIA PREV. 1"/>
    <m/>
    <s v="S/N"/>
    <n v="39"/>
    <n v="1.19"/>
    <n v="46.41"/>
    <n v="39"/>
    <n v="46.41"/>
  </r>
  <r>
    <x v="1"/>
    <x v="154"/>
    <s v="EXISTENCIA PREV. 2"/>
    <m/>
    <s v="S/N"/>
    <n v="50"/>
    <n v="2.2200000000000002"/>
    <n v="111.00000000000001"/>
    <n v="50"/>
    <n v="111.00000000000001"/>
  </r>
  <r>
    <x v="1"/>
    <x v="155"/>
    <s v="EXISTENCIA PREV. 1"/>
    <m/>
    <s v="S/N"/>
    <n v="23"/>
    <n v="2.82"/>
    <n v="64.86"/>
    <n v="23"/>
    <n v="64.86"/>
  </r>
  <r>
    <x v="1"/>
    <x v="156"/>
    <s v="EXISTENCIA PREV. 1"/>
    <m/>
    <s v="S/N"/>
    <n v="35"/>
    <n v="2.25"/>
    <n v="78.75"/>
    <n v="35"/>
    <n v="78.75"/>
  </r>
  <r>
    <x v="1"/>
    <x v="156"/>
    <s v="EXISTENCIA PREV. 2"/>
    <m/>
    <s v="S/N"/>
    <n v="10"/>
    <n v="3.22"/>
    <n v="32.200000000000003"/>
    <n v="10"/>
    <n v="32.200000000000003"/>
  </r>
  <r>
    <x v="1"/>
    <x v="156"/>
    <s v="EXISTENCIA PREV. 3"/>
    <m/>
    <s v="S/N"/>
    <n v="40"/>
    <n v="3.12"/>
    <n v="124.80000000000001"/>
    <n v="40"/>
    <n v="124.80000000000001"/>
  </r>
  <r>
    <x v="1"/>
    <x v="157"/>
    <s v="EXISTENCIA PREV. 1"/>
    <m/>
    <s v="S/N"/>
    <n v="7"/>
    <n v="4.97"/>
    <n v="34.79"/>
    <n v="7"/>
    <n v="34.79"/>
  </r>
  <r>
    <x v="1"/>
    <x v="158"/>
    <s v="EXISTENCIA PREV. 1"/>
    <m/>
    <s v="S/N"/>
    <n v="1"/>
    <n v="1.2"/>
    <n v="1.2"/>
    <n v="1"/>
    <n v="1.2"/>
  </r>
  <r>
    <x v="1"/>
    <x v="159"/>
    <s v="EXISTENCIA PREV. 1"/>
    <m/>
    <s v="S/N"/>
    <n v="3"/>
    <n v="1.05"/>
    <n v="3.1500000000000004"/>
    <n v="3"/>
    <n v="3.1500000000000004"/>
  </r>
  <r>
    <x v="1"/>
    <x v="160"/>
    <s v="EXISTENCIA PREV. 1"/>
    <m/>
    <s v="S/N"/>
    <n v="8"/>
    <n v="1.59"/>
    <n v="12.72"/>
    <n v="8"/>
    <n v="12.72"/>
  </r>
  <r>
    <x v="1"/>
    <x v="161"/>
    <s v="EXISTENCIA PREV. 1"/>
    <m/>
    <s v="S/N"/>
    <n v="6"/>
    <n v="2.13"/>
    <n v="12.78"/>
    <n v="6"/>
    <n v="12.78"/>
  </r>
  <r>
    <x v="1"/>
    <x v="162"/>
    <s v="EXISTENCIA PREV. 1"/>
    <m/>
    <s v="S/N"/>
    <n v="20"/>
    <n v="2.81"/>
    <n v="56.2"/>
    <n v="20"/>
    <n v="56.2"/>
  </r>
  <r>
    <x v="1"/>
    <x v="163"/>
    <s v="EXISTENCIA PREV. 1"/>
    <m/>
    <s v="S/N"/>
    <n v="8"/>
    <n v="1.53"/>
    <n v="12.24"/>
    <n v="8"/>
    <n v="12.24"/>
  </r>
  <r>
    <x v="1"/>
    <x v="164"/>
    <s v="EXISTENCIA PREV. 1"/>
    <m/>
    <s v="S/N"/>
    <n v="11"/>
    <n v="9.1300000000000008"/>
    <n v="100.43"/>
    <n v="11"/>
    <n v="100.43"/>
  </r>
  <r>
    <x v="1"/>
    <x v="165"/>
    <s v="EXISTENCIA PREV. 1"/>
    <m/>
    <s v="S/N"/>
    <n v="8"/>
    <n v="1"/>
    <n v="8"/>
    <n v="8"/>
    <n v="8"/>
  </r>
  <r>
    <x v="1"/>
    <x v="166"/>
    <s v="81-0054-OC24"/>
    <s v="2.7.9-644.1677"/>
    <n v="24"/>
    <n v="1000"/>
    <n v="38.200000000000003"/>
    <n v="38200"/>
    <n v="0"/>
    <n v="0"/>
  </r>
  <r>
    <x v="1"/>
    <x v="167"/>
    <s v="81-0054-OC24"/>
    <s v="2.7.9-644.1366"/>
    <n v="25"/>
    <n v="1000"/>
    <n v="56.2"/>
    <n v="56200"/>
    <n v="980"/>
    <n v="55076"/>
  </r>
  <r>
    <x v="1"/>
    <x v="168"/>
    <s v="81-0054-OC24"/>
    <s v="2.7.9-644.1297"/>
    <n v="26"/>
    <n v="1000"/>
    <n v="138.42400000000001"/>
    <n v="138424"/>
    <n v="939"/>
    <n v="129980.13600000001"/>
  </r>
  <r>
    <x v="1"/>
    <x v="169"/>
    <s v="EXISTENCIA PREV. 1"/>
    <m/>
    <s v="S/N"/>
    <n v="6"/>
    <n v="5.2"/>
    <n v="31.200000000000003"/>
    <n v="6"/>
    <n v="31.200000000000003"/>
  </r>
  <r>
    <x v="1"/>
    <x v="170"/>
    <s v="EXISTENCIA PREV. 1"/>
    <m/>
    <s v="S/N"/>
    <n v="33"/>
    <n v="1.86"/>
    <n v="61.38"/>
    <n v="33"/>
    <n v="61.38"/>
  </r>
  <r>
    <x v="1"/>
    <x v="171"/>
    <s v="EXISTENCIA PREV. 1"/>
    <m/>
    <s v="S/N"/>
    <n v="37"/>
    <n v="1.3"/>
    <n v="48.1"/>
    <n v="37"/>
    <n v="48.1"/>
  </r>
  <r>
    <x v="1"/>
    <x v="172"/>
    <s v="EXISTENCIA PREV. 1"/>
    <m/>
    <s v="S/N"/>
    <n v="23"/>
    <n v="2.0299999999999998"/>
    <n v="46.69"/>
    <n v="23"/>
    <n v="46.69"/>
  </r>
  <r>
    <x v="1"/>
    <x v="173"/>
    <s v="EXISTENCIA PREV. 1"/>
    <m/>
    <s v="S/N"/>
    <n v="7"/>
    <n v="2.67"/>
    <n v="18.689999999999998"/>
    <n v="7"/>
    <n v="18.689999999999998"/>
  </r>
  <r>
    <x v="1"/>
    <x v="174"/>
    <s v="EXISTENCIA PREV. 1"/>
    <m/>
    <s v="S/N"/>
    <n v="8"/>
    <n v="15.4"/>
    <n v="123.2"/>
    <n v="8"/>
    <n v="123.2"/>
  </r>
  <r>
    <x v="1"/>
    <x v="175"/>
    <s v="EXISTENCIA PREV. 1"/>
    <m/>
    <s v="S/N"/>
    <n v="6"/>
    <n v="25.3"/>
    <n v="151.80000000000001"/>
    <n v="6"/>
    <n v="151.80000000000001"/>
  </r>
  <r>
    <x v="1"/>
    <x v="176"/>
    <s v="EXISTENCIA PREV. 1"/>
    <m/>
    <s v="S/N"/>
    <n v="7"/>
    <n v="56.1"/>
    <n v="392.7"/>
    <n v="7"/>
    <n v="392.7"/>
  </r>
  <r>
    <x v="1"/>
    <x v="177"/>
    <s v="EXISTENCIA PREV. 1"/>
    <m/>
    <s v="S/N"/>
    <n v="7"/>
    <n v="215"/>
    <n v="1505"/>
    <n v="7"/>
    <n v="1505"/>
  </r>
  <r>
    <x v="1"/>
    <x v="178"/>
    <s v="81-0050-OC24"/>
    <s v="2.9.6-1792.87"/>
    <n v="28"/>
    <n v="50"/>
    <n v="12031"/>
    <n v="601550"/>
    <n v="47"/>
    <n v="565457"/>
  </r>
  <r>
    <x v="1"/>
    <x v="179"/>
    <s v="EXISTENCIA PREV. 1"/>
    <m/>
    <s v="S/N"/>
    <n v="30"/>
    <n v="0.5"/>
    <n v="15"/>
    <n v="30"/>
    <n v="15"/>
  </r>
  <r>
    <x v="1"/>
    <x v="180"/>
    <s v="EXISTENCIA PREV. 1"/>
    <m/>
    <s v="S/N"/>
    <n v="5"/>
    <n v="0.4"/>
    <n v="2"/>
    <n v="5"/>
    <n v="2"/>
  </r>
  <r>
    <x v="1"/>
    <x v="181"/>
    <s v="EXISTENCIA PREV. 1"/>
    <m/>
    <s v="S/N"/>
    <n v="73"/>
    <n v="0.8"/>
    <n v="58.400000000000006"/>
    <n v="73"/>
    <n v="58.400000000000006"/>
  </r>
  <r>
    <x v="1"/>
    <x v="182"/>
    <s v="EXISTENCIA PREV. 1"/>
    <m/>
    <s v="S/N"/>
    <n v="3"/>
    <n v="8.5"/>
    <n v="25.5"/>
    <n v="3"/>
    <n v="25.5"/>
  </r>
  <r>
    <x v="1"/>
    <x v="183"/>
    <s v="EXISTENCIA PREV. 1"/>
    <m/>
    <s v="S/N"/>
    <n v="28"/>
    <n v="8"/>
    <n v="224"/>
    <n v="28"/>
    <n v="224"/>
  </r>
  <r>
    <x v="1"/>
    <x v="184"/>
    <s v="EXISTENCIA PREV. 1"/>
    <m/>
    <s v="S/N"/>
    <n v="3"/>
    <n v="0.53"/>
    <n v="1.59"/>
    <n v="3"/>
    <n v="1.59"/>
  </r>
  <r>
    <x v="1"/>
    <x v="185"/>
    <s v="EXISTENCIA PREV. 1"/>
    <m/>
    <s v="S/N"/>
    <n v="14"/>
    <n v="5.78"/>
    <n v="80.92"/>
    <n v="14"/>
    <n v="80.92"/>
  </r>
  <r>
    <x v="1"/>
    <x v="185"/>
    <s v="EXISTENCIA PREV. 2"/>
    <m/>
    <s v="S/N"/>
    <n v="12"/>
    <n v="23"/>
    <n v="276"/>
    <n v="12"/>
    <n v="276"/>
  </r>
  <r>
    <x v="1"/>
    <x v="186"/>
    <s v="EXISTENCIA PREV. 1"/>
    <m/>
    <s v="S/N"/>
    <n v="7"/>
    <n v="56.4"/>
    <n v="394.8"/>
    <n v="7"/>
    <n v="394.8"/>
  </r>
  <r>
    <x v="1"/>
    <x v="187"/>
    <s v="EXISTENCIA PREV. 1"/>
    <m/>
    <s v="S/N"/>
    <n v="13"/>
    <n v="19"/>
    <n v="247"/>
    <n v="13"/>
    <n v="247"/>
  </r>
  <r>
    <x v="1"/>
    <x v="188"/>
    <s v="81-0051-OC24"/>
    <s v="2.9.6-1792.7"/>
    <n v="32"/>
    <n v="30"/>
    <n v="109847"/>
    <n v="3295410"/>
    <n v="25"/>
    <n v="2746175"/>
  </r>
  <r>
    <x v="1"/>
    <x v="189"/>
    <s v="81-0051-OC24"/>
    <s v="2.7.1-1365.5"/>
    <n v="14"/>
    <n v="20"/>
    <n v="41950"/>
    <n v="839000"/>
    <n v="13"/>
    <n v="545350"/>
  </r>
  <r>
    <x v="2"/>
    <x v="190"/>
    <s v="EXISTENCIA PREV. 1"/>
    <m/>
    <s v="S/N"/>
    <n v="15"/>
    <n v="7.9"/>
    <n v="118.5"/>
    <n v="15"/>
    <n v="118.5"/>
  </r>
  <r>
    <x v="2"/>
    <x v="191"/>
    <s v="EXISTENCIA PREV. 1"/>
    <m/>
    <s v="S/N"/>
    <n v="29"/>
    <n v="8.8000000000000007"/>
    <n v="255.20000000000002"/>
    <n v="29"/>
    <n v="255.20000000000002"/>
  </r>
  <r>
    <x v="2"/>
    <x v="192"/>
    <s v="EXISTENCIA PREV. 1"/>
    <m/>
    <s v="S/N"/>
    <n v="2"/>
    <n v="38"/>
    <n v="76"/>
    <n v="2"/>
    <n v="76"/>
  </r>
  <r>
    <x v="2"/>
    <x v="193"/>
    <s v="EXISTENCIA PREV. 1"/>
    <m/>
    <s v="S/N"/>
    <n v="153"/>
    <n v="0.12"/>
    <n v="18.36"/>
    <n v="153"/>
    <n v="18.36"/>
  </r>
  <r>
    <x v="2"/>
    <x v="194"/>
    <s v="81-0058-OC24"/>
    <s v="2.9.3-1454.13"/>
    <n v="10"/>
    <n v="300"/>
    <n v="310"/>
    <n v="93000"/>
    <n v="189"/>
    <n v="58590"/>
  </r>
  <r>
    <x v="2"/>
    <x v="195"/>
    <s v="EXISTENCIA PREV. 1"/>
    <m/>
    <s v="S/N"/>
    <n v="90"/>
    <n v="687"/>
    <n v="61830"/>
    <n v="90"/>
    <n v="61830"/>
  </r>
  <r>
    <x v="2"/>
    <x v="196"/>
    <s v="EXISTENCIA PREV. 1"/>
    <m/>
    <s v="S/N"/>
    <n v="1300"/>
    <n v="3.2"/>
    <n v="4160"/>
    <n v="1300"/>
    <n v="4160"/>
  </r>
  <r>
    <x v="2"/>
    <x v="197"/>
    <s v="EXISTENCIA PREV. 1"/>
    <m/>
    <s v="S/N"/>
    <n v="200"/>
    <n v="5.1100000000000003"/>
    <n v="1022.0000000000001"/>
    <n v="200"/>
    <n v="1022.0000000000001"/>
  </r>
  <r>
    <x v="2"/>
    <x v="198"/>
    <s v="EXISTENCIA PREV. 1"/>
    <m/>
    <s v="S/N"/>
    <n v="1400"/>
    <n v="7.94"/>
    <n v="11116"/>
    <n v="1400"/>
    <n v="11116"/>
  </r>
  <r>
    <x v="2"/>
    <x v="199"/>
    <s v="EXISTENCIA PREV. 1"/>
    <m/>
    <s v="S/N"/>
    <n v="4500"/>
    <n v="11.708299999999999"/>
    <n v="52687.35"/>
    <n v="4500"/>
    <n v="52687.35"/>
  </r>
  <r>
    <x v="2"/>
    <x v="200"/>
    <s v="EXISTENCIA PREV. 1"/>
    <m/>
    <s v="S/N"/>
    <n v="300"/>
    <n v="8.4700000000000006"/>
    <n v="2541"/>
    <n v="300"/>
    <n v="2541"/>
  </r>
  <r>
    <x v="2"/>
    <x v="201"/>
    <s v="EXISTENCIA PREV. 1"/>
    <m/>
    <s v="S/N"/>
    <n v="200"/>
    <n v="143.15"/>
    <n v="28630"/>
    <n v="200"/>
    <n v="28630"/>
  </r>
  <r>
    <x v="2"/>
    <x v="202"/>
    <s v="EXISTENCIA PREV. 1"/>
    <m/>
    <s v="S/N"/>
    <n v="35"/>
    <n v="464.01"/>
    <n v="16240.35"/>
    <n v="35"/>
    <n v="16240.35"/>
  </r>
  <r>
    <x v="2"/>
    <x v="203"/>
    <s v="EXISTENCIA PREV. 1"/>
    <m/>
    <s v="S/N"/>
    <n v="48"/>
    <n v="0.2"/>
    <n v="9.6000000000000014"/>
    <n v="48"/>
    <n v="9.6000000000000014"/>
  </r>
  <r>
    <x v="2"/>
    <x v="204"/>
    <s v="EXISTENCIA PREV. 1"/>
    <m/>
    <s v="S/N"/>
    <n v="2"/>
    <n v="71.75"/>
    <n v="143.5"/>
    <n v="2"/>
    <n v="143.5"/>
  </r>
  <r>
    <x v="2"/>
    <x v="205"/>
    <s v="EXISTENCIA PREV. 1"/>
    <m/>
    <s v="S/N"/>
    <n v="2"/>
    <n v="5778"/>
    <n v="11556"/>
    <n v="0"/>
    <n v="0"/>
  </r>
  <r>
    <x v="2"/>
    <x v="206"/>
    <s v="EXISTENCIA PREV. 1"/>
    <m/>
    <s v="S/N"/>
    <n v="3"/>
    <n v="11"/>
    <n v="33"/>
    <n v="3"/>
    <n v="33"/>
  </r>
  <r>
    <x v="2"/>
    <x v="207"/>
    <s v="81-0057-OC24"/>
    <s v="293-01451-0108"/>
    <n v="20"/>
    <n v="30"/>
    <n v="12214.68"/>
    <n v="366440.4"/>
    <n v="26"/>
    <n v="317581.68"/>
  </r>
  <r>
    <x v="2"/>
    <x v="208"/>
    <s v="81-0057-OC24"/>
    <s v="293-01451-0044"/>
    <n v="21"/>
    <n v="20"/>
    <n v="1748"/>
    <n v="34960"/>
    <n v="10"/>
    <n v="17480"/>
  </r>
  <r>
    <x v="2"/>
    <x v="209"/>
    <s v="81-0057-OC24"/>
    <s v="2.9.3-1033.58"/>
    <n v="22"/>
    <n v="500"/>
    <n v="1670.35"/>
    <n v="835175"/>
    <n v="461"/>
    <n v="770031.35"/>
  </r>
  <r>
    <x v="2"/>
    <x v="210"/>
    <s v="EXISTENCIA PREV. 1"/>
    <m/>
    <s v="S/N"/>
    <n v="118"/>
    <n v="1"/>
    <n v="118"/>
    <n v="118"/>
    <n v="118"/>
  </r>
  <r>
    <x v="2"/>
    <x v="211"/>
    <s v="EXISTENCIA PREV. 1"/>
    <m/>
    <s v="S/N"/>
    <n v="5"/>
    <n v="16"/>
    <n v="80"/>
    <n v="5"/>
    <n v="80"/>
  </r>
  <r>
    <x v="2"/>
    <x v="212"/>
    <s v="81-0059-OC24"/>
    <s v="2.9.3-1137.316"/>
    <n v="27"/>
    <n v="1000"/>
    <n v="634.85"/>
    <n v="634850"/>
    <n v="1000"/>
    <n v="634850"/>
  </r>
  <r>
    <x v="2"/>
    <x v="212"/>
    <s v="EXISTENCIA PREV. 1"/>
    <s v="2.9.3-1137.316"/>
    <s v="S/N"/>
    <n v="1100"/>
    <n v="69.78"/>
    <n v="76758"/>
    <n v="1100"/>
    <n v="76758"/>
  </r>
  <r>
    <x v="2"/>
    <x v="213"/>
    <s v="81-0059-OC24"/>
    <s v="2.9.3-1137.316"/>
    <n v="28"/>
    <n v="10"/>
    <n v="63485"/>
    <n v="634850"/>
    <n v="10"/>
    <n v="634850"/>
  </r>
  <r>
    <x v="2"/>
    <x v="214"/>
    <s v="81-0059-OC24"/>
    <s v="293-02285-0082"/>
    <n v="25"/>
    <n v="500"/>
    <n v="2238.5500000000002"/>
    <n v="1119275"/>
    <n v="100"/>
    <n v="223855.00000000003"/>
  </r>
  <r>
    <x v="2"/>
    <x v="215"/>
    <s v="EXISTENCIA PREV. 1"/>
    <m/>
    <s v="S/N"/>
    <n v="1"/>
    <n v="1111"/>
    <n v="1111"/>
    <n v="1"/>
    <n v="1111"/>
  </r>
  <r>
    <x v="2"/>
    <x v="216"/>
    <s v="EXISTENCIA PREV. 1"/>
    <m/>
    <s v="S/N"/>
    <n v="2"/>
    <n v="1210"/>
    <n v="2420"/>
    <n v="2"/>
    <n v="2420"/>
  </r>
  <r>
    <x v="2"/>
    <x v="217"/>
    <s v="EXISTENCIA PREV. 1"/>
    <m/>
    <s v="S/N"/>
    <n v="3"/>
    <n v="1750"/>
    <n v="5250"/>
    <n v="3"/>
    <n v="5250"/>
  </r>
  <r>
    <x v="2"/>
    <x v="218"/>
    <s v="EXISTENCIA PREV. 1"/>
    <m/>
    <s v="S/N"/>
    <n v="7"/>
    <n v="1944"/>
    <n v="13608"/>
    <n v="7"/>
    <n v="13608"/>
  </r>
  <r>
    <x v="2"/>
    <x v="219"/>
    <s v="EXISTENCIA PREV. 1"/>
    <m/>
    <s v="S/N"/>
    <n v="4"/>
    <n v="9780.84"/>
    <n v="39123.360000000001"/>
    <n v="4"/>
    <n v="39123.360000000001"/>
  </r>
  <r>
    <x v="2"/>
    <x v="220"/>
    <s v="81-0057-OC24"/>
    <s v="2.9.3-1984.5"/>
    <n v="24"/>
    <n v="6"/>
    <n v="9780.84"/>
    <n v="58685.04"/>
    <n v="6"/>
    <n v="58685.04"/>
  </r>
  <r>
    <x v="2"/>
    <x v="221"/>
    <s v="EXISTENCIA PREV. 1"/>
    <m/>
    <s v="S/N"/>
    <n v="17"/>
    <n v="1488"/>
    <n v="25296"/>
    <n v="17"/>
    <n v="25296"/>
  </r>
  <r>
    <x v="2"/>
    <x v="222"/>
    <s v="EXISTENCIA PREV. 1"/>
    <m/>
    <s v="S/N"/>
    <n v="1865"/>
    <n v="0.47"/>
    <n v="876.55"/>
    <n v="1865"/>
    <n v="876.55"/>
  </r>
  <r>
    <x v="2"/>
    <x v="223"/>
    <s v="EXISTENCIA PREV. 1"/>
    <m/>
    <s v="S/N"/>
    <n v="6"/>
    <n v="8.24"/>
    <n v="49.44"/>
    <n v="6"/>
    <n v="49.44"/>
  </r>
  <r>
    <x v="2"/>
    <x v="224"/>
    <s v="EXISTENCIA PREV. 1"/>
    <m/>
    <s v="S/N"/>
    <n v="19"/>
    <n v="399"/>
    <n v="7581"/>
    <n v="19"/>
    <n v="7581"/>
  </r>
  <r>
    <x v="2"/>
    <x v="225"/>
    <s v="81-0058-OC24"/>
    <s v="293-01887-0152"/>
    <n v="15"/>
    <n v="20"/>
    <n v="4500"/>
    <n v="90000"/>
    <n v="16"/>
    <n v="72000"/>
  </r>
  <r>
    <x v="2"/>
    <x v="226"/>
    <s v="81-0058-OC24"/>
    <s v="293-01887-0152"/>
    <n v="16"/>
    <n v="40"/>
    <n v="15300"/>
    <n v="612000"/>
    <n v="40"/>
    <n v="612000"/>
  </r>
  <r>
    <x v="2"/>
    <x v="227"/>
    <s v="EXISTENCIA PREV. 1"/>
    <m/>
    <s v="S/N"/>
    <n v="10"/>
    <n v="28.5"/>
    <n v="285"/>
    <n v="10"/>
    <n v="285"/>
  </r>
  <r>
    <x v="2"/>
    <x v="227"/>
    <s v="EXISTENCIA PREV. 2"/>
    <m/>
    <s v="S/N"/>
    <n v="40"/>
    <n v="28.95"/>
    <n v="1158"/>
    <n v="40"/>
    <n v="1158"/>
  </r>
  <r>
    <x v="2"/>
    <x v="228"/>
    <s v="EXISTENCIA PREV. 1"/>
    <m/>
    <s v="S/N"/>
    <n v="4"/>
    <n v="1"/>
    <n v="4"/>
    <n v="4"/>
    <n v="4"/>
  </r>
  <r>
    <x v="2"/>
    <x v="228"/>
    <s v="EXISTENCIA PREV. 2"/>
    <m/>
    <s v="S/N"/>
    <n v="15"/>
    <n v="121.7"/>
    <n v="1825.5"/>
    <n v="15"/>
    <n v="1825.5"/>
  </r>
  <r>
    <x v="2"/>
    <x v="229"/>
    <s v="EXISTENCIA PREV. 1"/>
    <m/>
    <s v="S/N"/>
    <n v="85"/>
    <n v="1.7"/>
    <n v="144.5"/>
    <n v="85"/>
    <n v="144.5"/>
  </r>
  <r>
    <x v="2"/>
    <x v="229"/>
    <s v="EXISTENCIA PREV. 2"/>
    <m/>
    <s v="S/N"/>
    <n v="50"/>
    <n v="4.28"/>
    <n v="214"/>
    <n v="50"/>
    <n v="214"/>
  </r>
  <r>
    <x v="2"/>
    <x v="229"/>
    <s v="EXISTENCIA PREV. 3"/>
    <m/>
    <s v="S/N"/>
    <n v="10"/>
    <n v="14.8"/>
    <n v="148"/>
    <n v="10"/>
    <n v="148"/>
  </r>
  <r>
    <x v="2"/>
    <x v="229"/>
    <s v="EXISTENCIA PREV. 4"/>
    <m/>
    <s v="S/N"/>
    <n v="15"/>
    <n v="13.8"/>
    <n v="207"/>
    <n v="15"/>
    <n v="207"/>
  </r>
  <r>
    <x v="2"/>
    <x v="230"/>
    <s v="EXISTENCIA PREV. 1"/>
    <m/>
    <s v="S/N"/>
    <n v="119"/>
    <n v="1.92"/>
    <n v="228.48"/>
    <n v="118"/>
    <n v="226.56"/>
  </r>
  <r>
    <x v="2"/>
    <x v="230"/>
    <s v="EXISTENCIA PREV. 2"/>
    <m/>
    <s v="S/N"/>
    <n v="100"/>
    <n v="1.74"/>
    <n v="174"/>
    <n v="100"/>
    <n v="174"/>
  </r>
  <r>
    <x v="2"/>
    <x v="230"/>
    <s v="EXISTENCIA PREV. 3"/>
    <m/>
    <s v="S/N"/>
    <n v="60"/>
    <n v="7.2"/>
    <n v="432"/>
    <n v="60"/>
    <n v="432"/>
  </r>
  <r>
    <x v="2"/>
    <x v="231"/>
    <s v="EXISTENCIA PREV. 1"/>
    <m/>
    <s v="S/N"/>
    <n v="46"/>
    <n v="4.0999999999999996"/>
    <n v="188.6"/>
    <n v="46"/>
    <n v="188.6"/>
  </r>
  <r>
    <x v="2"/>
    <x v="231"/>
    <s v="EXISTENCIA PREV. 2"/>
    <m/>
    <s v="S/N"/>
    <n v="10"/>
    <n v="8.5"/>
    <n v="85"/>
    <n v="10"/>
    <n v="85"/>
  </r>
  <r>
    <x v="2"/>
    <x v="231"/>
    <s v="EXISTENCIA PREV. 3"/>
    <m/>
    <s v="S/N"/>
    <n v="6"/>
    <n v="14.8"/>
    <n v="88.800000000000011"/>
    <n v="6"/>
    <n v="88.800000000000011"/>
  </r>
  <r>
    <x v="2"/>
    <x v="232"/>
    <s v="EXISTENCIA PREV. 1"/>
    <m/>
    <s v="S/N"/>
    <n v="4"/>
    <n v="1"/>
    <n v="4"/>
    <n v="4"/>
    <n v="4"/>
  </r>
  <r>
    <x v="2"/>
    <x v="233"/>
    <s v="81-0057-OC24"/>
    <s v="293-09785-0044"/>
    <n v="2"/>
    <n v="800"/>
    <n v="779.65"/>
    <n v="623720"/>
    <n v="570"/>
    <n v="444400.5"/>
  </r>
  <r>
    <x v="2"/>
    <x v="234"/>
    <s v="81-0057-OC24"/>
    <s v="293-09785-0109"/>
    <n v="3"/>
    <n v="200"/>
    <n v="677.96"/>
    <n v="135592"/>
    <n v="169"/>
    <n v="114575.24"/>
  </r>
  <r>
    <x v="2"/>
    <x v="235"/>
    <s v="EXISTENCIA PREV. 1"/>
    <m/>
    <s v="S/N"/>
    <n v="8"/>
    <n v="887"/>
    <n v="7096"/>
    <n v="8"/>
    <n v="7096"/>
  </r>
  <r>
    <x v="2"/>
    <x v="236"/>
    <s v="EXISTENCIA PREV. 1"/>
    <m/>
    <s v="S/N"/>
    <n v="11"/>
    <n v="188"/>
    <n v="2068"/>
    <n v="10"/>
    <n v="1880"/>
  </r>
  <r>
    <x v="2"/>
    <x v="237"/>
    <s v="EXISTENCIA PREV. 1"/>
    <m/>
    <s v="S/N"/>
    <n v="10"/>
    <n v="66.5"/>
    <n v="665"/>
    <n v="10"/>
    <n v="665"/>
  </r>
  <r>
    <x v="2"/>
    <x v="237"/>
    <s v="EXISTENCIA PREV. 2"/>
    <m/>
    <s v="S/N"/>
    <n v="4"/>
    <n v="255"/>
    <n v="1020"/>
    <n v="4"/>
    <n v="1020"/>
  </r>
  <r>
    <x v="2"/>
    <x v="238"/>
    <s v="EXISTENCIA PREV. 1"/>
    <m/>
    <s v="S/N"/>
    <n v="23"/>
    <n v="327"/>
    <n v="7521"/>
    <n v="23"/>
    <n v="7521"/>
  </r>
  <r>
    <x v="2"/>
    <x v="239"/>
    <s v="EXISTENCIA PREV. 1"/>
    <m/>
    <s v="S/N"/>
    <n v="4"/>
    <n v="165"/>
    <n v="660"/>
    <n v="4"/>
    <n v="660"/>
  </r>
  <r>
    <x v="2"/>
    <x v="239"/>
    <s v="EXISTENCIA PREV. 2"/>
    <m/>
    <s v="S/N"/>
    <n v="10"/>
    <n v="66.5"/>
    <n v="665"/>
    <n v="10"/>
    <n v="665"/>
  </r>
  <r>
    <x v="2"/>
    <x v="239"/>
    <s v="EXISTENCIA PREV. 3"/>
    <m/>
    <s v="S/N"/>
    <n v="10"/>
    <n v="333"/>
    <n v="3330"/>
    <n v="10"/>
    <n v="3330"/>
  </r>
  <r>
    <x v="2"/>
    <x v="240"/>
    <s v="EXISTENCIA PREV. 1"/>
    <m/>
    <s v="S/N"/>
    <n v="5"/>
    <n v="165"/>
    <n v="825"/>
    <n v="4"/>
    <n v="660"/>
  </r>
  <r>
    <x v="2"/>
    <x v="240"/>
    <s v="EXISTENCIA PREV. 2"/>
    <m/>
    <s v="S/N"/>
    <n v="30"/>
    <n v="66.5"/>
    <n v="1995"/>
    <n v="30"/>
    <n v="1995"/>
  </r>
  <r>
    <x v="2"/>
    <x v="240"/>
    <s v="EXISTENCIA PREV. 3"/>
    <m/>
    <s v="S/N"/>
    <n v="10"/>
    <n v="330"/>
    <n v="3300"/>
    <n v="10"/>
    <n v="3300"/>
  </r>
  <r>
    <x v="2"/>
    <x v="241"/>
    <s v="EXISTENCIA PREV. 1"/>
    <m/>
    <s v="S/N"/>
    <n v="3"/>
    <n v="1480"/>
    <n v="4440"/>
    <n v="3"/>
    <n v="4440"/>
  </r>
  <r>
    <x v="2"/>
    <x v="242"/>
    <s v="EXISTENCIA PREV. 1"/>
    <m/>
    <s v="S/N"/>
    <n v="3"/>
    <n v="1.3"/>
    <n v="3.9000000000000004"/>
    <n v="3"/>
    <n v="3.9000000000000004"/>
  </r>
  <r>
    <x v="2"/>
    <x v="243"/>
    <s v="EXISTENCIA PREV. 1"/>
    <m/>
    <s v="S/N"/>
    <n v="10"/>
    <n v="19.8"/>
    <n v="198"/>
    <n v="10"/>
    <n v="198"/>
  </r>
  <r>
    <x v="2"/>
    <x v="243"/>
    <s v="EXISTENCIA PREV. 2"/>
    <m/>
    <s v="S/N"/>
    <n v="60"/>
    <n v="6.35"/>
    <n v="381"/>
    <n v="60"/>
    <n v="381"/>
  </r>
  <r>
    <x v="2"/>
    <x v="244"/>
    <s v="81-0058-OC24"/>
    <s v="293-06736-0007"/>
    <n v="9"/>
    <n v="400"/>
    <n v="2735"/>
    <n v="1094000"/>
    <n v="383"/>
    <n v="1047505"/>
  </r>
  <r>
    <x v="2"/>
    <x v="245"/>
    <s v="81-0058-OC24"/>
    <s v="2.9.3-657.23"/>
    <n v="12"/>
    <n v="50"/>
    <n v="530"/>
    <n v="26500"/>
    <n v="18"/>
    <n v="9540"/>
  </r>
  <r>
    <x v="2"/>
    <x v="246"/>
    <s v="EXISTENCIA PREV. 1"/>
    <m/>
    <s v="S/N"/>
    <n v="308"/>
    <n v="2735"/>
    <n v="842380"/>
    <n v="276"/>
    <n v="754860"/>
  </r>
  <r>
    <x v="2"/>
    <x v="247"/>
    <s v="81-0058-OC24"/>
    <s v="2.9.3-657.23"/>
    <n v="13"/>
    <n v="50"/>
    <n v="72"/>
    <n v="3600"/>
    <n v="41"/>
    <n v="2952"/>
  </r>
  <r>
    <x v="2"/>
    <x v="248"/>
    <s v="81-0057-OC24"/>
    <s v="293-06568-0129"/>
    <n v="5"/>
    <n v="50"/>
    <n v="30845.83"/>
    <n v="1542291.5"/>
    <n v="50"/>
    <n v="1542291.5"/>
  </r>
  <r>
    <x v="2"/>
    <x v="248"/>
    <s v="EXISTENCIA PREV. 1"/>
    <s v="293-06568-0129"/>
    <s v="S/N"/>
    <n v="50"/>
    <n v="30845.83"/>
    <n v="1542291.5"/>
    <n v="49"/>
    <n v="1511445.6700000002"/>
  </r>
  <r>
    <x v="2"/>
    <x v="249"/>
    <s v="EXISTENCIA PREV. 1"/>
    <m/>
    <s v="S/N"/>
    <n v="22"/>
    <n v="417.45"/>
    <n v="9183.9"/>
    <n v="22"/>
    <n v="9183.9"/>
  </r>
  <r>
    <x v="2"/>
    <x v="250"/>
    <s v="81-0057-OC24"/>
    <s v="2.9.3-4701.2"/>
    <n v="6"/>
    <n v="250"/>
    <n v="3145.83"/>
    <n v="786457.5"/>
    <n v="250"/>
    <n v="786457.5"/>
  </r>
  <r>
    <x v="2"/>
    <x v="251"/>
    <s v="81-0057-OC24"/>
    <s v="4.3.9-2317.2"/>
    <n v="23"/>
    <n v="6"/>
    <n v="138500"/>
    <n v="831000"/>
    <n v="4"/>
    <n v="554000"/>
  </r>
  <r>
    <x v="2"/>
    <x v="252"/>
    <s v="81-0059-OC24"/>
    <s v="2.9.3-2285.157"/>
    <n v="26"/>
    <n v="1000"/>
    <n v="3549.84"/>
    <n v="3549840"/>
    <n v="900"/>
    <n v="3194856"/>
  </r>
  <r>
    <x v="2"/>
    <x v="253"/>
    <s v="81-0057-OC24"/>
    <s v="2.9.3-6568.312"/>
    <n v="8"/>
    <n v="50"/>
    <n v="42566.13"/>
    <n v="2128306.5"/>
    <n v="50"/>
    <n v="2128306.5"/>
  </r>
  <r>
    <x v="2"/>
    <x v="254"/>
    <s v="81-0058-OC24"/>
    <s v="2.9.3-1553.27"/>
    <n v="17"/>
    <n v="400"/>
    <n v="23150"/>
    <n v="9260000"/>
    <n v="395"/>
    <n v="9144250"/>
  </r>
  <r>
    <x v="2"/>
    <x v="255"/>
    <s v="81-0057-OC24"/>
    <s v="258-00723-0017"/>
    <n v="18"/>
    <n v="10"/>
    <n v="5493.6"/>
    <n v="54936"/>
    <n v="2"/>
    <n v="10987.2"/>
  </r>
  <r>
    <x v="2"/>
    <x v="256"/>
    <s v="81-0057-OC24"/>
    <s v="258-00723-0017"/>
    <n v="19"/>
    <n v="10"/>
    <n v="8741.51"/>
    <n v="87415.1"/>
    <n v="5"/>
    <n v="43707.55"/>
  </r>
  <r>
    <x v="2"/>
    <x v="257"/>
    <s v="EXISTENCIA PREV. 1"/>
    <m/>
    <s v="S/N"/>
    <n v="28"/>
    <n v="0.4"/>
    <n v="11.200000000000001"/>
    <n v="28"/>
    <n v="11.200000000000001"/>
  </r>
  <r>
    <x v="2"/>
    <x v="258"/>
    <s v="EXISTENCIA PREV. 1"/>
    <m/>
    <s v="S/N"/>
    <n v="8"/>
    <n v="50"/>
    <n v="400"/>
    <n v="8"/>
    <n v="400"/>
  </r>
  <r>
    <x v="2"/>
    <x v="258"/>
    <s v="EXISTENCIA PREV. 2"/>
    <m/>
    <s v="S/N"/>
    <n v="110"/>
    <n v="33"/>
    <n v="3630"/>
    <n v="110"/>
    <n v="3630"/>
  </r>
  <r>
    <x v="2"/>
    <x v="259"/>
    <s v="EXISTENCIA PREV. 1"/>
    <m/>
    <s v="S/N"/>
    <n v="18"/>
    <n v="33"/>
    <n v="594"/>
    <n v="18"/>
    <n v="594"/>
  </r>
  <r>
    <x v="2"/>
    <x v="260"/>
    <s v="EXISTENCIA PREV. 1"/>
    <m/>
    <s v="S/N"/>
    <n v="558"/>
    <n v="109.16"/>
    <n v="60911.28"/>
    <n v="558"/>
    <n v="60911.28"/>
  </r>
  <r>
    <x v="2"/>
    <x v="261"/>
    <s v="EXISTENCIA PREV. 1"/>
    <m/>
    <s v="S/N"/>
    <n v="14"/>
    <n v="71"/>
    <n v="994"/>
    <n v="14"/>
    <n v="994"/>
  </r>
  <r>
    <x v="2"/>
    <x v="262"/>
    <s v="EXISTENCIA PREV. 1"/>
    <m/>
    <s v="S/N"/>
    <n v="11"/>
    <n v="62"/>
    <n v="682"/>
    <n v="11"/>
    <n v="682"/>
  </r>
  <r>
    <x v="2"/>
    <x v="263"/>
    <s v="EXISTENCIA PREV. 1"/>
    <m/>
    <s v="S/N"/>
    <n v="350"/>
    <n v="181.67"/>
    <n v="63584.499999999993"/>
    <n v="350"/>
    <n v="63584.499999999993"/>
  </r>
  <r>
    <x v="2"/>
    <x v="264"/>
    <s v="EXISTENCIA PREV. 1"/>
    <m/>
    <s v="S/N"/>
    <n v="828"/>
    <n v="181.67"/>
    <n v="150422.75999999998"/>
    <n v="828"/>
    <n v="150422.75999999998"/>
  </r>
  <r>
    <x v="2"/>
    <x v="265"/>
    <s v="EXISTENCIA PREV. 1"/>
    <m/>
    <s v="S/N"/>
    <n v="40"/>
    <n v="275.60000000000002"/>
    <n v="11024"/>
    <n v="40"/>
    <n v="11024"/>
  </r>
  <r>
    <x v="2"/>
    <x v="266"/>
    <s v="81-0057-OC24"/>
    <s v="293-06568-0001"/>
    <n v="4"/>
    <n v="100"/>
    <n v="2953.24"/>
    <n v="295324"/>
    <n v="79"/>
    <n v="233305.96"/>
  </r>
  <r>
    <x v="2"/>
    <x v="267"/>
    <s v="EXISTENCIA PREV. 1"/>
    <m/>
    <s v="S/N"/>
    <n v="16"/>
    <n v="965"/>
    <n v="15440"/>
    <n v="0"/>
    <n v="0"/>
  </r>
  <r>
    <x v="2"/>
    <x v="267"/>
    <s v="EXISTENCIA PREV. 2"/>
    <m/>
    <s v="S/N"/>
    <n v="250"/>
    <n v="3145.83"/>
    <n v="786457.5"/>
    <n v="234"/>
    <n v="736124.22"/>
  </r>
  <r>
    <x v="2"/>
    <x v="268"/>
    <s v="EXISTENCIA PREV. 1"/>
    <m/>
    <s v="S/N"/>
    <n v="261"/>
    <n v="0.26"/>
    <n v="67.86"/>
    <n v="261"/>
    <n v="67.86"/>
  </r>
  <r>
    <x v="2"/>
    <x v="268"/>
    <s v="EXISTENCIA PREV. 2"/>
    <m/>
    <s v="S/N"/>
    <n v="250"/>
    <n v="0.14499999999999999"/>
    <n v="36.25"/>
    <n v="250"/>
    <n v="36.25"/>
  </r>
  <r>
    <x v="2"/>
    <x v="269"/>
    <s v="EXISTENCIA PREV. 1"/>
    <m/>
    <s v="S/N"/>
    <n v="220"/>
    <n v="0.26"/>
    <n v="57.2"/>
    <n v="220"/>
    <n v="57.2"/>
  </r>
  <r>
    <x v="2"/>
    <x v="269"/>
    <s v="EXISTENCIA PREV. 2"/>
    <m/>
    <s v="S/N"/>
    <n v="250"/>
    <n v="0.14499999999999999"/>
    <n v="36.25"/>
    <n v="250"/>
    <n v="36.25"/>
  </r>
  <r>
    <x v="2"/>
    <x v="270"/>
    <s v="EXISTENCIA PREV. 1"/>
    <m/>
    <s v="S/N"/>
    <n v="42"/>
    <n v="0.6"/>
    <n v="25.2"/>
    <n v="42"/>
    <n v="25.2"/>
  </r>
  <r>
    <x v="2"/>
    <x v="271"/>
    <s v="EXISTENCIA PREV. 1"/>
    <m/>
    <s v="S/N"/>
    <n v="118"/>
    <n v="0.6"/>
    <n v="70.8"/>
    <n v="118"/>
    <n v="70.8"/>
  </r>
  <r>
    <x v="2"/>
    <x v="272"/>
    <s v="EXISTENCIA PREV. 1"/>
    <m/>
    <s v="S/N"/>
    <n v="51"/>
    <n v="0.12"/>
    <n v="6.12"/>
    <n v="51"/>
    <n v="6.12"/>
  </r>
  <r>
    <x v="2"/>
    <x v="273"/>
    <s v="EXISTENCIA PREV. 1"/>
    <m/>
    <s v="S/N"/>
    <n v="1000"/>
    <n v="9.4560000000000005E-2"/>
    <n v="94.56"/>
    <n v="1000"/>
    <n v="94.56"/>
  </r>
  <r>
    <x v="2"/>
    <x v="273"/>
    <s v="EXISTENCIA PREV. 2"/>
    <m/>
    <s v="S/N"/>
    <n v="608"/>
    <n v="0.08"/>
    <n v="48.64"/>
    <n v="608"/>
    <n v="48.64"/>
  </r>
  <r>
    <x v="2"/>
    <x v="274"/>
    <s v="EXISTENCIA PREV. 1"/>
    <m/>
    <s v="S/N"/>
    <n v="70"/>
    <n v="0.16"/>
    <n v="11.200000000000001"/>
    <n v="70"/>
    <n v="11.200000000000001"/>
  </r>
  <r>
    <x v="2"/>
    <x v="275"/>
    <s v="EXISTENCIA PREV. 1"/>
    <m/>
    <s v="S/N"/>
    <n v="700"/>
    <n v="0.27"/>
    <n v="189"/>
    <n v="700"/>
    <n v="189"/>
  </r>
  <r>
    <x v="2"/>
    <x v="276"/>
    <s v="EXISTENCIA PREV. 1"/>
    <m/>
    <s v="S/N"/>
    <n v="346"/>
    <n v="0.45"/>
    <n v="155.70000000000002"/>
    <n v="346"/>
    <n v="155.70000000000002"/>
  </r>
  <r>
    <x v="2"/>
    <x v="277"/>
    <s v="EXISTENCIA PREV. 1"/>
    <m/>
    <s v="S/N"/>
    <n v="355"/>
    <n v="0.8"/>
    <n v="284"/>
    <n v="355"/>
    <n v="284"/>
  </r>
  <r>
    <x v="2"/>
    <x v="278"/>
    <s v="EXISTENCIA PREV. 1"/>
    <m/>
    <s v="S/N"/>
    <n v="2290"/>
    <n v="1.1979"/>
    <n v="2743.1909999999998"/>
    <n v="2275"/>
    <n v="2725.2224999999999"/>
  </r>
  <r>
    <x v="2"/>
    <x v="279"/>
    <s v="EXISTENCIA PREV. 1"/>
    <m/>
    <s v="S/N"/>
    <n v="1984"/>
    <n v="1.7764"/>
    <n v="3524.3775999999998"/>
    <n v="1954"/>
    <n v="3471.0855999999999"/>
  </r>
  <r>
    <x v="2"/>
    <x v="280"/>
    <s v="EXISTENCIA PREV. 1"/>
    <m/>
    <s v="S/N"/>
    <n v="5"/>
    <n v="9.1999999999999993"/>
    <n v="46"/>
    <n v="5"/>
    <n v="46"/>
  </r>
  <r>
    <x v="2"/>
    <x v="281"/>
    <s v="EXISTENCIA PREV. 1"/>
    <m/>
    <s v="S/N"/>
    <n v="10"/>
    <n v="98"/>
    <n v="980"/>
    <n v="10"/>
    <n v="980"/>
  </r>
  <r>
    <x v="2"/>
    <x v="282"/>
    <s v="EXISTENCIA PREV. 1"/>
    <m/>
    <s v="S/N"/>
    <n v="61"/>
    <n v="6.4"/>
    <n v="390.40000000000003"/>
    <n v="61"/>
    <n v="390.40000000000003"/>
  </r>
  <r>
    <x v="2"/>
    <x v="283"/>
    <s v="EXISTENCIA PREV. 1"/>
    <m/>
    <s v="S/N"/>
    <n v="700"/>
    <n v="28"/>
    <n v="19600"/>
    <n v="700"/>
    <n v="19600"/>
  </r>
  <r>
    <x v="2"/>
    <x v="284"/>
    <s v="EXISTENCIA PREV. 1"/>
    <m/>
    <s v="S/N"/>
    <n v="400"/>
    <n v="64"/>
    <n v="25600"/>
    <n v="400"/>
    <n v="25600"/>
  </r>
  <r>
    <x v="2"/>
    <x v="285"/>
    <s v="EXISTENCIA PREV. 1"/>
    <m/>
    <s v="S/N"/>
    <n v="255"/>
    <n v="20.399999999999999"/>
    <n v="5202"/>
    <n v="255"/>
    <n v="5202"/>
  </r>
  <r>
    <x v="2"/>
    <x v="286"/>
    <s v="81-0057-OC24"/>
    <s v="293-09785-0016"/>
    <n v="1"/>
    <n v="800"/>
    <n v="1813.54"/>
    <n v="1450832"/>
    <n v="600"/>
    <n v="1088124"/>
  </r>
  <r>
    <x v="2"/>
    <x v="287"/>
    <s v="81-0058-OC24"/>
    <s v="2.9.3-1455.111"/>
    <n v="11"/>
    <n v="300"/>
    <n v="340"/>
    <n v="102000"/>
    <n v="200"/>
    <n v="68000"/>
  </r>
  <r>
    <x v="2"/>
    <x v="288"/>
    <s v="81-0057-OC24"/>
    <s v="2.9.3-1579.42"/>
    <n v="7"/>
    <n v="300"/>
    <n v="361.91"/>
    <n v="108573.00000000001"/>
    <n v="300"/>
    <n v="108573.00000000001"/>
  </r>
  <r>
    <x v="2"/>
    <x v="289"/>
    <s v="EXISTENCIA PREV. 1"/>
    <m/>
    <s v="S/N"/>
    <n v="78"/>
    <n v="23.6"/>
    <n v="1840.8000000000002"/>
    <n v="78"/>
    <n v="1840.8000000000002"/>
  </r>
  <r>
    <x v="2"/>
    <x v="290"/>
    <s v="81-0058-OC24"/>
    <s v="293-01766-0001"/>
    <n v="14"/>
    <n v="100"/>
    <n v="12000"/>
    <n v="1200000"/>
    <n v="72"/>
    <n v="864000"/>
  </r>
  <r>
    <x v="3"/>
    <x v="291"/>
    <s v="EXISTENCIA PREV. 1"/>
    <m/>
    <s v="S/N"/>
    <n v="97"/>
    <n v="7999"/>
    <n v="775903"/>
    <n v="0"/>
    <n v="0"/>
  </r>
  <r>
    <x v="3"/>
    <x v="292"/>
    <s v="EXISTENCIA PREV. 1"/>
    <m/>
    <s v="S/N"/>
    <n v="53"/>
    <n v="1.25"/>
    <n v="66.25"/>
    <n v="48"/>
    <n v="60"/>
  </r>
  <r>
    <x v="3"/>
    <x v="293"/>
    <s v="81-0047-OC24"/>
    <s v="2.5.5-5444.1"/>
    <n v="10"/>
    <n v="40"/>
    <n v="28678"/>
    <n v="1147120"/>
    <n v="32"/>
    <n v="917696"/>
  </r>
  <r>
    <x v="3"/>
    <x v="294"/>
    <s v="81-0047-OC24"/>
    <s v="2.5.5-381.3"/>
    <n v="1"/>
    <n v="100"/>
    <n v="41695.800000000003"/>
    <n v="4169580.0000000005"/>
    <n v="90"/>
    <n v="3752622.0000000005"/>
  </r>
  <r>
    <x v="3"/>
    <x v="295"/>
    <s v="81-0047-OC24"/>
    <s v="2.5.5-6979.312"/>
    <n v="6"/>
    <n v="50"/>
    <n v="67713.64"/>
    <n v="3385682"/>
    <n v="36"/>
    <n v="2437691.04"/>
  </r>
  <r>
    <x v="3"/>
    <x v="296"/>
    <s v="EXISTENCIA PREV. 1"/>
    <m/>
    <s v="S/N"/>
    <n v="23"/>
    <n v="259.77999999999997"/>
    <n v="5974.94"/>
    <n v="23"/>
    <n v="5974.94"/>
  </r>
  <r>
    <x v="3"/>
    <x v="297"/>
    <s v="EXISTENCIA PREV. 1"/>
    <m/>
    <s v="S/N"/>
    <n v="10"/>
    <n v="36"/>
    <n v="360"/>
    <n v="10"/>
    <n v="360"/>
  </r>
  <r>
    <x v="3"/>
    <x v="298"/>
    <s v="EXISTENCIA PREV. 1"/>
    <m/>
    <s v="S/N"/>
    <n v="9"/>
    <n v="45"/>
    <n v="405"/>
    <n v="9"/>
    <n v="405"/>
  </r>
  <r>
    <x v="3"/>
    <x v="299"/>
    <s v="EXISTENCIA PREV. 1"/>
    <m/>
    <s v="S/N"/>
    <n v="2"/>
    <n v="45"/>
    <n v="90"/>
    <n v="2"/>
    <n v="90"/>
  </r>
  <r>
    <x v="3"/>
    <x v="300"/>
    <s v="EXISTENCIA PREV. 1"/>
    <m/>
    <s v="S/N"/>
    <n v="12"/>
    <n v="880"/>
    <n v="10560"/>
    <n v="10"/>
    <n v="8800"/>
  </r>
  <r>
    <x v="3"/>
    <x v="301"/>
    <s v="81-0047-OC24"/>
    <s v="2.5.5-578.13"/>
    <n v="2"/>
    <n v="100"/>
    <n v="46158.6"/>
    <n v="4615860"/>
    <n v="100"/>
    <n v="4615860"/>
  </r>
  <r>
    <x v="3"/>
    <x v="302"/>
    <s v="EXISTENCIA PREV. 1"/>
    <m/>
    <s v="S/N"/>
    <n v="9"/>
    <n v="109.53"/>
    <n v="985.77"/>
    <n v="9"/>
    <n v="985.77"/>
  </r>
  <r>
    <x v="3"/>
    <x v="303"/>
    <s v="EXISTENCIA PREV. 1"/>
    <m/>
    <s v="S/N"/>
    <n v="9"/>
    <n v="55.55"/>
    <n v="499.95"/>
    <n v="9"/>
    <n v="499.95"/>
  </r>
  <r>
    <x v="3"/>
    <x v="303"/>
    <s v="EXISTENCIA PREV. 2"/>
    <m/>
    <s v="S/N"/>
    <n v="8"/>
    <n v="480"/>
    <n v="3840"/>
    <n v="8"/>
    <n v="3840"/>
  </r>
  <r>
    <x v="3"/>
    <x v="304"/>
    <s v="81-0047-OC24"/>
    <s v="2.5.5-6979.350"/>
    <n v="4"/>
    <n v="40"/>
    <n v="179169.76"/>
    <n v="7166790.4000000004"/>
    <n v="38"/>
    <n v="6808450.8800000008"/>
  </r>
  <r>
    <x v="3"/>
    <x v="305"/>
    <s v="81-0047-OC24"/>
    <s v="2.5.5-6979.350"/>
    <n v="5"/>
    <n v="40"/>
    <n v="179763.4"/>
    <n v="7190536"/>
    <n v="40"/>
    <n v="7190536"/>
  </r>
  <r>
    <x v="3"/>
    <x v="305"/>
    <s v="EXISTENCIA PREV. 1"/>
    <s v="2.5.5-6979.350"/>
    <s v="S/N"/>
    <n v="1"/>
    <n v="195596.51"/>
    <n v="195596.51"/>
    <n v="1"/>
    <n v="195596.51"/>
  </r>
  <r>
    <x v="3"/>
    <x v="306"/>
    <s v="81-0047-OC24"/>
    <s v="2.5.5-580.16"/>
    <n v="7"/>
    <n v="20"/>
    <n v="13198.5"/>
    <n v="263970"/>
    <n v="18"/>
    <n v="237573"/>
  </r>
  <r>
    <x v="3"/>
    <x v="307"/>
    <s v="EXISTENCIA PREV. 1"/>
    <m/>
    <s v="S/N"/>
    <n v="12"/>
    <n v="6.83"/>
    <n v="81.960000000000008"/>
    <n v="12"/>
    <n v="81.960000000000008"/>
  </r>
  <r>
    <x v="3"/>
    <x v="308"/>
    <s v="EXISTENCIA PREV. 1"/>
    <m/>
    <s v="S/N"/>
    <n v="1"/>
    <n v="23.2"/>
    <n v="23.2"/>
    <n v="1"/>
    <n v="23.2"/>
  </r>
  <r>
    <x v="3"/>
    <x v="309"/>
    <s v="81-0047-OC24"/>
    <s v="2.5.5-6979.437"/>
    <n v="3"/>
    <n v="20"/>
    <n v="110239"/>
    <n v="2204780"/>
    <n v="20"/>
    <n v="2204780"/>
  </r>
  <r>
    <x v="3"/>
    <x v="310"/>
    <s v="81-0047-OC24"/>
    <s v="2.5.5-6979.373"/>
    <n v="8"/>
    <n v="20"/>
    <n v="165538.17000000001"/>
    <n v="3310763.4000000004"/>
    <n v="19"/>
    <n v="3145225.2300000004"/>
  </r>
  <r>
    <x v="3"/>
    <x v="311"/>
    <s v="81-0047-OC24"/>
    <s v="2.5.5-6979.373"/>
    <n v="9"/>
    <n v="20"/>
    <n v="122998.15"/>
    <n v="2459963"/>
    <n v="20"/>
    <n v="2459963"/>
  </r>
  <r>
    <x v="3"/>
    <x v="312"/>
    <s v="EXISTENCIA PREV. 1"/>
    <m/>
    <s v="S/N"/>
    <n v="3"/>
    <n v="106174"/>
    <n v="318522"/>
    <n v="3"/>
    <n v="318522"/>
  </r>
  <r>
    <x v="3"/>
    <x v="313"/>
    <s v="EXISTENCIA PREV. 1"/>
    <m/>
    <s v="S/N"/>
    <n v="28"/>
    <n v="1959"/>
    <n v="54852"/>
    <n v="28"/>
    <n v="54852"/>
  </r>
  <r>
    <x v="3"/>
    <x v="314"/>
    <s v="81-0048-OC24"/>
    <s v="2.3.4-999.17"/>
    <n v="11"/>
    <n v="500"/>
    <n v="523"/>
    <n v="261500"/>
    <n v="500"/>
    <n v="261500"/>
  </r>
  <r>
    <x v="3"/>
    <x v="314"/>
    <s v="EXISTENCIA PREV. 1"/>
    <s v="2.3.4-999.17"/>
    <s v="S/N"/>
    <n v="29"/>
    <n v="1330"/>
    <n v="38570"/>
    <n v="29"/>
    <n v="38570"/>
  </r>
  <r>
    <x v="3"/>
    <x v="315"/>
    <s v="81-0048-OC24"/>
    <s v="2.3.4-999.19"/>
    <n v="12"/>
    <n v="500"/>
    <n v="523"/>
    <n v="261500"/>
    <n v="375"/>
    <n v="196125"/>
  </r>
  <r>
    <x v="3"/>
    <x v="316"/>
    <s v="81-0048-OC24"/>
    <s v="2.3.4-999.21"/>
    <n v="13"/>
    <n v="500"/>
    <n v="523"/>
    <n v="261500"/>
    <n v="427"/>
    <n v="223321"/>
  </r>
  <r>
    <x v="3"/>
    <x v="317"/>
    <s v="81-0047-OC24"/>
    <s v="2.9.9-1059.115"/>
    <n v="15"/>
    <n v="200"/>
    <n v="18389.400000000001"/>
    <n v="3677880.0000000005"/>
    <n v="167"/>
    <n v="3071029.8000000003"/>
  </r>
  <r>
    <x v="3"/>
    <x v="318"/>
    <s v="81-0047-OC24"/>
    <s v="2.9.9-1059.189"/>
    <n v="16"/>
    <n v="200"/>
    <n v="24703.9"/>
    <n v="4940780"/>
    <n v="177"/>
    <n v="4372590.3"/>
  </r>
  <r>
    <x v="3"/>
    <x v="319"/>
    <s v="81-0047-OC24"/>
    <s v="2.9.9-1059.61"/>
    <n v="17"/>
    <n v="200"/>
    <n v="12357.61"/>
    <n v="2471522"/>
    <n v="189"/>
    <n v="2335588.29"/>
  </r>
  <r>
    <x v="3"/>
    <x v="320"/>
    <s v="81-0048-OC24"/>
    <s v="2.3.4-4325.12"/>
    <n v="14"/>
    <n v="100"/>
    <n v="7990"/>
    <n v="799000"/>
    <n v="93"/>
    <n v="743070"/>
  </r>
  <r>
    <x v="3"/>
    <x v="321"/>
    <s v="EXISTENCIA PREV. 1"/>
    <m/>
    <s v="S/N"/>
    <n v="3"/>
    <n v="329"/>
    <n v="987"/>
    <n v="3"/>
    <n v="987"/>
  </r>
  <r>
    <x v="3"/>
    <x v="322"/>
    <s v="81-0047-OC24"/>
    <s v="2.9.9-1416.6"/>
    <n v="18"/>
    <n v="200"/>
    <n v="14137"/>
    <n v="2827400"/>
    <n v="167"/>
    <n v="2360879"/>
  </r>
  <r>
    <x v="3"/>
    <x v="323"/>
    <s v="EXISTENCIA PREV. 1"/>
    <m/>
    <s v="S/N"/>
    <n v="156"/>
    <n v="2.95"/>
    <n v="460.20000000000005"/>
    <n v="156"/>
    <n v="460.20000000000005"/>
  </r>
  <r>
    <x v="3"/>
    <x v="324"/>
    <s v="EXISTENCIA PREV. 1"/>
    <m/>
    <s v="S/N"/>
    <n v="10"/>
    <n v="6.5"/>
    <n v="65"/>
    <n v="10"/>
    <n v="65"/>
  </r>
  <r>
    <x v="4"/>
    <x v="325"/>
    <s v="EXISTENCIA PREV. 1"/>
    <m/>
    <s v="S/N"/>
    <n v="64"/>
    <n v="3985"/>
    <n v="255040"/>
    <n v="59"/>
    <n v="235115"/>
  </r>
  <r>
    <x v="4"/>
    <x v="326"/>
    <s v="EXISTENCIA PREV. 1"/>
    <m/>
    <s v="S/N"/>
    <n v="67"/>
    <n v="1175.5999999999999"/>
    <n v="78765.2"/>
    <n v="58"/>
    <n v="68184.799999999988"/>
  </r>
  <r>
    <x v="4"/>
    <x v="327"/>
    <s v="EXISTENCIA PREV. 1"/>
    <m/>
    <s v="S/N"/>
    <n v="4"/>
    <n v="8975"/>
    <n v="35900"/>
    <n v="4"/>
    <n v="35900"/>
  </r>
  <r>
    <x v="4"/>
    <x v="328"/>
    <s v="EXISTENCIA PREV. 1"/>
    <m/>
    <s v="S/N"/>
    <n v="74"/>
    <n v="2870"/>
    <n v="212380"/>
    <n v="60"/>
    <n v="172200"/>
  </r>
  <r>
    <x v="4"/>
    <x v="329"/>
    <s v="81-0037-OC24"/>
    <s v="2.9.2-262.40"/>
    <n v="1"/>
    <n v="100"/>
    <n v="384.94"/>
    <n v="38494"/>
    <n v="100"/>
    <n v="38494"/>
  </r>
  <r>
    <x v="4"/>
    <x v="330"/>
    <s v="EXISTENCIA PREV. 1"/>
    <m/>
    <s v="S/N"/>
    <n v="117"/>
    <n v="298"/>
    <n v="34866"/>
    <n v="94"/>
    <n v="28012"/>
  </r>
  <r>
    <x v="4"/>
    <x v="331"/>
    <s v="EXISTENCIA PREV. 1"/>
    <m/>
    <s v="S/N"/>
    <n v="281"/>
    <n v="13.6"/>
    <n v="3821.6"/>
    <n v="238"/>
    <n v="3236.7999999999997"/>
  </r>
  <r>
    <x v="4"/>
    <x v="332"/>
    <s v="EXISTENCIA PREV. 1"/>
    <m/>
    <s v="S/N"/>
    <n v="325"/>
    <n v="14.6"/>
    <n v="4745"/>
    <n v="304"/>
    <n v="4438.3999999999996"/>
  </r>
  <r>
    <x v="4"/>
    <x v="333"/>
    <s v="EXISTENCIA PREV. 1"/>
    <m/>
    <s v="S/N"/>
    <n v="94"/>
    <n v="384.94"/>
    <n v="36184.36"/>
    <n v="70"/>
    <n v="26945.8"/>
  </r>
  <r>
    <x v="4"/>
    <x v="334"/>
    <s v="EXISTENCIA PREV. 1"/>
    <m/>
    <s v="S/N"/>
    <n v="53"/>
    <n v="17.8"/>
    <n v="943.40000000000009"/>
    <n v="53"/>
    <n v="943.40000000000009"/>
  </r>
  <r>
    <x v="4"/>
    <x v="335"/>
    <s v="EXISTENCIA PREV. 1"/>
    <m/>
    <s v="S/N"/>
    <n v="423"/>
    <n v="1966.7"/>
    <n v="831914.1"/>
    <n v="330"/>
    <n v="649011"/>
  </r>
  <r>
    <x v="4"/>
    <x v="336"/>
    <s v="EXISTENCIA PREV. 1"/>
    <m/>
    <s v="S/N"/>
    <n v="41"/>
    <n v="98.8"/>
    <n v="4050.7999999999997"/>
    <n v="41"/>
    <n v="4050.7999999999997"/>
  </r>
  <r>
    <x v="4"/>
    <x v="337"/>
    <s v="81-0038-OC24"/>
    <s v="2.9.2-1428.23"/>
    <n v="2"/>
    <n v="100"/>
    <n v="4317.66"/>
    <n v="431766"/>
    <n v="67"/>
    <n v="289283.21999999997"/>
  </r>
  <r>
    <x v="4"/>
    <x v="338"/>
    <s v="81-0037-OC24"/>
    <s v="2.9.2-274.6"/>
    <n v="3"/>
    <n v="100"/>
    <n v="2793.28"/>
    <n v="279328"/>
    <n v="76"/>
    <n v="212289.28000000003"/>
  </r>
  <r>
    <x v="4"/>
    <x v="339"/>
    <s v="81-0037-OC24"/>
    <s v="2.9.2-274.31"/>
    <n v="4"/>
    <n v="100"/>
    <n v="2793.28"/>
    <n v="279328"/>
    <n v="76"/>
    <n v="212289.28000000003"/>
  </r>
  <r>
    <x v="4"/>
    <x v="340"/>
    <s v="81-0037-OC24"/>
    <s v="2.9.2-317.32"/>
    <n v="5"/>
    <n v="1000"/>
    <n v="104.28"/>
    <n v="104280"/>
    <n v="330"/>
    <n v="34412.400000000001"/>
  </r>
  <r>
    <x v="4"/>
    <x v="341"/>
    <s v="EXISTENCIA PREV. 1"/>
    <m/>
    <s v="S/N"/>
    <n v="1569"/>
    <n v="59.38"/>
    <n v="93167.22"/>
    <n v="1160"/>
    <n v="68880.800000000003"/>
  </r>
  <r>
    <x v="4"/>
    <x v="342"/>
    <s v="81-0037-OC24"/>
    <s v="2.9.2-317.32"/>
    <n v="6"/>
    <n v="500"/>
    <n v="104.28"/>
    <n v="52140"/>
    <n v="500"/>
    <n v="52140"/>
  </r>
  <r>
    <x v="4"/>
    <x v="342"/>
    <s v="EXISTENCIA PREV. 1"/>
    <s v="2.9.2-317.32"/>
    <s v="S/N"/>
    <n v="498"/>
    <n v="59.3"/>
    <n v="29531.399999999998"/>
    <n v="384"/>
    <n v="22771.199999999997"/>
  </r>
  <r>
    <x v="4"/>
    <x v="343"/>
    <s v="EXISTENCIA PREV. 1"/>
    <m/>
    <s v="S/N"/>
    <n v="429"/>
    <n v="9.27"/>
    <n v="3976.83"/>
    <n v="349"/>
    <n v="3235.23"/>
  </r>
  <r>
    <x v="4"/>
    <x v="343"/>
    <s v="EXISTENCIA PREV. 2"/>
    <m/>
    <s v="S/N"/>
    <n v="750"/>
    <n v="54"/>
    <n v="40500"/>
    <n v="750"/>
    <n v="40500"/>
  </r>
  <r>
    <x v="4"/>
    <x v="344"/>
    <s v="EXISTENCIA PREV. 1"/>
    <m/>
    <s v="S/N"/>
    <n v="258"/>
    <n v="15.6"/>
    <n v="4024.7999999999997"/>
    <n v="209"/>
    <n v="3260.4"/>
  </r>
  <r>
    <x v="4"/>
    <x v="344"/>
    <s v="EXISTENCIA PREV. 2"/>
    <m/>
    <s v="S/N"/>
    <n v="550"/>
    <n v="98.66"/>
    <n v="54263"/>
    <n v="550"/>
    <n v="54263"/>
  </r>
  <r>
    <x v="4"/>
    <x v="345"/>
    <s v="81-0038-OC24"/>
    <s v="2.9.2-700.28"/>
    <n v="7"/>
    <n v="100"/>
    <n v="259.7"/>
    <n v="25970"/>
    <n v="100"/>
    <n v="25970"/>
  </r>
  <r>
    <x v="4"/>
    <x v="345"/>
    <s v="EXISTENCIA PREV. 1"/>
    <s v="2.9.2-700.28"/>
    <s v="S/N"/>
    <n v="201"/>
    <n v="83.9"/>
    <n v="16863.900000000001"/>
    <n v="126"/>
    <n v="10571.400000000001"/>
  </r>
  <r>
    <x v="4"/>
    <x v="346"/>
    <s v="EXISTENCIA PREV. 1"/>
    <m/>
    <s v="S/N"/>
    <n v="236"/>
    <n v="16.3"/>
    <n v="3846.8"/>
    <n v="171"/>
    <n v="2787.3"/>
  </r>
  <r>
    <x v="4"/>
    <x v="346"/>
    <s v="EXISTENCIA PREV. 2"/>
    <m/>
    <s v="S/N"/>
    <n v="535"/>
    <n v="152"/>
    <n v="81320"/>
    <n v="535"/>
    <n v="81320"/>
  </r>
  <r>
    <x v="4"/>
    <x v="347"/>
    <s v="EXISTENCIA PREV. 1"/>
    <m/>
    <s v="S/N"/>
    <n v="20"/>
    <n v="493"/>
    <n v="9860"/>
    <n v="20"/>
    <n v="9860"/>
  </r>
  <r>
    <x v="4"/>
    <x v="348"/>
    <s v="EXISTENCIA PREV. 1"/>
    <m/>
    <s v="S/N"/>
    <n v="20"/>
    <n v="245"/>
    <n v="4900"/>
    <n v="20"/>
    <n v="4900"/>
  </r>
  <r>
    <x v="4"/>
    <x v="349"/>
    <s v="EXISTENCIA PREV. 1"/>
    <m/>
    <s v="S/N"/>
    <n v="16"/>
    <n v="68.22"/>
    <n v="1091.52"/>
    <n v="16"/>
    <n v="1091.52"/>
  </r>
  <r>
    <x v="4"/>
    <x v="349"/>
    <s v="EXISTENCIA PREV. 2"/>
    <m/>
    <s v="S/N"/>
    <n v="50"/>
    <n v="64.39"/>
    <n v="3219.5"/>
    <n v="50"/>
    <n v="3219.5"/>
  </r>
  <r>
    <x v="4"/>
    <x v="349"/>
    <s v="EXISTENCIA PREV. 3"/>
    <m/>
    <s v="S/N"/>
    <n v="50"/>
    <n v="46"/>
    <n v="2300"/>
    <n v="50"/>
    <n v="2300"/>
  </r>
  <r>
    <x v="4"/>
    <x v="350"/>
    <s v="EXISTENCIA PREV. 1"/>
    <m/>
    <s v="S/N"/>
    <n v="45"/>
    <n v="38.700000000000003"/>
    <n v="1741.5000000000002"/>
    <n v="45"/>
    <n v="1741.5000000000002"/>
  </r>
  <r>
    <x v="4"/>
    <x v="350"/>
    <s v="EXISTENCIA PREV. 2"/>
    <m/>
    <s v="S/N"/>
    <n v="60"/>
    <n v="155.34"/>
    <n v="9320.4"/>
    <n v="60"/>
    <n v="9320.4"/>
  </r>
  <r>
    <x v="4"/>
    <x v="351"/>
    <s v="EXISTENCIA PREV. 1"/>
    <m/>
    <s v="S/N"/>
    <n v="15"/>
    <n v="672.53"/>
    <n v="10087.949999999999"/>
    <n v="15"/>
    <n v="10087.949999999999"/>
  </r>
  <r>
    <x v="4"/>
    <x v="352"/>
    <s v="EXISTENCIA PREV. 1"/>
    <m/>
    <s v="S/N"/>
    <n v="1176"/>
    <n v="53.58"/>
    <n v="63010.079999999994"/>
    <n v="1176"/>
    <n v="63010.079999999994"/>
  </r>
  <r>
    <x v="4"/>
    <x v="353"/>
    <s v="EXISTENCIA PREV. 1"/>
    <m/>
    <s v="S/N"/>
    <n v="1193"/>
    <n v="25.91"/>
    <n v="30910.63"/>
    <n v="1193"/>
    <n v="30910.63"/>
  </r>
  <r>
    <x v="4"/>
    <x v="354"/>
    <s v="81-0039-OC24"/>
    <s v="2.9.2-850.1"/>
    <n v="8"/>
    <n v="500"/>
    <n v="1966.7"/>
    <n v="983350"/>
    <n v="500"/>
    <n v="983350"/>
  </r>
  <r>
    <x v="4"/>
    <x v="355"/>
    <s v="EXISTENCIA PREV. 1"/>
    <m/>
    <s v="S/N"/>
    <n v="540"/>
    <n v="118.4"/>
    <n v="63936"/>
    <n v="71"/>
    <n v="8406.4"/>
  </r>
  <r>
    <x v="4"/>
    <x v="356"/>
    <s v="EXISTENCIA PREV. 1"/>
    <m/>
    <s v="S/N"/>
    <n v="1570"/>
    <n v="26"/>
    <n v="40820"/>
    <n v="1570"/>
    <n v="40820"/>
  </r>
  <r>
    <x v="4"/>
    <x v="357"/>
    <s v="EXISTENCIA PREV. 1"/>
    <m/>
    <s v="S/N"/>
    <n v="495"/>
    <n v="7.8"/>
    <n v="3861"/>
    <n v="360"/>
    <n v="2808"/>
  </r>
  <r>
    <x v="4"/>
    <x v="357"/>
    <s v="EXISTENCIA PREV. 2"/>
    <m/>
    <s v="S/N"/>
    <n v="1000"/>
    <n v="52"/>
    <n v="52000"/>
    <n v="1000"/>
    <n v="52000"/>
  </r>
  <r>
    <x v="4"/>
    <x v="358"/>
    <s v="81-0037-OC24"/>
    <s v="2.9.2-1358.398"/>
    <n v="9"/>
    <n v="500"/>
    <n v="310.02999999999997"/>
    <n v="155015"/>
    <n v="69"/>
    <n v="21392.07"/>
  </r>
  <r>
    <x v="4"/>
    <x v="359"/>
    <s v="81-0040-OC24"/>
    <s v="2.9.2-1358.59"/>
    <n v="10"/>
    <n v="1000"/>
    <n v="294.83"/>
    <n v="294830"/>
    <n v="745"/>
    <n v="219648.34999999998"/>
  </r>
  <r>
    <x v="4"/>
    <x v="360"/>
    <s v="EXISTENCIA PREV. 1"/>
    <m/>
    <s v="S/N"/>
    <n v="717"/>
    <n v="20.59"/>
    <n v="14763.03"/>
    <n v="672"/>
    <n v="13836.48"/>
  </r>
  <r>
    <x v="4"/>
    <x v="360"/>
    <s v="EXISTENCIA PREV. 2"/>
    <m/>
    <s v="S/N"/>
    <n v="1500"/>
    <n v="143.66"/>
    <n v="215490"/>
    <n v="1500"/>
    <n v="215490"/>
  </r>
  <r>
    <x v="4"/>
    <x v="361"/>
    <s v="EXISTENCIA PREV. 1"/>
    <m/>
    <s v="S/N"/>
    <n v="60"/>
    <n v="59.5"/>
    <n v="3570"/>
    <n v="30"/>
    <n v="1785"/>
  </r>
  <r>
    <x v="4"/>
    <x v="362"/>
    <s v="EXISTENCIA PREV. 1"/>
    <m/>
    <s v="S/N"/>
    <n v="6366"/>
    <n v="0.66"/>
    <n v="4201.5600000000004"/>
    <n v="6366"/>
    <n v="4201.5600000000004"/>
  </r>
  <r>
    <x v="4"/>
    <x v="362"/>
    <s v="EXISTENCIA PREV. 2"/>
    <m/>
    <s v="S/N"/>
    <n v="200"/>
    <n v="6.15"/>
    <n v="1230"/>
    <n v="200"/>
    <n v="1230"/>
  </r>
  <r>
    <x v="4"/>
    <x v="363"/>
    <s v="EXISTENCIA PREV. 1"/>
    <m/>
    <s v="S/N"/>
    <n v="520"/>
    <n v="19.8"/>
    <n v="10296"/>
    <n v="520"/>
    <n v="10296"/>
  </r>
  <r>
    <x v="4"/>
    <x v="364"/>
    <s v="EXISTENCIA PREV. 1"/>
    <s v="2.9.2-1358.3"/>
    <s v="S/N"/>
    <n v="195"/>
    <n v="294.83"/>
    <n v="57491.85"/>
    <n v="195"/>
    <n v="57491.85"/>
  </r>
  <r>
    <x v="4"/>
    <x v="365"/>
    <s v="EXISTENCIA PREV. 1"/>
    <m/>
    <s v="S/N"/>
    <n v="7766"/>
    <n v="7.16"/>
    <n v="55604.56"/>
    <n v="7766"/>
    <n v="55604.56"/>
  </r>
  <r>
    <x v="4"/>
    <x v="366"/>
    <s v="EXISTENCIA PREV. 1"/>
    <m/>
    <s v="S/N"/>
    <n v="122"/>
    <n v="9.7200000000000006"/>
    <n v="1185.8400000000001"/>
    <n v="122"/>
    <n v="1185.8400000000001"/>
  </r>
  <r>
    <x v="4"/>
    <x v="366"/>
    <s v="EXISTENCIA PREV. 2"/>
    <m/>
    <s v="S/N"/>
    <n v="150"/>
    <n v="196"/>
    <n v="29400"/>
    <n v="150"/>
    <n v="29400"/>
  </r>
  <r>
    <x v="4"/>
    <x v="367"/>
    <s v="81-0041-OC24"/>
    <s v="2.3.4-734.75"/>
    <n v="11"/>
    <n v="100"/>
    <n v="667.6"/>
    <n v="66760"/>
    <n v="100"/>
    <n v="66760"/>
  </r>
  <r>
    <x v="4"/>
    <x v="367"/>
    <s v="EXISTENCIA PREV. 1"/>
    <s v="2.3.4-734.75"/>
    <s v="S/N"/>
    <n v="68"/>
    <n v="277.66000000000003"/>
    <n v="18880.88"/>
    <n v="68"/>
    <n v="18880.88"/>
  </r>
  <r>
    <x v="4"/>
    <x v="368"/>
    <s v="81-0041-OC24"/>
    <s v="2.3.4-734.11"/>
    <n v="12"/>
    <n v="200"/>
    <n v="667.6"/>
    <n v="133520"/>
    <n v="200"/>
    <n v="133520"/>
  </r>
  <r>
    <x v="4"/>
    <x v="368"/>
    <s v="EXISTENCIA PREV. 1"/>
    <s v="2.3.4-734.11"/>
    <s v="S/N"/>
    <n v="76"/>
    <n v="277.66000000000003"/>
    <n v="21102.160000000003"/>
    <n v="1"/>
    <n v="277.66000000000003"/>
  </r>
  <r>
    <x v="4"/>
    <x v="369"/>
    <s v="EXISTENCIA PREV. 1"/>
    <m/>
    <s v="S/N"/>
    <n v="38"/>
    <n v="1085"/>
    <n v="41230"/>
    <n v="38"/>
    <n v="41230"/>
  </r>
  <r>
    <x v="4"/>
    <x v="370"/>
    <s v="81-0038-OC24"/>
    <s v="2.9.2-660.28"/>
    <n v="13"/>
    <n v="300"/>
    <n v="254.7"/>
    <n v="76410"/>
    <n v="288"/>
    <n v="73353.599999999991"/>
  </r>
  <r>
    <x v="4"/>
    <x v="371"/>
    <s v="EXISTENCIA PREV. 1"/>
    <m/>
    <s v="S/N"/>
    <n v="10"/>
    <n v="173.42"/>
    <n v="1734.1999999999998"/>
    <n v="10"/>
    <n v="1734.1999999999998"/>
  </r>
  <r>
    <x v="4"/>
    <x v="372"/>
    <s v="EXISTENCIA PREV. 1"/>
    <m/>
    <s v="S/N"/>
    <n v="13"/>
    <n v="99"/>
    <n v="1287"/>
    <n v="13"/>
    <n v="1287"/>
  </r>
  <r>
    <x v="4"/>
    <x v="373"/>
    <s v="81-0038-OC24"/>
    <s v="2.3.1-6587.347"/>
    <n v="14"/>
    <n v="200"/>
    <n v="1848"/>
    <n v="369600"/>
    <n v="110"/>
    <n v="203280"/>
  </r>
  <r>
    <x v="4"/>
    <x v="374"/>
    <s v="81-0037-OC24"/>
    <s v="2.3.1-6587.267"/>
    <n v="15"/>
    <n v="100"/>
    <n v="2173.52"/>
    <n v="217352"/>
    <n v="19"/>
    <n v="41296.879999999997"/>
  </r>
  <r>
    <x v="4"/>
    <x v="375"/>
    <s v="81-0037-OC24"/>
    <s v="2.3.1-6587.266"/>
    <n v="16"/>
    <n v="250"/>
    <n v="2173.52"/>
    <n v="543380"/>
    <n v="72"/>
    <n v="156493.44"/>
  </r>
  <r>
    <x v="4"/>
    <x v="376"/>
    <s v="81-0037-OC24"/>
    <s v="2.9.2-790.30"/>
    <n v="17"/>
    <n v="100"/>
    <n v="238.81"/>
    <n v="23881"/>
    <n v="100"/>
    <n v="23881"/>
  </r>
  <r>
    <x v="4"/>
    <x v="376"/>
    <s v="EXISTENCIA PREV. 1"/>
    <s v="2.9.2-790.30"/>
    <s v="S/N"/>
    <n v="38"/>
    <n v="187"/>
    <n v="7106"/>
    <n v="7"/>
    <n v="1309"/>
  </r>
  <r>
    <x v="4"/>
    <x v="377"/>
    <s v="81-0041-OC24"/>
    <s v="2.9.2-1611.3"/>
    <n v="18"/>
    <n v="10000"/>
    <n v="44.54"/>
    <n v="445400"/>
    <n v="4850"/>
    <n v="216019"/>
  </r>
  <r>
    <x v="4"/>
    <x v="378"/>
    <s v="EXISTENCIA PREV. 1"/>
    <m/>
    <s v="S/N"/>
    <n v="2470"/>
    <n v="8.26"/>
    <n v="20402.2"/>
    <n v="1725"/>
    <n v="14248.5"/>
  </r>
  <r>
    <x v="4"/>
    <x v="379"/>
    <s v="EXISTENCIA PREV. 1"/>
    <m/>
    <s v="S/N"/>
    <n v="405"/>
    <n v="41"/>
    <n v="16605"/>
    <n v="321"/>
    <n v="13161"/>
  </r>
  <r>
    <x v="4"/>
    <x v="380"/>
    <s v="EXISTENCIA PREV. 1"/>
    <m/>
    <s v="S/N"/>
    <n v="60"/>
    <n v="52"/>
    <n v="3120"/>
    <n v="55"/>
    <n v="2860"/>
  </r>
  <r>
    <x v="4"/>
    <x v="381"/>
    <s v="81-0039-OC24"/>
    <s v="2.9.2-851.16"/>
    <n v="19"/>
    <n v="50"/>
    <n v="6560.4"/>
    <n v="328020"/>
    <n v="50"/>
    <n v="328020"/>
  </r>
  <r>
    <x v="4"/>
    <x v="382"/>
    <s v="EXISTENCIA PREV. 1"/>
    <m/>
    <s v="S/N"/>
    <n v="120"/>
    <n v="83"/>
    <n v="9960"/>
    <n v="120"/>
    <n v="9960"/>
  </r>
  <r>
    <x v="4"/>
    <x v="383"/>
    <s v="EXISTENCIA PREV. 1"/>
    <m/>
    <s v="S/N"/>
    <n v="240"/>
    <n v="83"/>
    <n v="19920"/>
    <n v="240"/>
    <n v="19920"/>
  </r>
  <r>
    <x v="4"/>
    <x v="384"/>
    <s v="EXISTENCIA PREV. 1"/>
    <m/>
    <s v="S/N"/>
    <n v="265"/>
    <n v="45.25"/>
    <n v="11991.25"/>
    <n v="86"/>
    <n v="3891.5"/>
  </r>
  <r>
    <x v="4"/>
    <x v="385"/>
    <s v="81-0042-OC24"/>
    <s v="2.3.1-6587.404"/>
    <n v="20"/>
    <n v="20"/>
    <n v="9350"/>
    <n v="187000"/>
    <n v="4"/>
    <n v="37400"/>
  </r>
  <r>
    <x v="4"/>
    <x v="386"/>
    <s v="81-0042-OC24"/>
    <s v="2.3.1-1650.1"/>
    <n v="21"/>
    <n v="50"/>
    <n v="2244"/>
    <n v="112200"/>
    <n v="50"/>
    <n v="112200"/>
  </r>
  <r>
    <x v="4"/>
    <x v="387"/>
    <s v="81-0039-OC24"/>
    <s v="2.9.2-858.7"/>
    <n v="22"/>
    <n v="20"/>
    <n v="18142.7"/>
    <n v="362854"/>
    <n v="13"/>
    <n v="235855.1"/>
  </r>
  <r>
    <x v="4"/>
    <x v="388"/>
    <s v="EXISTENCIA PREV. 1"/>
    <m/>
    <s v="S/N"/>
    <n v="187"/>
    <n v="168"/>
    <n v="31416"/>
    <n v="162"/>
    <n v="27216"/>
  </r>
  <r>
    <x v="4"/>
    <x v="389"/>
    <s v="EXISTENCIA PREV. 1"/>
    <m/>
    <s v="S/N"/>
    <n v="201"/>
    <n v="168"/>
    <n v="33768"/>
    <n v="178"/>
    <n v="29904"/>
  </r>
  <r>
    <x v="4"/>
    <x v="390"/>
    <s v="81-0043-OC24"/>
    <s v="2.9.2-1616.25"/>
    <n v="23"/>
    <n v="240"/>
    <n v="377.98"/>
    <n v="90715.200000000012"/>
    <n v="240"/>
    <n v="90715.200000000012"/>
  </r>
  <r>
    <x v="4"/>
    <x v="390"/>
    <s v="EXISTENCIA PREV. 1"/>
    <s v="2.9.2-1616.25"/>
    <s v="S/N"/>
    <n v="115"/>
    <n v="18.62"/>
    <n v="2141.3000000000002"/>
    <n v="115"/>
    <n v="2141.3000000000002"/>
  </r>
  <r>
    <x v="4"/>
    <x v="391"/>
    <s v="81-0043-OC24"/>
    <s v="2.9.2-1616.1"/>
    <n v="24"/>
    <n v="240"/>
    <n v="377.98"/>
    <n v="90715.200000000012"/>
    <n v="240"/>
    <n v="90715.200000000012"/>
  </r>
  <r>
    <x v="4"/>
    <x v="392"/>
    <s v="81-0043-OC24"/>
    <s v="2.9.2-1616.57"/>
    <n v="25"/>
    <n v="240"/>
    <n v="377.98"/>
    <n v="90715.200000000012"/>
    <n v="240"/>
    <n v="90715.200000000012"/>
  </r>
  <r>
    <x v="4"/>
    <x v="392"/>
    <s v="EXISTENCIA PREV. 1"/>
    <s v="2.9.2-1616.57"/>
    <s v="S/N"/>
    <n v="102"/>
    <n v="18.62"/>
    <n v="1899.24"/>
    <n v="102"/>
    <n v="1899.24"/>
  </r>
  <r>
    <x v="4"/>
    <x v="393"/>
    <s v="81-0043-OC24"/>
    <s v="2.9.2-1616.66"/>
    <n v="26"/>
    <n v="240"/>
    <n v="377.98"/>
    <n v="90715.200000000012"/>
    <n v="240"/>
    <n v="90715.200000000012"/>
  </r>
  <r>
    <x v="4"/>
    <x v="393"/>
    <s v="EXISTENCIA PREV. 1"/>
    <s v="2.9.2-1616.66"/>
    <s v="S/N"/>
    <n v="160"/>
    <n v="18.62"/>
    <n v="2979.2000000000003"/>
    <n v="151"/>
    <n v="2811.6200000000003"/>
  </r>
  <r>
    <x v="4"/>
    <x v="394"/>
    <s v="EXISTENCIA PREV. 1"/>
    <m/>
    <s v="S/N"/>
    <n v="50"/>
    <n v="3.3"/>
    <n v="165"/>
    <n v="18"/>
    <n v="59.4"/>
  </r>
  <r>
    <x v="4"/>
    <x v="395"/>
    <s v="EXISTENCIA PREV. 1"/>
    <m/>
    <s v="S/N"/>
    <n v="37"/>
    <n v="229.9"/>
    <n v="8506.3000000000011"/>
    <n v="26"/>
    <n v="5977.4000000000005"/>
  </r>
  <r>
    <x v="4"/>
    <x v="396"/>
    <s v="EXISTENCIA PREV. 1"/>
    <m/>
    <s v="S/N"/>
    <n v="27"/>
    <n v="229.9"/>
    <n v="6207.3"/>
    <n v="8"/>
    <n v="1839.2"/>
  </r>
  <r>
    <x v="4"/>
    <x v="397"/>
    <s v="EXISTENCIA PREV. 1"/>
    <m/>
    <s v="S/N"/>
    <n v="232"/>
    <n v="180.29"/>
    <n v="41827.279999999999"/>
    <n v="213"/>
    <n v="38401.769999999997"/>
  </r>
  <r>
    <x v="4"/>
    <x v="398"/>
    <s v="EXISTENCIA PREV. 1"/>
    <m/>
    <s v="S/N"/>
    <n v="205"/>
    <n v="180.29"/>
    <n v="36959.449999999997"/>
    <n v="192"/>
    <n v="34615.68"/>
  </r>
  <r>
    <x v="4"/>
    <x v="399"/>
    <s v="EXISTENCIA PREV. 1"/>
    <m/>
    <s v="S/N"/>
    <n v="240"/>
    <n v="180.29"/>
    <n v="43269.599999999999"/>
    <n v="217"/>
    <n v="39122.93"/>
  </r>
  <r>
    <x v="4"/>
    <x v="400"/>
    <s v="EXISTENCIA PREV. 1"/>
    <m/>
    <s v="S/N"/>
    <n v="294"/>
    <n v="180.29"/>
    <n v="53005.259999999995"/>
    <n v="281"/>
    <n v="50661.49"/>
  </r>
  <r>
    <x v="4"/>
    <x v="401"/>
    <s v="EXISTENCIA PREV. 1"/>
    <m/>
    <s v="S/N"/>
    <n v="201"/>
    <n v="180.29"/>
    <n v="36238.29"/>
    <n v="191"/>
    <n v="34435.39"/>
  </r>
  <r>
    <x v="4"/>
    <x v="402"/>
    <s v="EXISTENCIA PREV. 1"/>
    <m/>
    <s v="S/N"/>
    <n v="221"/>
    <n v="180.29"/>
    <n v="39844.089999999997"/>
    <n v="221"/>
    <n v="39844.089999999997"/>
  </r>
  <r>
    <x v="4"/>
    <x v="403"/>
    <s v="81-0018-OC25"/>
    <s v="2.3.1-9896.10"/>
    <n v="1"/>
    <n v="1000"/>
    <n v="4310"/>
    <n v="4310000"/>
    <n v="814"/>
    <n v="3508340"/>
  </r>
  <r>
    <x v="4"/>
    <x v="404"/>
    <s v="EXISTENCIA PREV. 1"/>
    <m/>
    <s v="S/N"/>
    <n v="391"/>
    <n v="1880"/>
    <n v="735080"/>
    <n v="334"/>
    <n v="627920"/>
  </r>
  <r>
    <x v="4"/>
    <x v="405"/>
    <s v="EXISTENCIA PREV. 1"/>
    <m/>
    <s v="S/N"/>
    <n v="5"/>
    <n v="4089.8"/>
    <n v="20449"/>
    <n v="5"/>
    <n v="20449"/>
  </r>
  <r>
    <x v="4"/>
    <x v="406"/>
    <s v="EXISTENCIA PREV. 1"/>
    <m/>
    <s v="S/N"/>
    <n v="12"/>
    <n v="135"/>
    <n v="1620"/>
    <n v="12"/>
    <n v="1620"/>
  </r>
  <r>
    <x v="4"/>
    <x v="407"/>
    <s v="EXISTENCIA PREV. 1"/>
    <m/>
    <s v="S/N"/>
    <n v="806"/>
    <n v="1"/>
    <n v="806"/>
    <n v="806"/>
    <n v="806"/>
  </r>
  <r>
    <x v="4"/>
    <x v="408"/>
    <s v="EXISTENCIA PREV. 1"/>
    <m/>
    <s v="S/N"/>
    <n v="62"/>
    <n v="2.8"/>
    <n v="173.6"/>
    <n v="62"/>
    <n v="173.6"/>
  </r>
  <r>
    <x v="4"/>
    <x v="409"/>
    <s v="EXISTENCIA PREV. 1"/>
    <m/>
    <s v="S/N"/>
    <n v="22"/>
    <n v="93.5"/>
    <n v="2057"/>
    <n v="13"/>
    <n v="1215.5"/>
  </r>
  <r>
    <x v="4"/>
    <x v="409"/>
    <s v="EXISTENCIA PREV. 2"/>
    <m/>
    <s v="S/N"/>
    <n v="30"/>
    <n v="498"/>
    <n v="14940"/>
    <n v="30"/>
    <n v="14940"/>
  </r>
  <r>
    <x v="4"/>
    <x v="410"/>
    <s v="EXISTENCIA PREV. 1"/>
    <m/>
    <s v="S/N"/>
    <n v="27"/>
    <n v="765"/>
    <n v="20655"/>
    <n v="27"/>
    <n v="20655"/>
  </r>
  <r>
    <x v="4"/>
    <x v="411"/>
    <s v="EXISTENCIA PREV. 1"/>
    <m/>
    <s v="S/N"/>
    <n v="63"/>
    <n v="188.4"/>
    <n v="11869.2"/>
    <n v="63"/>
    <n v="11869.2"/>
  </r>
  <r>
    <x v="4"/>
    <x v="412"/>
    <s v="EXISTENCIA PREV. 1"/>
    <m/>
    <s v="S/N"/>
    <n v="38"/>
    <n v="196.4"/>
    <n v="7463.2"/>
    <n v="38"/>
    <n v="7463.2"/>
  </r>
  <r>
    <x v="4"/>
    <x v="413"/>
    <s v="EXISTENCIA PREV. 1"/>
    <m/>
    <s v="S/N"/>
    <n v="47"/>
    <n v="28.16"/>
    <n v="1323.52"/>
    <n v="47"/>
    <n v="1323.52"/>
  </r>
  <r>
    <x v="4"/>
    <x v="414"/>
    <s v="EXISTENCIA PREV. 1"/>
    <m/>
    <s v="S/N"/>
    <n v="113"/>
    <n v="111.49"/>
    <n v="12598.369999999999"/>
    <n v="94"/>
    <n v="10480.06"/>
  </r>
  <r>
    <x v="4"/>
    <x v="415"/>
    <s v="EXISTENCIA PREV. 1"/>
    <m/>
    <s v="S/N"/>
    <n v="10"/>
    <n v="1825"/>
    <n v="18250"/>
    <n v="10"/>
    <n v="18250"/>
  </r>
  <r>
    <x v="4"/>
    <x v="416"/>
    <s v="EXISTENCIA PREV. 1"/>
    <m/>
    <s v="S/N"/>
    <n v="10"/>
    <n v="568"/>
    <n v="5680"/>
    <n v="10"/>
    <n v="5680"/>
  </r>
  <r>
    <x v="4"/>
    <x v="417"/>
    <s v="EXISTENCIA PREV. 1"/>
    <m/>
    <s v="S/N"/>
    <n v="390"/>
    <n v="29.8"/>
    <n v="11622"/>
    <n v="390"/>
    <n v="11622"/>
  </r>
  <r>
    <x v="4"/>
    <x v="418"/>
    <s v="81-0038-OC24"/>
    <s v="2.9.2-1354.28"/>
    <n v="27"/>
    <n v="420"/>
    <n v="202.6"/>
    <n v="85092"/>
    <n v="223"/>
    <n v="45179.799999999996"/>
  </r>
  <r>
    <x v="4"/>
    <x v="419"/>
    <s v="81-0038-OC24"/>
    <s v="2.9.2-1354.29"/>
    <n v="28"/>
    <n v="420"/>
    <n v="202.6"/>
    <n v="85092"/>
    <n v="234"/>
    <n v="47408.4"/>
  </r>
  <r>
    <x v="4"/>
    <x v="420"/>
    <s v="81-0038-OC24"/>
    <s v="2.9.2-1354.16"/>
    <n v="29"/>
    <n v="420"/>
    <n v="202.6"/>
    <n v="85092"/>
    <n v="224"/>
    <n v="45382.400000000001"/>
  </r>
  <r>
    <x v="4"/>
    <x v="421"/>
    <s v="81-0038-OC24"/>
    <s v="2.9.2-1354.16"/>
    <n v="30"/>
    <n v="420"/>
    <n v="202.6"/>
    <n v="85092"/>
    <n v="230"/>
    <n v="46598"/>
  </r>
  <r>
    <x v="4"/>
    <x v="422"/>
    <s v="81-0038-OC24"/>
    <s v="2.9.2-1354.16"/>
    <n v="31"/>
    <n v="420"/>
    <n v="202.6"/>
    <n v="85092"/>
    <n v="224"/>
    <n v="45382.400000000001"/>
  </r>
  <r>
    <x v="4"/>
    <x v="423"/>
    <s v="EXISTENCIA PREV. 1"/>
    <m/>
    <s v="S/N"/>
    <n v="907"/>
    <n v="363"/>
    <n v="329241"/>
    <n v="898"/>
    <n v="325974"/>
  </r>
  <r>
    <x v="4"/>
    <x v="424"/>
    <s v="81-0037-OC24"/>
    <s v="2.9.2-696.6"/>
    <n v="32"/>
    <n v="100"/>
    <n v="142.08000000000001"/>
    <n v="14208.000000000002"/>
    <n v="10"/>
    <n v="1420.8000000000002"/>
  </r>
  <r>
    <x v="4"/>
    <x v="425"/>
    <s v="EXISTENCIA PREV. 1"/>
    <m/>
    <s v="S/N"/>
    <n v="40"/>
    <n v="38"/>
    <n v="1520"/>
    <n v="39"/>
    <n v="1482"/>
  </r>
  <r>
    <x v="4"/>
    <x v="425"/>
    <s v="EXISTENCIA PREV. 2"/>
    <m/>
    <s v="S/N"/>
    <n v="20"/>
    <n v="138.47999999999999"/>
    <n v="2769.6"/>
    <n v="20"/>
    <n v="2769.6"/>
  </r>
  <r>
    <x v="4"/>
    <x v="426"/>
    <s v="EXISTENCIA PREV. 1"/>
    <m/>
    <s v="S/N"/>
    <n v="28"/>
    <n v="58"/>
    <n v="1624"/>
    <n v="28"/>
    <n v="1624"/>
  </r>
  <r>
    <x v="4"/>
    <x v="426"/>
    <s v="EXISTENCIA PREV. 2"/>
    <m/>
    <s v="S/N"/>
    <n v="20"/>
    <n v="178"/>
    <n v="3560"/>
    <n v="20"/>
    <n v="3560"/>
  </r>
  <r>
    <x v="4"/>
    <x v="427"/>
    <s v="EXISTENCIA PREV. 1"/>
    <m/>
    <s v="S/N"/>
    <n v="453"/>
    <n v="138"/>
    <n v="62514"/>
    <n v="453"/>
    <n v="62514"/>
  </r>
  <r>
    <x v="4"/>
    <x v="428"/>
    <s v="EXISTENCIA PREV. 1"/>
    <m/>
    <s v="S/N"/>
    <n v="4269"/>
    <n v="0.42399999999999999"/>
    <n v="1810.056"/>
    <n v="4269"/>
    <n v="1810.056"/>
  </r>
  <r>
    <x v="4"/>
    <x v="429"/>
    <s v="EXISTENCIA PREV. 1"/>
    <m/>
    <s v="S/N"/>
    <n v="4510"/>
    <n v="13.74"/>
    <n v="61967.4"/>
    <n v="4420"/>
    <n v="60730.8"/>
  </r>
  <r>
    <x v="4"/>
    <x v="430"/>
    <s v="EXISTENCIA PREV. 1"/>
    <m/>
    <s v="S/N"/>
    <n v="1110"/>
    <n v="0.91"/>
    <n v="1010.1"/>
    <n v="1110"/>
    <n v="1010.1"/>
  </r>
  <r>
    <x v="4"/>
    <x v="431"/>
    <s v="EXISTENCIA PREV. 1"/>
    <m/>
    <s v="S/N"/>
    <n v="5830"/>
    <n v="13.977"/>
    <n v="81485.91"/>
    <n v="5580"/>
    <n v="77991.66"/>
  </r>
  <r>
    <x v="4"/>
    <x v="431"/>
    <s v="EXISTENCIA PREV. 2"/>
    <m/>
    <s v="S/N"/>
    <n v="10000"/>
    <n v="12.96"/>
    <n v="129600.00000000001"/>
    <n v="10000"/>
    <n v="129600.00000000001"/>
  </r>
  <r>
    <x v="4"/>
    <x v="432"/>
    <s v="EXISTENCIA PREV. 1"/>
    <m/>
    <s v="S/N"/>
    <n v="4200"/>
    <n v="4.3499999999999996"/>
    <n v="18270"/>
    <n v="4200"/>
    <n v="18270"/>
  </r>
  <r>
    <x v="4"/>
    <x v="433"/>
    <s v="EXISTENCIA PREV. 1"/>
    <m/>
    <s v="S/N"/>
    <n v="4605"/>
    <n v="5.17"/>
    <n v="23807.85"/>
    <n v="4605"/>
    <n v="23807.85"/>
  </r>
  <r>
    <x v="4"/>
    <x v="434"/>
    <s v="EXISTENCIA PREV. 1"/>
    <m/>
    <s v="S/N"/>
    <n v="4735"/>
    <n v="4.2225999999999999"/>
    <n v="19994.010999999999"/>
    <n v="4735"/>
    <n v="19994.010999999999"/>
  </r>
  <r>
    <x v="4"/>
    <x v="435"/>
    <s v="EXISTENCIA PREV. 1"/>
    <m/>
    <s v="S/N"/>
    <n v="12875"/>
    <n v="13.95"/>
    <n v="179606.25"/>
    <n v="12875"/>
    <n v="179606.25"/>
  </r>
  <r>
    <x v="4"/>
    <x v="436"/>
    <s v="EXISTENCIA PREV. 1"/>
    <m/>
    <s v="S/N"/>
    <n v="11780"/>
    <n v="16.98"/>
    <n v="200024.4"/>
    <n v="11265"/>
    <n v="191279.7"/>
  </r>
  <r>
    <x v="4"/>
    <x v="437"/>
    <s v="EXISTENCIA PREV. 1"/>
    <m/>
    <s v="S/N"/>
    <n v="2175"/>
    <n v="4.8899999999999997"/>
    <n v="10635.75"/>
    <n v="2175"/>
    <n v="10635.75"/>
  </r>
  <r>
    <x v="4"/>
    <x v="438"/>
    <s v="EXISTENCIA PREV. 1"/>
    <m/>
    <s v="S/N"/>
    <n v="2618"/>
    <n v="5.58"/>
    <n v="14608.44"/>
    <n v="2618"/>
    <n v="14608.44"/>
  </r>
  <r>
    <x v="4"/>
    <x v="439"/>
    <s v="EXISTENCIA PREV. 1"/>
    <m/>
    <s v="S/N"/>
    <n v="7150"/>
    <n v="5.16"/>
    <n v="36894"/>
    <n v="7050"/>
    <n v="36378"/>
  </r>
  <r>
    <x v="4"/>
    <x v="440"/>
    <s v="81-0037-OC24"/>
    <s v="2.9.2-1466.1"/>
    <n v="33"/>
    <n v="500"/>
    <n v="1092.1600000000001"/>
    <n v="546080"/>
    <n v="452"/>
    <n v="493656.32000000007"/>
  </r>
  <r>
    <x v="4"/>
    <x v="441"/>
    <s v="EXISTENCIA PREV. 1"/>
    <m/>
    <s v="S/N"/>
    <n v="141"/>
    <n v="273"/>
    <n v="38493"/>
    <n v="84"/>
    <n v="22932"/>
  </r>
  <r>
    <x v="4"/>
    <x v="442"/>
    <s v="81-0038-OC24"/>
    <s v="2.9.2-758.34"/>
    <n v="34"/>
    <n v="100"/>
    <n v="1566.6"/>
    <n v="156660"/>
    <n v="96"/>
    <n v="150393.59999999998"/>
  </r>
  <r>
    <x v="4"/>
    <x v="443"/>
    <s v="EXISTENCIA PREV. 1"/>
    <m/>
    <s v="S/N"/>
    <n v="7"/>
    <n v="74.05"/>
    <n v="518.35"/>
    <n v="4"/>
    <n v="296.2"/>
  </r>
  <r>
    <x v="4"/>
    <x v="443"/>
    <s v="EXISTENCIA PREV. 2"/>
    <m/>
    <s v="S/N"/>
    <n v="30"/>
    <n v="38.799999999999997"/>
    <n v="1164"/>
    <n v="30"/>
    <n v="1164"/>
  </r>
  <r>
    <x v="4"/>
    <x v="444"/>
    <s v="EXISTENCIA PREV. 1"/>
    <s v="2.3.3-1450.6"/>
    <s v="S/N"/>
    <n v="181"/>
    <n v="7.69"/>
    <n v="1391.89"/>
    <n v="181"/>
    <n v="1391.89"/>
  </r>
  <r>
    <x v="5"/>
    <x v="445"/>
    <s v="EXISTENCIA PREV. 1"/>
    <m/>
    <s v="S/N"/>
    <n v="16"/>
    <n v="1.18"/>
    <n v="18.88"/>
    <n v="16"/>
    <n v="18.88"/>
  </r>
  <r>
    <x v="5"/>
    <x v="445"/>
    <s v="EXISTENCIA PREV. 2"/>
    <m/>
    <s v="S/N"/>
    <n v="30"/>
    <n v="0.95"/>
    <n v="28.5"/>
    <n v="30"/>
    <n v="28.5"/>
  </r>
  <r>
    <x v="5"/>
    <x v="445"/>
    <s v="EXISTENCIA PREV. 3"/>
    <m/>
    <s v="S/N"/>
    <n v="50"/>
    <n v="0.8"/>
    <n v="40"/>
    <n v="50"/>
    <n v="40"/>
  </r>
  <r>
    <x v="5"/>
    <x v="446"/>
    <s v="EXISTENCIA PREV. 1"/>
    <m/>
    <s v="S/N"/>
    <n v="13"/>
    <n v="2.95"/>
    <n v="38.35"/>
    <n v="13"/>
    <n v="38.35"/>
  </r>
  <r>
    <x v="5"/>
    <x v="446"/>
    <s v="EXISTENCIA PREV. 2"/>
    <m/>
    <s v="S/N"/>
    <n v="30"/>
    <n v="2.75"/>
    <n v="82.5"/>
    <n v="30"/>
    <n v="82.5"/>
  </r>
  <r>
    <x v="5"/>
    <x v="446"/>
    <s v="EXISTENCIA PREV. 3"/>
    <m/>
    <s v="S/N"/>
    <n v="50"/>
    <n v="2.5"/>
    <n v="125"/>
    <n v="50"/>
    <n v="125"/>
  </r>
  <r>
    <x v="5"/>
    <x v="447"/>
    <s v="EXISTENCIA PREV. 1"/>
    <m/>
    <s v="S/N"/>
    <n v="24"/>
    <n v="1.18"/>
    <n v="28.32"/>
    <n v="24"/>
    <n v="28.32"/>
  </r>
  <r>
    <x v="5"/>
    <x v="447"/>
    <s v="EXISTENCIA PREV. 2"/>
    <m/>
    <s v="S/N"/>
    <n v="40"/>
    <n v="0.95"/>
    <n v="38"/>
    <n v="40"/>
    <n v="38"/>
  </r>
  <r>
    <x v="5"/>
    <x v="447"/>
    <s v="EXISTENCIA PREV. 3"/>
    <m/>
    <s v="S/N"/>
    <n v="80"/>
    <n v="0.8"/>
    <n v="64"/>
    <n v="80"/>
    <n v="64"/>
  </r>
  <r>
    <x v="5"/>
    <x v="448"/>
    <s v="EXISTENCIA PREV. 1"/>
    <m/>
    <s v="S/N"/>
    <n v="56"/>
    <n v="257"/>
    <n v="14392"/>
    <n v="56"/>
    <n v="14392"/>
  </r>
  <r>
    <x v="5"/>
    <x v="448"/>
    <s v="EXISTENCIA PREV. 2"/>
    <m/>
    <s v="S/N"/>
    <n v="90"/>
    <n v="338.69"/>
    <n v="30482.1"/>
    <n v="90"/>
    <n v="30482.1"/>
  </r>
  <r>
    <x v="5"/>
    <x v="449"/>
    <s v="EXISTENCIA PREV. 1"/>
    <m/>
    <s v="S/N"/>
    <n v="40"/>
    <n v="1748"/>
    <n v="69920"/>
    <n v="40"/>
    <n v="69920"/>
  </r>
  <r>
    <x v="5"/>
    <x v="450"/>
    <s v="EXISTENCIA PREV. 1"/>
    <m/>
    <s v="S/N"/>
    <n v="6"/>
    <n v="16.52"/>
    <n v="99.12"/>
    <n v="6"/>
    <n v="99.12"/>
  </r>
  <r>
    <x v="5"/>
    <x v="451"/>
    <s v="EXISTENCIA PREV. 1"/>
    <m/>
    <s v="S/N"/>
    <n v="25"/>
    <n v="12214.68"/>
    <n v="305367"/>
    <n v="25"/>
    <n v="305367"/>
  </r>
  <r>
    <x v="5"/>
    <x v="452"/>
    <s v="EXISTENCIA PREV. 1"/>
    <m/>
    <s v="S/N"/>
    <n v="41"/>
    <n v="12.01"/>
    <n v="492.40999999999997"/>
    <n v="41"/>
    <n v="492.40999999999997"/>
  </r>
  <r>
    <x v="5"/>
    <x v="453"/>
    <s v="EXISTENCIA PREV. 1"/>
    <m/>
    <s v="S/N"/>
    <n v="80"/>
    <n v="1.18"/>
    <n v="94.399999999999991"/>
    <n v="80"/>
    <n v="94.399999999999991"/>
  </r>
  <r>
    <x v="5"/>
    <x v="453"/>
    <s v="EXISTENCIA PREV. 2"/>
    <m/>
    <s v="S/N"/>
    <n v="40"/>
    <n v="0.95"/>
    <n v="38"/>
    <n v="40"/>
    <n v="38"/>
  </r>
  <r>
    <x v="5"/>
    <x v="453"/>
    <s v="EXISTENCIA PREV. 3"/>
    <m/>
    <s v="S/N"/>
    <n v="80"/>
    <n v="0.8"/>
    <n v="64"/>
    <n v="80"/>
    <n v="64"/>
  </r>
  <r>
    <x v="6"/>
    <x v="454"/>
    <s v="EXISTENCIA PREV. 1"/>
    <m/>
    <s v="S/N"/>
    <n v="18"/>
    <n v="275"/>
    <n v="4950"/>
    <n v="18"/>
    <n v="4950"/>
  </r>
  <r>
    <x v="6"/>
    <x v="455"/>
    <s v="EXISTENCIA PREV. 1"/>
    <m/>
    <s v="S/N"/>
    <n v="26"/>
    <n v="7995"/>
    <n v="207870"/>
    <n v="18"/>
    <n v="143910"/>
  </r>
  <r>
    <x v="6"/>
    <x v="456"/>
    <s v="EXISTENCIA PREV. 1"/>
    <m/>
    <s v="S/N"/>
    <n v="12"/>
    <n v="759.76"/>
    <n v="9117.119999999999"/>
    <n v="12"/>
    <n v="9117.119999999999"/>
  </r>
  <r>
    <x v="6"/>
    <x v="457"/>
    <s v="EXISTENCIA PREV. 1"/>
    <m/>
    <s v="S/N"/>
    <n v="10"/>
    <n v="12800"/>
    <n v="128000"/>
    <n v="10"/>
    <n v="128000"/>
  </r>
  <r>
    <x v="6"/>
    <x v="458"/>
    <s v="EXISTENCIA PREV. 1"/>
    <m/>
    <s v="S/N"/>
    <n v="23"/>
    <n v="1085"/>
    <n v="24955"/>
    <n v="21"/>
    <n v="22785"/>
  </r>
  <r>
    <x v="6"/>
    <x v="459"/>
    <s v="EXISTENCIA PREV. 1"/>
    <m/>
    <s v="S/N"/>
    <n v="22"/>
    <n v="464"/>
    <n v="10208"/>
    <n v="22"/>
    <n v="10208"/>
  </r>
  <r>
    <x v="6"/>
    <x v="460"/>
    <s v="EXISTENCIA PREV. 1"/>
    <m/>
    <s v="S/N"/>
    <n v="27"/>
    <n v="7150"/>
    <n v="193050"/>
    <n v="27"/>
    <n v="193050"/>
  </r>
  <r>
    <x v="6"/>
    <x v="461"/>
    <s v="EXISTENCIA PREV. 1"/>
    <m/>
    <s v="S/N"/>
    <n v="6"/>
    <n v="368"/>
    <n v="2208"/>
    <n v="6"/>
    <n v="2208"/>
  </r>
  <r>
    <x v="6"/>
    <x v="462"/>
    <s v="EXISTENCIA PREV. 1"/>
    <m/>
    <s v="S/N"/>
    <n v="48"/>
    <n v="7150"/>
    <n v="343200"/>
    <n v="48"/>
    <n v="343200"/>
  </r>
  <r>
    <x v="6"/>
    <x v="463"/>
    <s v="EXISTENCIA PREV. 1"/>
    <m/>
    <s v="S/N"/>
    <n v="10"/>
    <n v="32.1"/>
    <n v="321"/>
    <n v="10"/>
    <n v="321"/>
  </r>
  <r>
    <x v="6"/>
    <x v="464"/>
    <s v="EXISTENCIA PREV. 1"/>
    <m/>
    <s v="S/N"/>
    <n v="41"/>
    <n v="6530"/>
    <n v="267730"/>
    <n v="41"/>
    <n v="267730"/>
  </r>
  <r>
    <x v="6"/>
    <x v="465"/>
    <s v="EXISTENCIA PREV. 1"/>
    <m/>
    <s v="S/N"/>
    <n v="107"/>
    <n v="297.79000000000002"/>
    <n v="31863.530000000002"/>
    <n v="107"/>
    <n v="31863.530000000002"/>
  </r>
  <r>
    <x v="6"/>
    <x v="466"/>
    <s v="EXISTENCIA PREV. 1"/>
    <m/>
    <s v="S/N"/>
    <n v="3"/>
    <n v="43.2"/>
    <n v="129.60000000000002"/>
    <n v="3"/>
    <n v="129.60000000000002"/>
  </r>
  <r>
    <x v="6"/>
    <x v="466"/>
    <s v="EXISTENCIA PREV. 2"/>
    <m/>
    <s v="S/N"/>
    <n v="8"/>
    <n v="121"/>
    <n v="968"/>
    <n v="8"/>
    <n v="968"/>
  </r>
  <r>
    <x v="6"/>
    <x v="466"/>
    <s v="EXISTENCIA PREV. 3"/>
    <m/>
    <s v="S/N"/>
    <n v="12"/>
    <n v="328"/>
    <n v="3936"/>
    <n v="12"/>
    <n v="3936"/>
  </r>
  <r>
    <x v="6"/>
    <x v="467"/>
    <s v="EXISTENCIA PREV. 1"/>
    <m/>
    <s v="S/N"/>
    <n v="76"/>
    <n v="461.8"/>
    <n v="35096.800000000003"/>
    <n v="76"/>
    <n v="35096.800000000003"/>
  </r>
  <r>
    <x v="6"/>
    <x v="468"/>
    <s v="EXISTENCIA PREV. 1"/>
    <m/>
    <s v="S/N"/>
    <n v="64"/>
    <n v="481.6"/>
    <n v="30822.400000000001"/>
    <n v="57"/>
    <n v="27451.200000000001"/>
  </r>
  <r>
    <x v="6"/>
    <x v="469"/>
    <s v="EXISTENCIA PREV. 1"/>
    <m/>
    <s v="S/N"/>
    <n v="19"/>
    <n v="1480"/>
    <n v="28120"/>
    <n v="13"/>
    <n v="19240"/>
  </r>
  <r>
    <x v="6"/>
    <x v="470"/>
    <s v="EXISTENCIA PREV. 1"/>
    <m/>
    <s v="S/N"/>
    <n v="35"/>
    <n v="10200"/>
    <n v="357000"/>
    <n v="20"/>
    <n v="204000"/>
  </r>
  <r>
    <x v="6"/>
    <x v="471"/>
    <s v="EXISTENCIA PREV. 1"/>
    <m/>
    <s v="S/N"/>
    <n v="23"/>
    <n v="990"/>
    <n v="22770"/>
    <n v="23"/>
    <n v="22770"/>
  </r>
  <r>
    <x v="6"/>
    <x v="472"/>
    <s v="EXISTENCIA PREV. 1"/>
    <m/>
    <s v="S/N"/>
    <n v="9"/>
    <n v="6.9"/>
    <n v="62.1"/>
    <n v="9"/>
    <n v="62.1"/>
  </r>
  <r>
    <x v="6"/>
    <x v="473"/>
    <s v="EXISTENCIA PREV. 1"/>
    <m/>
    <s v="S/N"/>
    <n v="9"/>
    <n v="74.099999999999994"/>
    <n v="666.9"/>
    <n v="9"/>
    <n v="666.9"/>
  </r>
  <r>
    <x v="6"/>
    <x v="473"/>
    <s v="EXISTENCIA PREV. 2"/>
    <m/>
    <s v="S/N"/>
    <n v="148"/>
    <n v="585"/>
    <n v="86580"/>
    <n v="148"/>
    <n v="86580"/>
  </r>
  <r>
    <x v="6"/>
    <x v="473"/>
    <s v="EXISTENCIA PREV. 3"/>
    <m/>
    <s v="S/N"/>
    <n v="19"/>
    <n v="9640"/>
    <n v="183160"/>
    <n v="19"/>
    <n v="183160"/>
  </r>
  <r>
    <x v="6"/>
    <x v="474"/>
    <s v="EXISTENCIA PREV. 1"/>
    <m/>
    <s v="S/N"/>
    <n v="20"/>
    <n v="5995"/>
    <n v="119900"/>
    <n v="20"/>
    <n v="119900"/>
  </r>
  <r>
    <x v="6"/>
    <x v="475"/>
    <s v="EXISTENCIA PREV. 1"/>
    <m/>
    <s v="S/N"/>
    <n v="14"/>
    <n v="324"/>
    <n v="4536"/>
    <n v="14"/>
    <n v="4536"/>
  </r>
  <r>
    <x v="6"/>
    <x v="476"/>
    <s v="EXISTENCIA PREV. 1"/>
    <m/>
    <s v="S/N"/>
    <n v="4"/>
    <n v="4.9000000000000004"/>
    <n v="19.600000000000001"/>
    <n v="4"/>
    <n v="19.600000000000001"/>
  </r>
  <r>
    <x v="6"/>
    <x v="477"/>
    <s v="EXISTENCIA PREV. 1"/>
    <m/>
    <s v="S/N"/>
    <n v="7"/>
    <n v="288"/>
    <n v="2016"/>
    <n v="7"/>
    <n v="2016"/>
  </r>
  <r>
    <x v="6"/>
    <x v="478"/>
    <s v="EXISTENCIA PREV. 1"/>
    <m/>
    <s v="S/N"/>
    <n v="2"/>
    <n v="49"/>
    <n v="98"/>
    <n v="2"/>
    <n v="98"/>
  </r>
  <r>
    <x v="6"/>
    <x v="478"/>
    <s v="EXISTENCIA PREV. 2"/>
    <m/>
    <s v="S/N"/>
    <n v="6"/>
    <n v="121"/>
    <n v="726"/>
    <n v="6"/>
    <n v="726"/>
  </r>
  <r>
    <x v="6"/>
    <x v="478"/>
    <s v="EXISTENCIA PREV. 3"/>
    <m/>
    <s v="S/N"/>
    <n v="18"/>
    <n v="334"/>
    <n v="6012"/>
    <n v="18"/>
    <n v="6012"/>
  </r>
  <r>
    <x v="6"/>
    <x v="479"/>
    <s v="EXISTENCIA PREV. 1"/>
    <m/>
    <s v="S/N"/>
    <n v="67"/>
    <n v="9900"/>
    <n v="663300"/>
    <n v="67"/>
    <n v="663300"/>
  </r>
  <r>
    <x v="6"/>
    <x v="480"/>
    <s v="EXISTENCIA PREV. 1"/>
    <m/>
    <s v="S/N"/>
    <n v="17"/>
    <n v="553"/>
    <n v="9401"/>
    <n v="17"/>
    <n v="9401"/>
  </r>
  <r>
    <x v="6"/>
    <x v="481"/>
    <s v="EXISTENCIA PREV. 1"/>
    <m/>
    <s v="S/N"/>
    <n v="9"/>
    <n v="515"/>
    <n v="4635"/>
    <n v="8"/>
    <n v="4120"/>
  </r>
  <r>
    <x v="6"/>
    <x v="482"/>
    <s v="EXISTENCIA PREV. 1"/>
    <m/>
    <s v="S/N"/>
    <n v="22"/>
    <n v="8250"/>
    <n v="181500"/>
    <n v="22"/>
    <n v="181500"/>
  </r>
  <r>
    <x v="6"/>
    <x v="483"/>
    <s v="EXISTENCIA PREV. 1"/>
    <m/>
    <s v="S/N"/>
    <n v="6"/>
    <n v="12.3"/>
    <n v="73.800000000000011"/>
    <n v="6"/>
    <n v="73.800000000000011"/>
  </r>
  <r>
    <x v="6"/>
    <x v="484"/>
    <s v="EXISTENCIA PREV. 1"/>
    <m/>
    <s v="S/N"/>
    <n v="35"/>
    <n v="146.19999999999999"/>
    <n v="5117"/>
    <n v="35"/>
    <n v="5117"/>
  </r>
  <r>
    <x v="6"/>
    <x v="485"/>
    <s v="EXISTENCIA PREV. 1"/>
    <m/>
    <s v="S/N"/>
    <n v="23"/>
    <n v="12820"/>
    <n v="294860"/>
    <n v="12"/>
    <n v="153840"/>
  </r>
  <r>
    <x v="6"/>
    <x v="486"/>
    <s v="EXISTENCIA PREV. 1"/>
    <m/>
    <s v="S/N"/>
    <n v="36"/>
    <n v="45595"/>
    <n v="1641420"/>
    <n v="36"/>
    <n v="1641420"/>
  </r>
  <r>
    <x v="6"/>
    <x v="487"/>
    <s v="EXISTENCIA PREV. 1"/>
    <m/>
    <s v="S/N"/>
    <n v="6"/>
    <n v="29.8"/>
    <n v="178.8"/>
    <n v="6"/>
    <n v="178.8"/>
  </r>
  <r>
    <x v="7"/>
    <x v="488"/>
    <s v="EXISTENCIA PREV. 1"/>
    <m/>
    <s v="S/N"/>
    <n v="7"/>
    <n v="45.32"/>
    <n v="317.24"/>
    <n v="7"/>
    <n v="317.24"/>
  </r>
  <r>
    <x v="7"/>
    <x v="489"/>
    <s v="EXISTENCIA PREV. 1"/>
    <m/>
    <s v="S/N"/>
    <n v="13"/>
    <n v="65.739999999999995"/>
    <n v="854.61999999999989"/>
    <n v="13"/>
    <n v="854.61999999999989"/>
  </r>
  <r>
    <x v="7"/>
    <x v="490"/>
    <s v="EXISTENCIA PREV. 1"/>
    <m/>
    <s v="S/N"/>
    <n v="16"/>
    <n v="90.88"/>
    <n v="1454.08"/>
    <n v="16"/>
    <n v="1454.08"/>
  </r>
  <r>
    <x v="7"/>
    <x v="491"/>
    <s v="EXISTENCIA PREV. 1"/>
    <m/>
    <s v="S/N"/>
    <n v="1"/>
    <n v="5.87"/>
    <n v="5.87"/>
    <n v="1"/>
    <n v="5.87"/>
  </r>
  <r>
    <x v="7"/>
    <x v="492"/>
    <s v="EXISTENCIA PREV. 1"/>
    <m/>
    <s v="S/N"/>
    <n v="40"/>
    <n v="8.23"/>
    <n v="329.20000000000005"/>
    <n v="40"/>
    <n v="329.20000000000005"/>
  </r>
  <r>
    <x v="7"/>
    <x v="493"/>
    <s v="EXISTENCIA PREV. 1"/>
    <m/>
    <s v="S/N"/>
    <n v="37"/>
    <n v="27.99"/>
    <n v="1035.6299999999999"/>
    <n v="37"/>
    <n v="1035.6299999999999"/>
  </r>
  <r>
    <x v="7"/>
    <x v="494"/>
    <s v="EXISTENCIA PREV. 1"/>
    <m/>
    <s v="S/N"/>
    <n v="13"/>
    <n v="24"/>
    <n v="312"/>
    <n v="13"/>
    <n v="312"/>
  </r>
  <r>
    <x v="7"/>
    <x v="495"/>
    <s v="EXISTENCIA PREV. 1"/>
    <m/>
    <s v="S/N"/>
    <n v="21"/>
    <n v="6.51"/>
    <n v="136.71"/>
    <n v="21"/>
    <n v="136.71"/>
  </r>
  <r>
    <x v="7"/>
    <x v="496"/>
    <s v="EXISTENCIA PREV. 1"/>
    <m/>
    <s v="S/N"/>
    <n v="33"/>
    <n v="8.24"/>
    <n v="271.92"/>
    <n v="33"/>
    <n v="271.92"/>
  </r>
  <r>
    <x v="7"/>
    <x v="497"/>
    <s v="EXISTENCIA PREV. 1"/>
    <m/>
    <s v="S/N"/>
    <n v="42"/>
    <n v="12.33"/>
    <n v="517.86"/>
    <n v="42"/>
    <n v="517.86"/>
  </r>
  <r>
    <x v="7"/>
    <x v="498"/>
    <s v="EXISTENCIA PREV. 1"/>
    <m/>
    <s v="S/N"/>
    <n v="13"/>
    <n v="5.86"/>
    <n v="76.180000000000007"/>
    <n v="13"/>
    <n v="76.180000000000007"/>
  </r>
  <r>
    <x v="7"/>
    <x v="499"/>
    <s v="EXISTENCIA PREV. 1"/>
    <m/>
    <s v="S/N"/>
    <n v="30"/>
    <n v="7.04"/>
    <n v="211.2"/>
    <n v="30"/>
    <n v="211.2"/>
  </r>
  <r>
    <x v="7"/>
    <x v="500"/>
    <s v="EXISTENCIA PREV. 1"/>
    <m/>
    <s v="S/N"/>
    <n v="37"/>
    <n v="8.7899999999999991"/>
    <n v="325.22999999999996"/>
    <n v="37"/>
    <n v="325.22999999999996"/>
  </r>
  <r>
    <x v="7"/>
    <x v="501"/>
    <s v="EXISTENCIA PREV. 1"/>
    <m/>
    <s v="S/N"/>
    <n v="37"/>
    <n v="21.26"/>
    <n v="786.62"/>
    <n v="37"/>
    <n v="786.62"/>
  </r>
  <r>
    <x v="7"/>
    <x v="502"/>
    <s v="EXISTENCIA PREV. 1"/>
    <m/>
    <s v="S/N"/>
    <n v="15"/>
    <n v="17"/>
    <n v="255"/>
    <n v="15"/>
    <n v="255"/>
  </r>
  <r>
    <x v="7"/>
    <x v="503"/>
    <s v="EXISTENCIA PREV. 1"/>
    <m/>
    <s v="S/N"/>
    <n v="17"/>
    <n v="27"/>
    <n v="459"/>
    <n v="17"/>
    <n v="459"/>
  </r>
  <r>
    <x v="7"/>
    <x v="504"/>
    <s v="EXISTENCIA PREV. 1"/>
    <m/>
    <s v="S/N"/>
    <n v="42"/>
    <n v="47.89"/>
    <n v="2011.38"/>
    <n v="42"/>
    <n v="2011.38"/>
  </r>
  <r>
    <x v="7"/>
    <x v="505"/>
    <s v="EXISTENCIA PREV. 1"/>
    <m/>
    <s v="S/N"/>
    <n v="38"/>
    <n v="19.829999999999998"/>
    <n v="753.54"/>
    <n v="38"/>
    <n v="753.54"/>
  </r>
  <r>
    <x v="7"/>
    <x v="506"/>
    <s v="EXISTENCIA PREV. 1"/>
    <m/>
    <s v="S/N"/>
    <n v="23"/>
    <n v="21.34"/>
    <n v="490.82"/>
    <n v="23"/>
    <n v="490.82"/>
  </r>
  <r>
    <x v="7"/>
    <x v="507"/>
    <s v="EXISTENCIA PREV. 1"/>
    <m/>
    <s v="S/N"/>
    <n v="45"/>
    <n v="38.89"/>
    <n v="1750.05"/>
    <n v="45"/>
    <n v="1750.05"/>
  </r>
  <r>
    <x v="7"/>
    <x v="508"/>
    <s v="EXISTENCIA PREV. 1"/>
    <m/>
    <s v="S/N"/>
    <n v="8"/>
    <n v="5.5"/>
    <n v="44"/>
    <n v="8"/>
    <n v="44"/>
  </r>
  <r>
    <x v="7"/>
    <x v="509"/>
    <s v="EXISTENCIA PREV. 1"/>
    <m/>
    <s v="S/N"/>
    <n v="15"/>
    <n v="6.59"/>
    <n v="98.85"/>
    <n v="15"/>
    <n v="98.85"/>
  </r>
  <r>
    <x v="7"/>
    <x v="510"/>
    <s v="EXISTENCIA PREV. 1"/>
    <m/>
    <s v="S/N"/>
    <n v="6"/>
    <n v="4.67"/>
    <n v="28.02"/>
    <n v="6"/>
    <n v="28.02"/>
  </r>
  <r>
    <x v="7"/>
    <x v="511"/>
    <s v="EXISTENCIA PREV. 1"/>
    <m/>
    <s v="S/N"/>
    <n v="37"/>
    <n v="3"/>
    <n v="111"/>
    <n v="37"/>
    <n v="111"/>
  </r>
  <r>
    <x v="7"/>
    <x v="512"/>
    <s v="EXISTENCIA PREV. 1"/>
    <m/>
    <s v="S/N"/>
    <n v="12"/>
    <n v="4.46"/>
    <n v="53.519999999999996"/>
    <n v="12"/>
    <n v="53.519999999999996"/>
  </r>
  <r>
    <x v="7"/>
    <x v="512"/>
    <s v="EXISTENCIA PREV. 2"/>
    <m/>
    <s v="S/N"/>
    <n v="50"/>
    <n v="5"/>
    <n v="250"/>
    <n v="50"/>
    <n v="250"/>
  </r>
  <r>
    <x v="7"/>
    <x v="513"/>
    <s v="EXISTENCIA PREV. 1"/>
    <m/>
    <s v="S/N"/>
    <n v="24"/>
    <n v="6.32"/>
    <n v="151.68"/>
    <n v="24"/>
    <n v="151.68"/>
  </r>
  <r>
    <x v="7"/>
    <x v="513"/>
    <s v="EXISTENCIA PREV. 2"/>
    <m/>
    <s v="S/N"/>
    <n v="50"/>
    <n v="7"/>
    <n v="350"/>
    <n v="50"/>
    <n v="350"/>
  </r>
  <r>
    <x v="7"/>
    <x v="514"/>
    <s v="EXISTENCIA PREV. 1"/>
    <m/>
    <s v="S/N"/>
    <n v="23"/>
    <n v="8.23"/>
    <n v="189.29000000000002"/>
    <n v="23"/>
    <n v="189.29000000000002"/>
  </r>
  <r>
    <x v="7"/>
    <x v="515"/>
    <s v="EXISTENCIA PREV. 1"/>
    <m/>
    <s v="S/N"/>
    <n v="44"/>
    <n v="15.23"/>
    <n v="670.12"/>
    <n v="44"/>
    <n v="670.12"/>
  </r>
  <r>
    <x v="7"/>
    <x v="516"/>
    <s v="EXISTENCIA PREV. 1"/>
    <m/>
    <s v="S/N"/>
    <n v="44"/>
    <n v="13.89"/>
    <n v="611.16000000000008"/>
    <n v="44"/>
    <n v="611.16000000000008"/>
  </r>
  <r>
    <x v="7"/>
    <x v="517"/>
    <s v="EXISTENCIA PREV. 1"/>
    <m/>
    <s v="S/N"/>
    <n v="2"/>
    <n v="28"/>
    <n v="56"/>
    <n v="2"/>
    <n v="56"/>
  </r>
  <r>
    <x v="7"/>
    <x v="518"/>
    <s v="EXISTENCIA PREV. 1"/>
    <m/>
    <s v="S/N"/>
    <n v="11"/>
    <n v="34"/>
    <n v="374"/>
    <n v="11"/>
    <n v="374"/>
  </r>
  <r>
    <x v="7"/>
    <x v="519"/>
    <s v="EXISTENCIA PREV. 1"/>
    <m/>
    <s v="S/N"/>
    <n v="23"/>
    <n v="49"/>
    <n v="1127"/>
    <n v="23"/>
    <n v="1127"/>
  </r>
  <r>
    <x v="8"/>
    <x v="520"/>
    <s v="EXISTENCIA PREV. 1"/>
    <m/>
    <s v="S/N"/>
    <n v="2"/>
    <n v="580.63"/>
    <n v="1161.26"/>
    <n v="2"/>
    <n v="1161.26"/>
  </r>
  <r>
    <x v="8"/>
    <x v="521"/>
    <s v="EXISTENCIA PREV. 1"/>
    <m/>
    <s v="S/N"/>
    <n v="8"/>
    <n v="12.6"/>
    <n v="100.8"/>
    <n v="8"/>
    <n v="100.8"/>
  </r>
  <r>
    <x v="8"/>
    <x v="522"/>
    <s v="EXISTENCIA PREV. 1"/>
    <m/>
    <s v="S/N"/>
    <n v="2"/>
    <n v="174"/>
    <n v="348"/>
    <n v="2"/>
    <n v="348"/>
  </r>
  <r>
    <x v="8"/>
    <x v="522"/>
    <s v="EXISTENCIA PREV. 2"/>
    <m/>
    <s v="S/N"/>
    <n v="2"/>
    <n v="12076"/>
    <n v="24152"/>
    <n v="2"/>
    <n v="24152"/>
  </r>
  <r>
    <x v="8"/>
    <x v="523"/>
    <s v="EXISTENCIA PREV. 1"/>
    <m/>
    <s v="S/N"/>
    <n v="1"/>
    <n v="68"/>
    <n v="68"/>
    <n v="1"/>
    <n v="68"/>
  </r>
  <r>
    <x v="8"/>
    <x v="524"/>
    <s v="EXISTENCIA PREV. 1"/>
    <m/>
    <s v="S/N"/>
    <n v="4"/>
    <n v="392"/>
    <n v="1568"/>
    <n v="4"/>
    <n v="1568"/>
  </r>
  <r>
    <x v="8"/>
    <x v="525"/>
    <s v="EXISTENCIA PREV. 1"/>
    <m/>
    <s v="S/N"/>
    <n v="3"/>
    <n v="598"/>
    <n v="1794"/>
    <n v="2"/>
    <n v="1196"/>
  </r>
  <r>
    <x v="8"/>
    <x v="526"/>
    <s v="EXISTENCIA PREV. 1"/>
    <m/>
    <s v="S/N"/>
    <n v="3"/>
    <n v="144"/>
    <n v="432"/>
    <n v="3"/>
    <n v="432"/>
  </r>
  <r>
    <x v="8"/>
    <x v="527"/>
    <s v="EXISTENCIA PREV. 1"/>
    <m/>
    <s v="S/N"/>
    <n v="1"/>
    <n v="17"/>
    <n v="17"/>
    <n v="1"/>
    <n v="17"/>
  </r>
  <r>
    <x v="8"/>
    <x v="528"/>
    <s v="EXISTENCIA PREV. 1"/>
    <m/>
    <s v="S/N"/>
    <n v="8"/>
    <n v="155"/>
    <n v="1240"/>
    <n v="8"/>
    <n v="1240"/>
  </r>
  <r>
    <x v="8"/>
    <x v="529"/>
    <s v="EXISTENCIA PREV. 1"/>
    <m/>
    <s v="S/N"/>
    <n v="1"/>
    <n v="293"/>
    <n v="293"/>
    <n v="1"/>
    <n v="293"/>
  </r>
  <r>
    <x v="8"/>
    <x v="530"/>
    <s v="EXISTENCIA PREV. 1"/>
    <m/>
    <s v="S/N"/>
    <n v="2"/>
    <n v="187"/>
    <n v="374"/>
    <n v="2"/>
    <n v="374"/>
  </r>
  <r>
    <x v="8"/>
    <x v="531"/>
    <s v="EXISTENCIA PREV. 1"/>
    <m/>
    <s v="S/N"/>
    <n v="1"/>
    <n v="499"/>
    <n v="499"/>
    <n v="1"/>
    <n v="499"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  <r>
    <x v="9"/>
    <x v="532"/>
    <m/>
    <m/>
    <m/>
    <m/>
    <n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63">
  <r>
    <s v="INSUMOS AIRES"/>
    <x v="0"/>
    <x v="0"/>
    <s v="4.3.7-1367.320"/>
    <n v="1"/>
    <n v="13"/>
    <n v="907100"/>
    <x v="0"/>
    <n v="8"/>
    <n v="7256800"/>
  </r>
  <r>
    <s v="INSUMOS AIRES"/>
    <x v="1"/>
    <x v="1"/>
    <s v="4.3.7-1367.330"/>
    <n v="2"/>
    <n v="11"/>
    <n v="1413000"/>
    <x v="1"/>
    <n v="4"/>
    <n v="5652000"/>
  </r>
  <r>
    <s v="INSUMOS AIRES"/>
    <x v="2"/>
    <x v="2"/>
    <s v="2.9.6-5591.3"/>
    <n v="3"/>
    <n v="4"/>
    <n v="201000"/>
    <x v="2"/>
    <n v="2"/>
    <n v="402000"/>
  </r>
  <r>
    <s v="INSUMOS AIRES"/>
    <x v="3"/>
    <x v="2"/>
    <s v="2.9.6-5591.4"/>
    <n v="4"/>
    <n v="4"/>
    <n v="112000"/>
    <x v="3"/>
    <n v="4"/>
    <n v="448000"/>
  </r>
  <r>
    <s v="INSUMOS AIRES"/>
    <x v="4"/>
    <x v="2"/>
    <s v="2.9.6-5591.5"/>
    <n v="5"/>
    <n v="5"/>
    <n v="157000"/>
    <x v="4"/>
    <n v="2"/>
    <n v="314000"/>
  </r>
  <r>
    <s v="INSUMOS AIRES"/>
    <x v="5"/>
    <x v="2"/>
    <s v="2.9.6-5591.6"/>
    <n v="6"/>
    <n v="5"/>
    <n v="73000"/>
    <x v="5"/>
    <n v="0"/>
    <n v="0"/>
  </r>
  <r>
    <s v="INSUMOS AIRES"/>
    <x v="6"/>
    <x v="2"/>
    <s v="2.9.6-1712.305"/>
    <n v="7"/>
    <n v="33"/>
    <n v="2990"/>
    <x v="6"/>
    <n v="17"/>
    <n v="50830"/>
  </r>
  <r>
    <s v="INSUMOS AIRES"/>
    <x v="7"/>
    <x v="2"/>
    <s v="2.9.6-1712.306"/>
    <n v="8"/>
    <n v="33"/>
    <n v="2300"/>
    <x v="7"/>
    <n v="24"/>
    <n v="55200"/>
  </r>
  <r>
    <s v="INSUMOS AIRES"/>
    <x v="8"/>
    <x v="2"/>
    <s v="2.9.6-1712.307"/>
    <n v="9"/>
    <n v="42"/>
    <n v="2590"/>
    <x v="8"/>
    <n v="22"/>
    <n v="56980"/>
  </r>
  <r>
    <s v="INSUMOS AIRES"/>
    <x v="9"/>
    <x v="2"/>
    <s v="2.9.6-1712.308"/>
    <n v="10"/>
    <n v="42"/>
    <n v="1630"/>
    <x v="9"/>
    <n v="13"/>
    <n v="21190"/>
  </r>
  <r>
    <s v="INSUMOS AIRES"/>
    <x v="10"/>
    <x v="2"/>
    <s v="2.9.9-3027.9"/>
    <n v="11"/>
    <n v="24"/>
    <n v="4000"/>
    <x v="10"/>
    <n v="5"/>
    <n v="20000"/>
  </r>
  <r>
    <s v="INSUMOS AIRES"/>
    <x v="11"/>
    <x v="2"/>
    <s v="2.9.6-1376.235"/>
    <n v="13"/>
    <n v="24"/>
    <n v="19200"/>
    <x v="11"/>
    <n v="21"/>
    <n v="403200"/>
  </r>
  <r>
    <s v="INSUMOS AIRES"/>
    <x v="12"/>
    <x v="2"/>
    <s v="2.5.6-6856.29"/>
    <n v="14"/>
    <n v="6"/>
    <n v="252000"/>
    <x v="12"/>
    <n v="5"/>
    <n v="1260000"/>
  </r>
  <r>
    <s v="INSUMOS AIRES"/>
    <x v="13"/>
    <x v="2"/>
    <s v="2.5.6-6856.1"/>
    <n v="15"/>
    <n v="6"/>
    <n v="440235"/>
    <x v="13"/>
    <n v="5"/>
    <n v="2201175"/>
  </r>
  <r>
    <s v="INSUMOS AIRES"/>
    <x v="14"/>
    <x v="2"/>
    <s v="2.9.9-9053.30"/>
    <n v="16"/>
    <n v="150"/>
    <n v="1240"/>
    <x v="14"/>
    <n v="125"/>
    <n v="155000"/>
  </r>
  <r>
    <s v="INSUMOS AIRES"/>
    <x v="15"/>
    <x v="2"/>
    <s v="2.9.6-1712.93"/>
    <n v="17"/>
    <n v="24"/>
    <n v="2850"/>
    <x v="15"/>
    <n v="13"/>
    <n v="37050"/>
  </r>
  <r>
    <s v="INSUMOS AIRES"/>
    <x v="16"/>
    <x v="2"/>
    <s v="2.5.8-819.9"/>
    <n v="18"/>
    <n v="1400"/>
    <n v="32"/>
    <x v="16"/>
    <n v="1160"/>
    <n v="37120"/>
  </r>
  <r>
    <s v="INSUMOS AIRES"/>
    <x v="17"/>
    <x v="2"/>
    <s v="2.5.8-819.9"/>
    <n v="19"/>
    <n v="1400"/>
    <n v="67.5"/>
    <x v="17"/>
    <n v="1224"/>
    <n v="82620"/>
  </r>
  <r>
    <s v="INSUMOS AIRES"/>
    <x v="18"/>
    <x v="2"/>
    <s v="2.7.9-643.112"/>
    <n v="20"/>
    <n v="1400"/>
    <n v="116.75"/>
    <x v="18"/>
    <n v="1224"/>
    <n v="142902"/>
  </r>
  <r>
    <s v="INSUMOS AIRES"/>
    <x v="19"/>
    <x v="2"/>
    <s v="2.7.9-643.25"/>
    <n v="21"/>
    <n v="1400"/>
    <n v="77"/>
    <x v="19"/>
    <n v="1160"/>
    <n v="89320"/>
  </r>
  <r>
    <s v="INSUMOS AIRES"/>
    <x v="20"/>
    <x v="2"/>
    <s v="2.7.9-1600.44"/>
    <n v="22"/>
    <n v="1400"/>
    <n v="44.5"/>
    <x v="20"/>
    <n v="1224"/>
    <n v="54468"/>
  </r>
  <r>
    <s v="INSUMOS AIRES"/>
    <x v="21"/>
    <x v="2"/>
    <s v="2.7.9-1600.35"/>
    <n v="23"/>
    <n v="1400"/>
    <n v="30"/>
    <x v="21"/>
    <n v="1160"/>
    <n v="34800"/>
  </r>
  <r>
    <s v="PLOMERIA"/>
    <x v="22"/>
    <x v="3"/>
    <s v="2.5.9-6887.43"/>
    <n v="19"/>
    <n v="10"/>
    <n v="10500"/>
    <x v="22"/>
    <n v="6"/>
    <n v="63000"/>
  </r>
  <r>
    <s v="PLOMERIA"/>
    <x v="23"/>
    <x v="4"/>
    <m/>
    <s v="S/N"/>
    <n v="1"/>
    <n v="73"/>
    <x v="23"/>
    <n v="1"/>
    <n v="73"/>
  </r>
  <r>
    <s v="PLOMERIA"/>
    <x v="24"/>
    <x v="4"/>
    <s v="2.5.8-6723.1"/>
    <s v="S/N"/>
    <n v="27"/>
    <n v="1.2"/>
    <x v="24"/>
    <n v="27"/>
    <n v="32.4"/>
  </r>
  <r>
    <s v="PLOMERIA"/>
    <x v="25"/>
    <x v="4"/>
    <s v="2.5.8-6723.2"/>
    <s v="S/N"/>
    <n v="9"/>
    <n v="0.5"/>
    <x v="25"/>
    <n v="9"/>
    <n v="4.5"/>
  </r>
  <r>
    <s v="PLOMERIA"/>
    <x v="25"/>
    <x v="5"/>
    <s v="2.5.8-6723.2"/>
    <s v="S/N"/>
    <n v="52"/>
    <n v="1.5"/>
    <x v="26"/>
    <n v="52"/>
    <n v="78"/>
  </r>
  <r>
    <s v="PLOMERIA"/>
    <x v="26"/>
    <x v="6"/>
    <s v="2.9.6-5017.22"/>
    <n v="8"/>
    <n v="100"/>
    <n v="1234.2"/>
    <x v="27"/>
    <n v="100"/>
    <n v="123420"/>
  </r>
  <r>
    <s v="PLOMERIA"/>
    <x v="27"/>
    <x v="6"/>
    <s v="2.9.6-5017.6"/>
    <n v="5"/>
    <n v="50"/>
    <n v="2912.71"/>
    <x v="28"/>
    <n v="46"/>
    <n v="133984.66"/>
  </r>
  <r>
    <s v="PLOMERIA"/>
    <x v="28"/>
    <x v="4"/>
    <s v="2.9.6-402.1"/>
    <s v="S/N"/>
    <n v="5"/>
    <n v="11"/>
    <x v="29"/>
    <n v="5"/>
    <n v="55"/>
  </r>
  <r>
    <s v="PLOMERIA"/>
    <x v="28"/>
    <x v="5"/>
    <s v="2.9.6-402.1"/>
    <s v="S/N"/>
    <n v="14"/>
    <n v="22.02"/>
    <x v="30"/>
    <n v="14"/>
    <n v="308.27999999999997"/>
  </r>
  <r>
    <s v="PLOMERIA"/>
    <x v="29"/>
    <x v="4"/>
    <m/>
    <s v="S/N"/>
    <n v="11"/>
    <n v="66"/>
    <x v="31"/>
    <n v="11"/>
    <n v="726"/>
  </r>
  <r>
    <s v="PLOMERIA"/>
    <x v="30"/>
    <x v="4"/>
    <m/>
    <s v="S/N"/>
    <n v="12"/>
    <n v="198"/>
    <x v="32"/>
    <n v="12"/>
    <n v="2376"/>
  </r>
  <r>
    <s v="PLOMERIA"/>
    <x v="31"/>
    <x v="4"/>
    <m/>
    <s v="S/N"/>
    <n v="9"/>
    <n v="57"/>
    <x v="33"/>
    <n v="9"/>
    <n v="513"/>
  </r>
  <r>
    <s v="PLOMERIA"/>
    <x v="32"/>
    <x v="4"/>
    <s v="2.5.8-3536.11"/>
    <s v="S/N"/>
    <n v="21"/>
    <n v="0.43"/>
    <x v="34"/>
    <n v="21"/>
    <n v="9.0299999999999994"/>
  </r>
  <r>
    <s v="PLOMERIA"/>
    <x v="33"/>
    <x v="4"/>
    <s v="2.5.8-3536.5"/>
    <s v="S/N"/>
    <n v="22"/>
    <n v="0.6"/>
    <x v="35"/>
    <n v="22"/>
    <n v="13.2"/>
  </r>
  <r>
    <s v="PLOMERIA"/>
    <x v="34"/>
    <x v="4"/>
    <s v="2.5.8-3536.5"/>
    <s v="S/N"/>
    <n v="20"/>
    <n v="0.85"/>
    <x v="36"/>
    <n v="20"/>
    <n v="17"/>
  </r>
  <r>
    <s v="PLOMERIA"/>
    <x v="35"/>
    <x v="4"/>
    <s v="2.5.8-3536.6"/>
    <s v="S/N"/>
    <n v="3"/>
    <n v="0.73"/>
    <x v="37"/>
    <n v="3"/>
    <n v="2.19"/>
  </r>
  <r>
    <s v="PLOMERIA"/>
    <x v="36"/>
    <x v="4"/>
    <s v="2.5.8-3536.4"/>
    <s v="S/N"/>
    <n v="19"/>
    <n v="1.37"/>
    <x v="38"/>
    <n v="19"/>
    <n v="26.03"/>
  </r>
  <r>
    <s v="PLOMERIA"/>
    <x v="37"/>
    <x v="4"/>
    <m/>
    <s v="S/N"/>
    <n v="10"/>
    <n v="7.1"/>
    <x v="39"/>
    <n v="10"/>
    <n v="71"/>
  </r>
  <r>
    <s v="PLOMERIA"/>
    <x v="38"/>
    <x v="4"/>
    <m/>
    <s v="S/N"/>
    <n v="4"/>
    <n v="2.1800000000000002"/>
    <x v="40"/>
    <n v="4"/>
    <n v="8.7200000000000006"/>
  </r>
  <r>
    <s v="PLOMERIA"/>
    <x v="39"/>
    <x v="4"/>
    <m/>
    <s v="S/N"/>
    <n v="1"/>
    <n v="165"/>
    <x v="41"/>
    <n v="1"/>
    <n v="165"/>
  </r>
  <r>
    <s v="PLOMERIA"/>
    <x v="40"/>
    <x v="4"/>
    <s v="2.7.1-6094.96"/>
    <s v="S/N"/>
    <n v="10"/>
    <n v="13.85"/>
    <x v="42"/>
    <n v="10"/>
    <n v="138.5"/>
  </r>
  <r>
    <s v="PLOMERIA"/>
    <x v="40"/>
    <x v="5"/>
    <s v="2.7.1-6094.96"/>
    <s v="S/N"/>
    <n v="10"/>
    <n v="32.67"/>
    <x v="43"/>
    <n v="10"/>
    <n v="326.70000000000005"/>
  </r>
  <r>
    <s v="PLOMERIA"/>
    <x v="41"/>
    <x v="4"/>
    <s v="2.7.1-6094.79"/>
    <s v="S/N"/>
    <n v="10"/>
    <n v="45.76"/>
    <x v="44"/>
    <n v="10"/>
    <n v="457.59999999999997"/>
  </r>
  <r>
    <s v="PLOMERIA"/>
    <x v="42"/>
    <x v="4"/>
    <s v="2.7.1-6094.193"/>
    <s v="S/N"/>
    <n v="5"/>
    <n v="69.27"/>
    <x v="45"/>
    <n v="5"/>
    <n v="346.34999999999997"/>
  </r>
  <r>
    <s v="PLOMERIA"/>
    <x v="43"/>
    <x v="4"/>
    <s v="2.5.8-378.64"/>
    <s v="S/N"/>
    <n v="5"/>
    <n v="34.08"/>
    <x v="46"/>
    <n v="4"/>
    <n v="136.32"/>
  </r>
  <r>
    <s v="PLOMERIA"/>
    <x v="43"/>
    <x v="5"/>
    <s v="2.5.8-378.64"/>
    <s v="S/N"/>
    <n v="6"/>
    <n v="94.8"/>
    <x v="47"/>
    <n v="6"/>
    <n v="568.79999999999995"/>
  </r>
  <r>
    <s v="PLOMERIA"/>
    <x v="44"/>
    <x v="4"/>
    <s v="2.5.8-378.438"/>
    <s v="S/N"/>
    <n v="9"/>
    <n v="26.3"/>
    <x v="48"/>
    <n v="9"/>
    <n v="236.70000000000002"/>
  </r>
  <r>
    <s v="PLOMERIA"/>
    <x v="45"/>
    <x v="4"/>
    <s v="2.5.8-378.222"/>
    <s v="S/N"/>
    <n v="1"/>
    <n v="159.06"/>
    <x v="49"/>
    <n v="1"/>
    <n v="159.06"/>
  </r>
  <r>
    <s v="PLOMERIA"/>
    <x v="46"/>
    <x v="4"/>
    <s v="2.5.8-378.131"/>
    <s v="S/N"/>
    <n v="6"/>
    <n v="556"/>
    <x v="50"/>
    <n v="6"/>
    <n v="3336"/>
  </r>
  <r>
    <s v="PLOMERIA"/>
    <x v="47"/>
    <x v="7"/>
    <s v="2.9.6-1792.89"/>
    <n v="27"/>
    <n v="50"/>
    <n v="10375"/>
    <x v="51"/>
    <n v="47"/>
    <n v="487625"/>
  </r>
  <r>
    <s v="PLOMERIA"/>
    <x v="48"/>
    <x v="8"/>
    <s v="2.7.9-8857.185"/>
    <n v="17"/>
    <n v="10"/>
    <n v="34200"/>
    <x v="52"/>
    <n v="10"/>
    <n v="342000"/>
  </r>
  <r>
    <s v="PLOMERIA"/>
    <x v="49"/>
    <x v="3"/>
    <s v="2.7.9-626.15"/>
    <n v="15"/>
    <n v="20"/>
    <n v="29300"/>
    <x v="53"/>
    <n v="10"/>
    <n v="293000"/>
  </r>
  <r>
    <s v="PLOMERIA"/>
    <x v="50"/>
    <x v="4"/>
    <s v="2.7.9-6383.29"/>
    <s v="S/N"/>
    <n v="3"/>
    <n v="1.92"/>
    <x v="54"/>
    <n v="3"/>
    <n v="5.76"/>
  </r>
  <r>
    <s v="PLOMERIA"/>
    <x v="51"/>
    <x v="4"/>
    <s v="2.7.9-6383.29"/>
    <s v="S/N"/>
    <n v="3"/>
    <n v="2.68"/>
    <x v="55"/>
    <n v="3"/>
    <n v="8.0400000000000009"/>
  </r>
  <r>
    <s v="PLOMERIA"/>
    <x v="52"/>
    <x v="4"/>
    <s v="2.7.9-6383.29"/>
    <s v="S/N"/>
    <n v="2"/>
    <n v="4.1900000000000004"/>
    <x v="56"/>
    <n v="2"/>
    <n v="8.3800000000000008"/>
  </r>
  <r>
    <s v="PLOMERIA"/>
    <x v="53"/>
    <x v="4"/>
    <s v="2.7.9-5844.2"/>
    <s v="S/N"/>
    <n v="23"/>
    <n v="1.37"/>
    <x v="57"/>
    <n v="23"/>
    <n v="31.51"/>
  </r>
  <r>
    <s v="PLOMERIA"/>
    <x v="54"/>
    <x v="4"/>
    <s v="2.7.9-5844.2"/>
    <s v="S/N"/>
    <n v="50"/>
    <n v="1.06"/>
    <x v="58"/>
    <n v="50"/>
    <n v="53"/>
  </r>
  <r>
    <s v="PLOMERIA"/>
    <x v="54"/>
    <x v="5"/>
    <s v="2.7.9-5844.2"/>
    <s v="S/N"/>
    <n v="50"/>
    <n v="1.72"/>
    <x v="59"/>
    <n v="50"/>
    <n v="86"/>
  </r>
  <r>
    <s v="PLOMERIA"/>
    <x v="54"/>
    <x v="9"/>
    <s v="2.7.9-5844.2"/>
    <s v="S/N"/>
    <n v="45"/>
    <n v="0.65"/>
    <x v="60"/>
    <n v="45"/>
    <n v="29.25"/>
  </r>
  <r>
    <s v="PLOMERIA"/>
    <x v="55"/>
    <x v="4"/>
    <s v="2.7.9-5844.3"/>
    <s v="S/N"/>
    <n v="145"/>
    <n v="3.74"/>
    <x v="61"/>
    <n v="145"/>
    <n v="542.30000000000007"/>
  </r>
  <r>
    <s v="PLOMERIA"/>
    <x v="56"/>
    <x v="4"/>
    <s v="2.7.9-5844.3"/>
    <s v="S/N"/>
    <n v="20"/>
    <n v="1.63"/>
    <x v="62"/>
    <n v="20"/>
    <n v="32.599999999999994"/>
  </r>
  <r>
    <s v="PLOMERIA"/>
    <x v="57"/>
    <x v="4"/>
    <s v="2.7.9-6383.72"/>
    <s v="S/N"/>
    <n v="29"/>
    <n v="2.76"/>
    <x v="63"/>
    <n v="29"/>
    <n v="80.039999999999992"/>
  </r>
  <r>
    <s v="PLOMERIA"/>
    <x v="57"/>
    <x v="5"/>
    <s v="2.7.9-6383.72"/>
    <s v="S/N"/>
    <n v="9"/>
    <n v="2.19"/>
    <x v="64"/>
    <n v="9"/>
    <n v="19.71"/>
  </r>
  <r>
    <s v="PLOMERIA"/>
    <x v="58"/>
    <x v="4"/>
    <s v="2.7.1-6082.107"/>
    <s v="S/N"/>
    <n v="12"/>
    <n v="1.0900000000000001"/>
    <x v="65"/>
    <n v="12"/>
    <n v="13.080000000000002"/>
  </r>
  <r>
    <s v="PLOMERIA"/>
    <x v="59"/>
    <x v="4"/>
    <s v="2.7.1-6082.108"/>
    <s v="S/N"/>
    <n v="10"/>
    <n v="0.95"/>
    <x v="66"/>
    <n v="10"/>
    <n v="9.5"/>
  </r>
  <r>
    <s v="PLOMERIA"/>
    <x v="60"/>
    <x v="4"/>
    <s v="2.7.1-6082.77"/>
    <s v="S/N"/>
    <n v="18"/>
    <n v="1.17"/>
    <x v="67"/>
    <n v="18"/>
    <n v="21.06"/>
  </r>
  <r>
    <s v="PLOMERIA"/>
    <x v="61"/>
    <x v="4"/>
    <s v="2.7.1-6082.109"/>
    <s v="S/N"/>
    <n v="3"/>
    <n v="2.12"/>
    <x v="68"/>
    <n v="3"/>
    <n v="6.36"/>
  </r>
  <r>
    <s v="PLOMERIA"/>
    <x v="62"/>
    <x v="4"/>
    <s v="2.7.1-6082.109"/>
    <s v="S/N"/>
    <n v="4"/>
    <n v="2.12"/>
    <x v="69"/>
    <n v="4"/>
    <n v="8.48"/>
  </r>
  <r>
    <s v="PLOMERIA"/>
    <x v="63"/>
    <x v="4"/>
    <s v="2.5.8-1147.131"/>
    <s v="S/N"/>
    <n v="2"/>
    <n v="31"/>
    <x v="70"/>
    <n v="2"/>
    <n v="62"/>
  </r>
  <r>
    <s v="PLOMERIA"/>
    <x v="64"/>
    <x v="4"/>
    <s v="2.5.8-1147.143"/>
    <s v="S/N"/>
    <n v="4"/>
    <n v="80.3"/>
    <x v="71"/>
    <n v="4"/>
    <n v="321.2"/>
  </r>
  <r>
    <s v="PLOMERIA"/>
    <x v="65"/>
    <x v="4"/>
    <s v="2.5.8-1147.59"/>
    <s v="S/N"/>
    <n v="2"/>
    <n v="80.3"/>
    <x v="72"/>
    <n v="2"/>
    <n v="160.6"/>
  </r>
  <r>
    <s v="PLOMERIA"/>
    <x v="66"/>
    <x v="6"/>
    <s v="2.7.9-1656.16"/>
    <n v="1"/>
    <n v="50"/>
    <n v="3447.06"/>
    <x v="73"/>
    <n v="22"/>
    <n v="75835.319999999992"/>
  </r>
  <r>
    <s v="PLOMERIA"/>
    <x v="67"/>
    <x v="6"/>
    <s v="2.7.9-1656.17"/>
    <n v="2"/>
    <n v="50"/>
    <n v="3292.08"/>
    <x v="74"/>
    <n v="45"/>
    <n v="148143.6"/>
  </r>
  <r>
    <s v="PLOMERIA"/>
    <x v="68"/>
    <x v="7"/>
    <s v="2.9.9-7839.2"/>
    <n v="3"/>
    <n v="2"/>
    <n v="12076"/>
    <x v="75"/>
    <n v="2"/>
    <n v="24152"/>
  </r>
  <r>
    <s v="PLOMERIA"/>
    <x v="69"/>
    <x v="10"/>
    <s v="2.2.2-1044.47"/>
    <n v="11"/>
    <n v="50"/>
    <n v="1146.44"/>
    <x v="76"/>
    <n v="50"/>
    <n v="57322"/>
  </r>
  <r>
    <s v="PLOMERIA"/>
    <x v="69"/>
    <x v="4"/>
    <s v="2.2.2-1044.47"/>
    <s v="S/N"/>
    <n v="15"/>
    <n v="21.9"/>
    <x v="77"/>
    <n v="15"/>
    <n v="328.5"/>
  </r>
  <r>
    <s v="PLOMERIA"/>
    <x v="69"/>
    <x v="5"/>
    <s v="2.2.2-1044.47"/>
    <s v="S/N"/>
    <n v="14"/>
    <n v="6.29"/>
    <x v="78"/>
    <n v="14"/>
    <n v="88.06"/>
  </r>
  <r>
    <s v="PLOMERIA"/>
    <x v="70"/>
    <x v="4"/>
    <m/>
    <s v="S/N"/>
    <n v="19"/>
    <n v="340"/>
    <x v="79"/>
    <n v="19"/>
    <n v="6460"/>
  </r>
  <r>
    <s v="PLOMERIA"/>
    <x v="71"/>
    <x v="4"/>
    <m/>
    <s v="S/N"/>
    <n v="7"/>
    <n v="1.7"/>
    <x v="80"/>
    <n v="7"/>
    <n v="11.9"/>
  </r>
  <r>
    <s v="PLOMERIA"/>
    <x v="72"/>
    <x v="4"/>
    <m/>
    <s v="S/N"/>
    <n v="13"/>
    <n v="1.1499999999999999"/>
    <x v="81"/>
    <n v="13"/>
    <n v="14.95"/>
  </r>
  <r>
    <s v="PLOMERIA"/>
    <x v="73"/>
    <x v="4"/>
    <m/>
    <s v="S/N"/>
    <n v="3"/>
    <n v="0.84"/>
    <x v="82"/>
    <n v="3"/>
    <n v="2.52"/>
  </r>
  <r>
    <s v="PLOMERIA"/>
    <x v="73"/>
    <x v="5"/>
    <m/>
    <s v="S/N"/>
    <n v="30"/>
    <n v="1.82"/>
    <x v="83"/>
    <n v="30"/>
    <n v="54.6"/>
  </r>
  <r>
    <s v="PLOMERIA"/>
    <x v="74"/>
    <x v="4"/>
    <m/>
    <s v="S/N"/>
    <n v="20"/>
    <n v="0.84"/>
    <x v="84"/>
    <n v="20"/>
    <n v="16.8"/>
  </r>
  <r>
    <s v="PLOMERIA"/>
    <x v="75"/>
    <x v="4"/>
    <m/>
    <s v="S/N"/>
    <n v="9"/>
    <n v="1.32"/>
    <x v="85"/>
    <n v="9"/>
    <n v="11.88"/>
  </r>
  <r>
    <s v="PLOMERIA"/>
    <x v="75"/>
    <x v="5"/>
    <m/>
    <s v="S/N"/>
    <n v="30"/>
    <n v="2.4500000000000002"/>
    <x v="86"/>
    <n v="30"/>
    <n v="73.5"/>
  </r>
  <r>
    <s v="PLOMERIA"/>
    <x v="76"/>
    <x v="4"/>
    <m/>
    <s v="S/N"/>
    <n v="10"/>
    <n v="0.83"/>
    <x v="87"/>
    <n v="10"/>
    <n v="8.2999999999999989"/>
  </r>
  <r>
    <s v="PLOMERIA"/>
    <x v="76"/>
    <x v="5"/>
    <m/>
    <s v="S/N"/>
    <n v="20"/>
    <n v="1.36"/>
    <x v="88"/>
    <n v="20"/>
    <n v="27.200000000000003"/>
  </r>
  <r>
    <s v="PLOMERIA"/>
    <x v="77"/>
    <x v="4"/>
    <m/>
    <s v="S/N"/>
    <n v="52"/>
    <n v="0.65"/>
    <x v="89"/>
    <n v="52"/>
    <n v="33.800000000000004"/>
  </r>
  <r>
    <s v="PLOMERIA"/>
    <x v="77"/>
    <x v="5"/>
    <m/>
    <s v="S/N"/>
    <n v="20"/>
    <n v="1.32"/>
    <x v="90"/>
    <n v="20"/>
    <n v="26.400000000000002"/>
  </r>
  <r>
    <s v="PLOMERIA"/>
    <x v="78"/>
    <x v="4"/>
    <m/>
    <s v="S/N"/>
    <n v="4"/>
    <n v="5.76"/>
    <x v="91"/>
    <n v="4"/>
    <n v="23.04"/>
  </r>
  <r>
    <s v="PLOMERIA"/>
    <x v="78"/>
    <x v="5"/>
    <m/>
    <s v="S/N"/>
    <n v="20"/>
    <n v="2.2999999999999998"/>
    <x v="92"/>
    <n v="20"/>
    <n v="46"/>
  </r>
  <r>
    <s v="PLOMERIA"/>
    <x v="79"/>
    <x v="4"/>
    <m/>
    <s v="S/N"/>
    <n v="10"/>
    <n v="2.16"/>
    <x v="93"/>
    <n v="10"/>
    <n v="21.6"/>
  </r>
  <r>
    <s v="PLOMERIA"/>
    <x v="80"/>
    <x v="4"/>
    <m/>
    <s v="S/N"/>
    <n v="10"/>
    <n v="2.16"/>
    <x v="93"/>
    <n v="10"/>
    <n v="21.6"/>
  </r>
  <r>
    <s v="PLOMERIA"/>
    <x v="81"/>
    <x v="4"/>
    <m/>
    <s v="S/N"/>
    <n v="1"/>
    <n v="0.79"/>
    <x v="94"/>
    <n v="1"/>
    <n v="0.79"/>
  </r>
  <r>
    <s v="PLOMERIA"/>
    <x v="82"/>
    <x v="4"/>
    <m/>
    <s v="S/N"/>
    <n v="17"/>
    <n v="0.88"/>
    <x v="95"/>
    <n v="17"/>
    <n v="14.96"/>
  </r>
  <r>
    <s v="PLOMERIA"/>
    <x v="83"/>
    <x v="4"/>
    <m/>
    <s v="S/N"/>
    <n v="18"/>
    <n v="1.42"/>
    <x v="96"/>
    <n v="18"/>
    <n v="25.56"/>
  </r>
  <r>
    <s v="PLOMERIA"/>
    <x v="84"/>
    <x v="4"/>
    <m/>
    <s v="S/N"/>
    <n v="19"/>
    <n v="0.79"/>
    <x v="97"/>
    <n v="19"/>
    <n v="15.010000000000002"/>
  </r>
  <r>
    <s v="PLOMERIA"/>
    <x v="85"/>
    <x v="4"/>
    <m/>
    <s v="S/N"/>
    <n v="11"/>
    <n v="2.17"/>
    <x v="98"/>
    <n v="11"/>
    <n v="23.869999999999997"/>
  </r>
  <r>
    <s v="PLOMERIA"/>
    <x v="86"/>
    <x v="4"/>
    <m/>
    <s v="S/N"/>
    <n v="2"/>
    <n v="5.5"/>
    <x v="99"/>
    <n v="2"/>
    <n v="11"/>
  </r>
  <r>
    <s v="PLOMERIA"/>
    <x v="87"/>
    <x v="4"/>
    <m/>
    <s v="S/N"/>
    <n v="6"/>
    <n v="12.1"/>
    <x v="100"/>
    <n v="6"/>
    <n v="72.599999999999994"/>
  </r>
  <r>
    <s v="PLOMERIA"/>
    <x v="88"/>
    <x v="4"/>
    <m/>
    <s v="S/N"/>
    <n v="3"/>
    <n v="24.2"/>
    <x v="100"/>
    <n v="3"/>
    <n v="72.599999999999994"/>
  </r>
  <r>
    <s v="PLOMERIA"/>
    <x v="89"/>
    <x v="4"/>
    <m/>
    <s v="S/N"/>
    <n v="8"/>
    <n v="95"/>
    <x v="101"/>
    <n v="8"/>
    <n v="760"/>
  </r>
  <r>
    <s v="PLOMERIA"/>
    <x v="90"/>
    <x v="4"/>
    <m/>
    <s v="S/N"/>
    <n v="4"/>
    <n v="196"/>
    <x v="102"/>
    <n v="4"/>
    <n v="784"/>
  </r>
  <r>
    <s v="PLOMERIA"/>
    <x v="91"/>
    <x v="4"/>
    <m/>
    <s v="S/N"/>
    <n v="4"/>
    <n v="58.3"/>
    <x v="103"/>
    <n v="4"/>
    <n v="233.2"/>
  </r>
  <r>
    <s v="PLOMERIA"/>
    <x v="92"/>
    <x v="4"/>
    <m/>
    <s v="S/N"/>
    <n v="4"/>
    <n v="196"/>
    <x v="102"/>
    <n v="4"/>
    <n v="784"/>
  </r>
  <r>
    <s v="PLOMERIA"/>
    <x v="93"/>
    <x v="8"/>
    <s v="2.9.6-1792.87"/>
    <n v="31"/>
    <n v="20"/>
    <n v="11650"/>
    <x v="104"/>
    <n v="13"/>
    <n v="151450"/>
  </r>
  <r>
    <s v="PLOMERIA"/>
    <x v="94"/>
    <x v="4"/>
    <m/>
    <s v="S/N"/>
    <n v="5"/>
    <n v="21.9"/>
    <x v="105"/>
    <n v="5"/>
    <n v="109.5"/>
  </r>
  <r>
    <s v="PLOMERIA"/>
    <x v="95"/>
    <x v="4"/>
    <m/>
    <s v="S/N"/>
    <n v="2878"/>
    <n v="1.36"/>
    <x v="106"/>
    <n v="2793"/>
    <n v="3798.4800000000005"/>
  </r>
  <r>
    <s v="PLOMERIA"/>
    <x v="96"/>
    <x v="4"/>
    <m/>
    <s v="S/N"/>
    <n v="1519"/>
    <n v="1.81"/>
    <x v="107"/>
    <n v="1434"/>
    <n v="2595.54"/>
  </r>
  <r>
    <s v="PLOMERIA"/>
    <x v="97"/>
    <x v="4"/>
    <m/>
    <s v="S/N"/>
    <n v="52"/>
    <n v="2.2000000000000002"/>
    <x v="108"/>
    <n v="52"/>
    <n v="114.4"/>
  </r>
  <r>
    <s v="PLOMERIA"/>
    <x v="98"/>
    <x v="4"/>
    <m/>
    <s v="S/N"/>
    <n v="4"/>
    <n v="31"/>
    <x v="109"/>
    <n v="0"/>
    <n v="0"/>
  </r>
  <r>
    <s v="PLOMERIA"/>
    <x v="99"/>
    <x v="6"/>
    <s v="2.9.6-5017.21"/>
    <n v="7"/>
    <n v="50"/>
    <n v="2262.6999999999998"/>
    <x v="110"/>
    <n v="50"/>
    <n v="113134.99999999999"/>
  </r>
  <r>
    <s v="PLOMERIA"/>
    <x v="99"/>
    <x v="4"/>
    <s v="2.9.6-5017.21"/>
    <s v="S/N"/>
    <n v="20"/>
    <n v="37"/>
    <x v="111"/>
    <n v="16"/>
    <n v="592"/>
  </r>
  <r>
    <s v="PLOMERIA"/>
    <x v="100"/>
    <x v="4"/>
    <m/>
    <s v="S/N"/>
    <n v="20"/>
    <n v="2.81"/>
    <x v="112"/>
    <n v="20"/>
    <n v="56.2"/>
  </r>
  <r>
    <s v="PLOMERIA"/>
    <x v="101"/>
    <x v="4"/>
    <m/>
    <s v="S/N"/>
    <n v="24"/>
    <n v="13.86"/>
    <x v="113"/>
    <n v="24"/>
    <n v="332.64"/>
  </r>
  <r>
    <s v="PLOMERIA"/>
    <x v="101"/>
    <x v="5"/>
    <m/>
    <s v="S/N"/>
    <n v="10"/>
    <n v="21.3"/>
    <x v="114"/>
    <n v="10"/>
    <n v="213"/>
  </r>
  <r>
    <s v="PLOMERIA"/>
    <x v="102"/>
    <x v="4"/>
    <m/>
    <s v="S/N"/>
    <n v="1"/>
    <n v="186"/>
    <x v="115"/>
    <n v="1"/>
    <n v="186"/>
  </r>
  <r>
    <s v="PLOMERIA"/>
    <x v="103"/>
    <x v="8"/>
    <s v="2.9.6-1792.11"/>
    <n v="18"/>
    <n v="10"/>
    <n v="11800"/>
    <x v="116"/>
    <n v="9"/>
    <n v="106200"/>
  </r>
  <r>
    <s v="PLOMERIA"/>
    <x v="104"/>
    <x v="4"/>
    <m/>
    <s v="S/N"/>
    <n v="24"/>
    <n v="6"/>
    <x v="117"/>
    <n v="24"/>
    <n v="144"/>
  </r>
  <r>
    <s v="PLOMERIA"/>
    <x v="105"/>
    <x v="4"/>
    <m/>
    <s v="S/N"/>
    <n v="10"/>
    <n v="38.18"/>
    <x v="118"/>
    <n v="10"/>
    <n v="381.8"/>
  </r>
  <r>
    <s v="PLOMERIA"/>
    <x v="106"/>
    <x v="4"/>
    <m/>
    <s v="S/N"/>
    <n v="11"/>
    <n v="16.600000000000001"/>
    <x v="119"/>
    <n v="11"/>
    <n v="182.60000000000002"/>
  </r>
  <r>
    <s v="PLOMERIA"/>
    <x v="107"/>
    <x v="8"/>
    <s v="2.5.5-579.27"/>
    <n v="9"/>
    <n v="20"/>
    <n v="11500"/>
    <x v="120"/>
    <n v="13"/>
    <n v="149500"/>
  </r>
  <r>
    <s v="PLOMERIA"/>
    <x v="108"/>
    <x v="4"/>
    <m/>
    <s v="S/N"/>
    <n v="7"/>
    <n v="81.94"/>
    <x v="121"/>
    <n v="7"/>
    <n v="573.57999999999993"/>
  </r>
  <r>
    <s v="PLOMERIA"/>
    <x v="109"/>
    <x v="4"/>
    <m/>
    <s v="S/N"/>
    <n v="13"/>
    <n v="2.6"/>
    <x v="89"/>
    <n v="13"/>
    <n v="33.800000000000004"/>
  </r>
  <r>
    <s v="PLOMERIA"/>
    <x v="110"/>
    <x v="4"/>
    <m/>
    <s v="S/N"/>
    <n v="6"/>
    <n v="3.5"/>
    <x v="122"/>
    <n v="6"/>
    <n v="21"/>
  </r>
  <r>
    <s v="PLOMERIA"/>
    <x v="111"/>
    <x v="4"/>
    <m/>
    <s v="S/N"/>
    <n v="2"/>
    <n v="2.4"/>
    <x v="123"/>
    <n v="2"/>
    <n v="4.8"/>
  </r>
  <r>
    <s v="PLOMERIA"/>
    <x v="112"/>
    <x v="4"/>
    <m/>
    <s v="S/N"/>
    <n v="6"/>
    <n v="5.3"/>
    <x v="124"/>
    <n v="6"/>
    <n v="31.799999999999997"/>
  </r>
  <r>
    <s v="PLOMERIA"/>
    <x v="113"/>
    <x v="4"/>
    <m/>
    <s v="S/N"/>
    <n v="8"/>
    <n v="0.82"/>
    <x v="125"/>
    <n v="8"/>
    <n v="6.56"/>
  </r>
  <r>
    <s v="PLOMERIA"/>
    <x v="114"/>
    <x v="4"/>
    <m/>
    <s v="S/N"/>
    <n v="8"/>
    <n v="1.04"/>
    <x v="126"/>
    <n v="8"/>
    <n v="8.32"/>
  </r>
  <r>
    <s v="PLOMERIA"/>
    <x v="115"/>
    <x v="4"/>
    <m/>
    <s v="S/N"/>
    <n v="18"/>
    <n v="1.17"/>
    <x v="67"/>
    <n v="18"/>
    <n v="21.06"/>
  </r>
  <r>
    <s v="PLOMERIA"/>
    <x v="116"/>
    <x v="4"/>
    <m/>
    <s v="S/N"/>
    <n v="17"/>
    <n v="0.95"/>
    <x v="127"/>
    <n v="17"/>
    <n v="16.149999999999999"/>
  </r>
  <r>
    <s v="PLOMERIA"/>
    <x v="117"/>
    <x v="4"/>
    <m/>
    <s v="S/N"/>
    <n v="28"/>
    <n v="1.17"/>
    <x v="128"/>
    <n v="28"/>
    <n v="32.76"/>
  </r>
  <r>
    <s v="PLOMERIA"/>
    <x v="118"/>
    <x v="4"/>
    <m/>
    <s v="S/N"/>
    <n v="19"/>
    <n v="1.28"/>
    <x v="129"/>
    <n v="19"/>
    <n v="24.32"/>
  </r>
  <r>
    <s v="PLOMERIA"/>
    <x v="119"/>
    <x v="4"/>
    <m/>
    <s v="S/N"/>
    <n v="20"/>
    <n v="1.48"/>
    <x v="130"/>
    <n v="20"/>
    <n v="29.6"/>
  </r>
  <r>
    <s v="PLOMERIA"/>
    <x v="120"/>
    <x v="4"/>
    <m/>
    <s v="S/N"/>
    <n v="8"/>
    <n v="5.2"/>
    <x v="131"/>
    <n v="8"/>
    <n v="41.6"/>
  </r>
  <r>
    <s v="PLOMERIA"/>
    <x v="121"/>
    <x v="4"/>
    <m/>
    <s v="S/N"/>
    <n v="9"/>
    <n v="6.18"/>
    <x v="132"/>
    <n v="9"/>
    <n v="55.62"/>
  </r>
  <r>
    <s v="PLOMERIA"/>
    <x v="122"/>
    <x v="4"/>
    <m/>
    <s v="S/N"/>
    <n v="6"/>
    <n v="34200"/>
    <x v="133"/>
    <n v="5"/>
    <n v="171000"/>
  </r>
  <r>
    <s v="PLOMERIA"/>
    <x v="123"/>
    <x v="11"/>
    <s v="2.7.9-8857.185"/>
    <n v="16"/>
    <n v="10"/>
    <n v="22395"/>
    <x v="134"/>
    <n v="10"/>
    <n v="223950"/>
  </r>
  <r>
    <s v="PLOMERIA"/>
    <x v="124"/>
    <x v="4"/>
    <m/>
    <s v="S/N"/>
    <n v="4"/>
    <n v="3.76"/>
    <x v="135"/>
    <n v="4"/>
    <n v="15.04"/>
  </r>
  <r>
    <s v="PLOMERIA"/>
    <x v="124"/>
    <x v="5"/>
    <m/>
    <s v="S/N"/>
    <n v="25"/>
    <n v="8.4"/>
    <x v="136"/>
    <n v="25"/>
    <n v="210"/>
  </r>
  <r>
    <s v="PLOMERIA"/>
    <x v="125"/>
    <x v="4"/>
    <m/>
    <s v="S/N"/>
    <n v="1"/>
    <n v="95"/>
    <x v="137"/>
    <n v="0"/>
    <n v="0"/>
  </r>
  <r>
    <s v="PLOMERIA"/>
    <x v="126"/>
    <x v="4"/>
    <m/>
    <s v="S/N"/>
    <n v="1"/>
    <n v="3.2"/>
    <x v="138"/>
    <n v="1"/>
    <n v="3.2"/>
  </r>
  <r>
    <s v="PLOMERIA"/>
    <x v="127"/>
    <x v="4"/>
    <m/>
    <s v="S/N"/>
    <n v="5"/>
    <n v="0.76"/>
    <x v="139"/>
    <n v="5"/>
    <n v="3.8"/>
  </r>
  <r>
    <s v="PLOMERIA"/>
    <x v="127"/>
    <x v="5"/>
    <m/>
    <s v="S/N"/>
    <n v="20"/>
    <n v="0.85"/>
    <x v="36"/>
    <n v="20"/>
    <n v="17"/>
  </r>
  <r>
    <s v="PLOMERIA"/>
    <x v="128"/>
    <x v="4"/>
    <m/>
    <s v="S/N"/>
    <n v="3"/>
    <n v="1.1000000000000001"/>
    <x v="140"/>
    <n v="3"/>
    <n v="3.3000000000000003"/>
  </r>
  <r>
    <s v="PLOMERIA"/>
    <x v="128"/>
    <x v="5"/>
    <m/>
    <s v="S/N"/>
    <n v="20"/>
    <n v="1.25"/>
    <x v="141"/>
    <n v="20"/>
    <n v="25"/>
  </r>
  <r>
    <s v="PLOMERIA"/>
    <x v="129"/>
    <x v="12"/>
    <s v="2.9.6-1792.87"/>
    <n v="29"/>
    <n v="50"/>
    <n v="14500"/>
    <x v="142"/>
    <n v="50"/>
    <n v="725000"/>
  </r>
  <r>
    <s v="PLOMERIA"/>
    <x v="130"/>
    <x v="3"/>
    <s v="2.9.6-1792.89"/>
    <n v="30"/>
    <n v="50"/>
    <n v="9000"/>
    <x v="143"/>
    <n v="48"/>
    <n v="432000"/>
  </r>
  <r>
    <s v="PLOMERIA"/>
    <x v="131"/>
    <x v="4"/>
    <m/>
    <s v="S/N"/>
    <n v="18"/>
    <n v="10.3"/>
    <x v="144"/>
    <n v="18"/>
    <n v="185.4"/>
  </r>
  <r>
    <s v="PLOMERIA"/>
    <x v="131"/>
    <x v="5"/>
    <m/>
    <s v="S/N"/>
    <n v="10"/>
    <n v="52.3"/>
    <x v="145"/>
    <n v="10"/>
    <n v="523"/>
  </r>
  <r>
    <s v="PLOMERIA"/>
    <x v="131"/>
    <x v="9"/>
    <m/>
    <s v="S/N"/>
    <n v="12"/>
    <n v="35.57"/>
    <x v="146"/>
    <n v="12"/>
    <n v="426.84000000000003"/>
  </r>
  <r>
    <s v="PLOMERIA"/>
    <x v="132"/>
    <x v="4"/>
    <m/>
    <s v="S/N"/>
    <n v="2"/>
    <n v="66.849999999999994"/>
    <x v="147"/>
    <n v="2"/>
    <n v="133.69999999999999"/>
  </r>
  <r>
    <s v="PLOMERIA"/>
    <x v="133"/>
    <x v="4"/>
    <m/>
    <s v="S/N"/>
    <n v="93"/>
    <n v="7250"/>
    <x v="148"/>
    <n v="93"/>
    <n v="674250"/>
  </r>
  <r>
    <s v="PLOMERIA"/>
    <x v="134"/>
    <x v="4"/>
    <m/>
    <s v="S/N"/>
    <n v="21"/>
    <n v="50"/>
    <x v="149"/>
    <n v="21"/>
    <n v="1050"/>
  </r>
  <r>
    <s v="PLOMERIA"/>
    <x v="135"/>
    <x v="4"/>
    <m/>
    <s v="S/N"/>
    <n v="26"/>
    <n v="20"/>
    <x v="150"/>
    <n v="26"/>
    <n v="520"/>
  </r>
  <r>
    <s v="PLOMERIA"/>
    <x v="136"/>
    <x v="8"/>
    <s v="2.5.5-7012.114"/>
    <n v="10"/>
    <n v="100"/>
    <n v="7250"/>
    <x v="142"/>
    <n v="100"/>
    <n v="725000"/>
  </r>
  <r>
    <s v="PLOMERIA"/>
    <x v="137"/>
    <x v="7"/>
    <s v="2.5.5-7012.7"/>
    <n v="12"/>
    <n v="20"/>
    <n v="131960"/>
    <x v="151"/>
    <n v="14"/>
    <n v="1847440"/>
  </r>
  <r>
    <s v="PLOMERIA"/>
    <x v="137"/>
    <x v="4"/>
    <s v="2.5.5-7012.7"/>
    <n v="12"/>
    <n v="19"/>
    <n v="6598"/>
    <x v="152"/>
    <n v="19"/>
    <n v="125362"/>
  </r>
  <r>
    <s v="PLOMERIA"/>
    <x v="138"/>
    <x v="7"/>
    <s v="2.9.6-5017.13"/>
    <n v="13"/>
    <n v="100"/>
    <n v="936"/>
    <x v="153"/>
    <n v="100"/>
    <n v="93600"/>
  </r>
  <r>
    <s v="PLOMERIA"/>
    <x v="139"/>
    <x v="11"/>
    <s v="2.9.6-1492.7"/>
    <n v="4"/>
    <n v="100"/>
    <n v="14849"/>
    <x v="154"/>
    <n v="72"/>
    <n v="1069128"/>
  </r>
  <r>
    <s v="PLOMERIA"/>
    <x v="140"/>
    <x v="8"/>
    <s v="2.9.6-1876.3"/>
    <n v="6"/>
    <n v="30"/>
    <n v="25890"/>
    <x v="155"/>
    <n v="26"/>
    <n v="673140"/>
  </r>
  <r>
    <s v="PLOMERIA"/>
    <x v="141"/>
    <x v="4"/>
    <m/>
    <s v="S/N"/>
    <n v="5"/>
    <n v="249"/>
    <x v="156"/>
    <n v="5"/>
    <n v="1245"/>
  </r>
  <r>
    <s v="PLOMERIA"/>
    <x v="142"/>
    <x v="4"/>
    <m/>
    <s v="S/N"/>
    <n v="20"/>
    <n v="0.41"/>
    <x v="157"/>
    <n v="20"/>
    <n v="8.1999999999999993"/>
  </r>
  <r>
    <s v="PLOMERIA"/>
    <x v="143"/>
    <x v="4"/>
    <m/>
    <s v="S/N"/>
    <n v="32"/>
    <n v="0.6"/>
    <x v="158"/>
    <n v="32"/>
    <n v="19.2"/>
  </r>
  <r>
    <s v="PLOMERIA"/>
    <x v="144"/>
    <x v="4"/>
    <m/>
    <s v="S/N"/>
    <n v="4"/>
    <n v="0.71"/>
    <x v="159"/>
    <n v="4"/>
    <n v="2.84"/>
  </r>
  <r>
    <s v="PLOMERIA"/>
    <x v="145"/>
    <x v="4"/>
    <m/>
    <s v="S/N"/>
    <n v="8"/>
    <n v="0.6"/>
    <x v="123"/>
    <n v="8"/>
    <n v="4.8"/>
  </r>
  <r>
    <s v="PLOMERIA"/>
    <x v="146"/>
    <x v="4"/>
    <m/>
    <s v="S/N"/>
    <n v="5"/>
    <n v="0.77"/>
    <x v="160"/>
    <n v="5"/>
    <n v="3.85"/>
  </r>
  <r>
    <s v="PLOMERIA"/>
    <x v="147"/>
    <x v="4"/>
    <m/>
    <s v="S/N"/>
    <n v="3"/>
    <n v="1.5"/>
    <x v="25"/>
    <n v="3"/>
    <n v="4.5"/>
  </r>
  <r>
    <s v="PLOMERIA"/>
    <x v="148"/>
    <x v="8"/>
    <s v="2.5.8-819.125"/>
    <n v="20"/>
    <n v="1000"/>
    <n v="27"/>
    <x v="161"/>
    <n v="1000"/>
    <n v="27000"/>
  </r>
  <r>
    <s v="PLOMERIA"/>
    <x v="149"/>
    <x v="3"/>
    <s v="2.5.8-819.126"/>
    <n v="21"/>
    <n v="1000"/>
    <n v="28"/>
    <x v="162"/>
    <n v="1000"/>
    <n v="28000"/>
  </r>
  <r>
    <s v="PLOMERIA"/>
    <x v="150"/>
    <x v="8"/>
    <s v="2.5.8-819.127"/>
    <n v="22"/>
    <n v="500"/>
    <n v="50"/>
    <x v="163"/>
    <n v="500"/>
    <n v="25000"/>
  </r>
  <r>
    <s v="PLOMERIA"/>
    <x v="151"/>
    <x v="8"/>
    <s v="2.5.8-819.134"/>
    <n v="23"/>
    <n v="300"/>
    <n v="125"/>
    <x v="164"/>
    <n v="270"/>
    <n v="33750"/>
  </r>
  <r>
    <s v="PLOMERIA"/>
    <x v="152"/>
    <x v="4"/>
    <m/>
    <s v="S/N"/>
    <n v="7"/>
    <n v="3.55"/>
    <x v="165"/>
    <n v="7"/>
    <n v="24.849999999999998"/>
  </r>
  <r>
    <s v="PLOMERIA"/>
    <x v="153"/>
    <x v="4"/>
    <m/>
    <s v="S/N"/>
    <n v="28"/>
    <n v="4.4000000000000004"/>
    <x v="166"/>
    <n v="28"/>
    <n v="123.20000000000002"/>
  </r>
  <r>
    <s v="PLOMERIA"/>
    <x v="154"/>
    <x v="4"/>
    <m/>
    <s v="S/N"/>
    <n v="39"/>
    <n v="1.19"/>
    <x v="167"/>
    <n v="39"/>
    <n v="46.41"/>
  </r>
  <r>
    <s v="PLOMERIA"/>
    <x v="154"/>
    <x v="5"/>
    <m/>
    <s v="S/N"/>
    <n v="50"/>
    <n v="2.2200000000000002"/>
    <x v="168"/>
    <n v="50"/>
    <n v="111.00000000000001"/>
  </r>
  <r>
    <s v="PLOMERIA"/>
    <x v="155"/>
    <x v="4"/>
    <m/>
    <s v="S/N"/>
    <n v="23"/>
    <n v="2.82"/>
    <x v="169"/>
    <n v="23"/>
    <n v="64.86"/>
  </r>
  <r>
    <s v="PLOMERIA"/>
    <x v="156"/>
    <x v="4"/>
    <m/>
    <s v="S/N"/>
    <n v="35"/>
    <n v="2.25"/>
    <x v="170"/>
    <n v="35"/>
    <n v="78.75"/>
  </r>
  <r>
    <s v="PLOMERIA"/>
    <x v="156"/>
    <x v="5"/>
    <m/>
    <s v="S/N"/>
    <n v="10"/>
    <n v="3.22"/>
    <x v="171"/>
    <n v="10"/>
    <n v="32.200000000000003"/>
  </r>
  <r>
    <s v="PLOMERIA"/>
    <x v="156"/>
    <x v="9"/>
    <m/>
    <s v="S/N"/>
    <n v="40"/>
    <n v="3.12"/>
    <x v="172"/>
    <n v="40"/>
    <n v="124.80000000000001"/>
  </r>
  <r>
    <s v="PLOMERIA"/>
    <x v="157"/>
    <x v="4"/>
    <m/>
    <s v="S/N"/>
    <n v="7"/>
    <n v="4.97"/>
    <x v="173"/>
    <n v="7"/>
    <n v="34.79"/>
  </r>
  <r>
    <s v="PLOMERIA"/>
    <x v="158"/>
    <x v="4"/>
    <m/>
    <s v="S/N"/>
    <n v="1"/>
    <n v="1.2"/>
    <x v="174"/>
    <n v="1"/>
    <n v="1.2"/>
  </r>
  <r>
    <s v="PLOMERIA"/>
    <x v="159"/>
    <x v="4"/>
    <m/>
    <s v="S/N"/>
    <n v="3"/>
    <n v="1.05"/>
    <x v="175"/>
    <n v="3"/>
    <n v="3.1500000000000004"/>
  </r>
  <r>
    <s v="PLOMERIA"/>
    <x v="160"/>
    <x v="4"/>
    <m/>
    <s v="S/N"/>
    <n v="8"/>
    <n v="1.59"/>
    <x v="176"/>
    <n v="8"/>
    <n v="12.72"/>
  </r>
  <r>
    <s v="PLOMERIA"/>
    <x v="161"/>
    <x v="4"/>
    <m/>
    <s v="S/N"/>
    <n v="6"/>
    <n v="2.13"/>
    <x v="177"/>
    <n v="6"/>
    <n v="12.78"/>
  </r>
  <r>
    <s v="PLOMERIA"/>
    <x v="162"/>
    <x v="4"/>
    <m/>
    <s v="S/N"/>
    <n v="20"/>
    <n v="2.81"/>
    <x v="112"/>
    <n v="20"/>
    <n v="56.2"/>
  </r>
  <r>
    <s v="PLOMERIA"/>
    <x v="163"/>
    <x v="4"/>
    <m/>
    <s v="S/N"/>
    <n v="8"/>
    <n v="1.53"/>
    <x v="178"/>
    <n v="8"/>
    <n v="12.24"/>
  </r>
  <r>
    <s v="PLOMERIA"/>
    <x v="164"/>
    <x v="4"/>
    <m/>
    <s v="S/N"/>
    <n v="11"/>
    <n v="9.1300000000000008"/>
    <x v="179"/>
    <n v="11"/>
    <n v="100.43"/>
  </r>
  <r>
    <s v="PLOMERIA"/>
    <x v="165"/>
    <x v="4"/>
    <m/>
    <s v="S/N"/>
    <n v="8"/>
    <n v="1"/>
    <x v="180"/>
    <n v="8"/>
    <n v="8"/>
  </r>
  <r>
    <s v="PLOMERIA"/>
    <x v="166"/>
    <x v="3"/>
    <s v="2.7.9-644.1677"/>
    <n v="24"/>
    <n v="1000"/>
    <n v="38.200000000000003"/>
    <x v="181"/>
    <n v="0"/>
    <n v="0"/>
  </r>
  <r>
    <s v="PLOMERIA"/>
    <x v="167"/>
    <x v="3"/>
    <s v="2.7.9-644.1366"/>
    <n v="25"/>
    <n v="1000"/>
    <n v="56.2"/>
    <x v="182"/>
    <n v="980"/>
    <n v="55076"/>
  </r>
  <r>
    <s v="PLOMERIA"/>
    <x v="168"/>
    <x v="3"/>
    <s v="2.7.9-644.1297"/>
    <n v="26"/>
    <n v="1000"/>
    <n v="138.42400000000001"/>
    <x v="183"/>
    <n v="939"/>
    <n v="129980.13600000001"/>
  </r>
  <r>
    <s v="PLOMERIA"/>
    <x v="169"/>
    <x v="4"/>
    <m/>
    <s v="S/N"/>
    <n v="6"/>
    <n v="5.2"/>
    <x v="184"/>
    <n v="6"/>
    <n v="31.200000000000003"/>
  </r>
  <r>
    <s v="PLOMERIA"/>
    <x v="170"/>
    <x v="4"/>
    <m/>
    <s v="S/N"/>
    <n v="33"/>
    <n v="1.86"/>
    <x v="185"/>
    <n v="33"/>
    <n v="61.38"/>
  </r>
  <r>
    <s v="PLOMERIA"/>
    <x v="171"/>
    <x v="4"/>
    <m/>
    <s v="S/N"/>
    <n v="37"/>
    <n v="1.3"/>
    <x v="186"/>
    <n v="37"/>
    <n v="48.1"/>
  </r>
  <r>
    <s v="PLOMERIA"/>
    <x v="172"/>
    <x v="4"/>
    <m/>
    <s v="S/N"/>
    <n v="23"/>
    <n v="2.0299999999999998"/>
    <x v="187"/>
    <n v="23"/>
    <n v="46.69"/>
  </r>
  <r>
    <s v="PLOMERIA"/>
    <x v="173"/>
    <x v="4"/>
    <m/>
    <s v="S/N"/>
    <n v="7"/>
    <n v="2.67"/>
    <x v="188"/>
    <n v="7"/>
    <n v="18.689999999999998"/>
  </r>
  <r>
    <s v="PLOMERIA"/>
    <x v="174"/>
    <x v="4"/>
    <m/>
    <s v="S/N"/>
    <n v="8"/>
    <n v="15.4"/>
    <x v="189"/>
    <n v="8"/>
    <n v="123.2"/>
  </r>
  <r>
    <s v="PLOMERIA"/>
    <x v="175"/>
    <x v="4"/>
    <m/>
    <s v="S/N"/>
    <n v="6"/>
    <n v="25.3"/>
    <x v="190"/>
    <n v="6"/>
    <n v="151.80000000000001"/>
  </r>
  <r>
    <s v="PLOMERIA"/>
    <x v="176"/>
    <x v="4"/>
    <m/>
    <s v="S/N"/>
    <n v="7"/>
    <n v="56.1"/>
    <x v="191"/>
    <n v="7"/>
    <n v="392.7"/>
  </r>
  <r>
    <s v="PLOMERIA"/>
    <x v="177"/>
    <x v="4"/>
    <m/>
    <s v="S/N"/>
    <n v="7"/>
    <n v="215"/>
    <x v="192"/>
    <n v="7"/>
    <n v="1505"/>
  </r>
  <r>
    <s v="PLOMERIA"/>
    <x v="178"/>
    <x v="7"/>
    <s v="2.9.6-1792.87"/>
    <n v="28"/>
    <n v="50"/>
    <n v="12031"/>
    <x v="193"/>
    <n v="47"/>
    <n v="565457"/>
  </r>
  <r>
    <s v="PLOMERIA"/>
    <x v="179"/>
    <x v="4"/>
    <m/>
    <s v="S/N"/>
    <n v="30"/>
    <n v="0.5"/>
    <x v="194"/>
    <n v="30"/>
    <n v="15"/>
  </r>
  <r>
    <s v="PLOMERIA"/>
    <x v="180"/>
    <x v="4"/>
    <m/>
    <s v="S/N"/>
    <n v="5"/>
    <n v="0.4"/>
    <x v="195"/>
    <n v="5"/>
    <n v="2"/>
  </r>
  <r>
    <s v="PLOMERIA"/>
    <x v="181"/>
    <x v="4"/>
    <m/>
    <s v="S/N"/>
    <n v="73"/>
    <n v="0.8"/>
    <x v="196"/>
    <n v="73"/>
    <n v="58.400000000000006"/>
  </r>
  <r>
    <s v="PLOMERIA"/>
    <x v="182"/>
    <x v="4"/>
    <m/>
    <s v="S/N"/>
    <n v="3"/>
    <n v="8.5"/>
    <x v="197"/>
    <n v="3"/>
    <n v="25.5"/>
  </r>
  <r>
    <s v="PLOMERIA"/>
    <x v="183"/>
    <x v="4"/>
    <m/>
    <s v="S/N"/>
    <n v="28"/>
    <n v="8"/>
    <x v="198"/>
    <n v="28"/>
    <n v="224"/>
  </r>
  <r>
    <s v="PLOMERIA"/>
    <x v="184"/>
    <x v="4"/>
    <m/>
    <s v="S/N"/>
    <n v="3"/>
    <n v="0.53"/>
    <x v="199"/>
    <n v="3"/>
    <n v="1.59"/>
  </r>
  <r>
    <s v="PLOMERIA"/>
    <x v="185"/>
    <x v="4"/>
    <m/>
    <s v="S/N"/>
    <n v="14"/>
    <n v="5.78"/>
    <x v="200"/>
    <n v="14"/>
    <n v="80.92"/>
  </r>
  <r>
    <s v="PLOMERIA"/>
    <x v="185"/>
    <x v="5"/>
    <m/>
    <s v="S/N"/>
    <n v="12"/>
    <n v="23"/>
    <x v="201"/>
    <n v="12"/>
    <n v="276"/>
  </r>
  <r>
    <s v="PLOMERIA"/>
    <x v="186"/>
    <x v="4"/>
    <m/>
    <s v="S/N"/>
    <n v="7"/>
    <n v="56.4"/>
    <x v="202"/>
    <n v="7"/>
    <n v="394.8"/>
  </r>
  <r>
    <s v="PLOMERIA"/>
    <x v="187"/>
    <x v="4"/>
    <m/>
    <s v="S/N"/>
    <n v="13"/>
    <n v="19"/>
    <x v="203"/>
    <n v="13"/>
    <n v="247"/>
  </r>
  <r>
    <s v="PLOMERIA"/>
    <x v="188"/>
    <x v="11"/>
    <s v="2.9.6-1792.7"/>
    <n v="32"/>
    <n v="30"/>
    <n v="109847"/>
    <x v="204"/>
    <n v="25"/>
    <n v="2746175"/>
  </r>
  <r>
    <s v="PLOMERIA"/>
    <x v="189"/>
    <x v="11"/>
    <s v="2.7.1-1365.5"/>
    <n v="14"/>
    <n v="20"/>
    <n v="41950"/>
    <x v="205"/>
    <n v="13"/>
    <n v="545350"/>
  </r>
  <r>
    <s v="ELECTRICIDAD"/>
    <x v="190"/>
    <x v="4"/>
    <m/>
    <s v="S/N"/>
    <n v="15"/>
    <n v="7.9"/>
    <x v="206"/>
    <n v="15"/>
    <n v="118.5"/>
  </r>
  <r>
    <s v="ELECTRICIDAD"/>
    <x v="191"/>
    <x v="4"/>
    <m/>
    <s v="S/N"/>
    <n v="29"/>
    <n v="8.8000000000000007"/>
    <x v="207"/>
    <n v="29"/>
    <n v="255.20000000000002"/>
  </r>
  <r>
    <s v="ELECTRICIDAD"/>
    <x v="192"/>
    <x v="4"/>
    <m/>
    <s v="S/N"/>
    <n v="2"/>
    <n v="38"/>
    <x v="208"/>
    <n v="2"/>
    <n v="76"/>
  </r>
  <r>
    <s v="ELECTRICIDAD"/>
    <x v="193"/>
    <x v="4"/>
    <m/>
    <s v="S/N"/>
    <n v="153"/>
    <n v="0.12"/>
    <x v="209"/>
    <n v="153"/>
    <n v="18.36"/>
  </r>
  <r>
    <s v="ELECTRICIDAD"/>
    <x v="194"/>
    <x v="13"/>
    <s v="2.9.3-1454.13"/>
    <n v="10"/>
    <n v="300"/>
    <n v="310"/>
    <x v="210"/>
    <n v="189"/>
    <n v="58590"/>
  </r>
  <r>
    <s v="ELECTRICIDAD"/>
    <x v="195"/>
    <x v="4"/>
    <m/>
    <s v="S/N"/>
    <n v="90"/>
    <n v="687"/>
    <x v="211"/>
    <n v="90"/>
    <n v="61830"/>
  </r>
  <r>
    <s v="ELECTRICIDAD"/>
    <x v="196"/>
    <x v="4"/>
    <m/>
    <s v="S/N"/>
    <n v="1300"/>
    <n v="3.2"/>
    <x v="212"/>
    <n v="1300"/>
    <n v="4160"/>
  </r>
  <r>
    <s v="ELECTRICIDAD"/>
    <x v="197"/>
    <x v="4"/>
    <m/>
    <s v="S/N"/>
    <n v="200"/>
    <n v="5.1100000000000003"/>
    <x v="213"/>
    <n v="200"/>
    <n v="1022.0000000000001"/>
  </r>
  <r>
    <s v="ELECTRICIDAD"/>
    <x v="198"/>
    <x v="4"/>
    <m/>
    <s v="S/N"/>
    <n v="1400"/>
    <n v="7.94"/>
    <x v="214"/>
    <n v="1400"/>
    <n v="11116"/>
  </r>
  <r>
    <s v="ELECTRICIDAD"/>
    <x v="199"/>
    <x v="4"/>
    <m/>
    <s v="S/N"/>
    <n v="4500"/>
    <n v="11.708299999999999"/>
    <x v="215"/>
    <n v="4500"/>
    <n v="52687.35"/>
  </r>
  <r>
    <s v="ELECTRICIDAD"/>
    <x v="200"/>
    <x v="4"/>
    <m/>
    <s v="S/N"/>
    <n v="300"/>
    <n v="8.4700000000000006"/>
    <x v="216"/>
    <n v="300"/>
    <n v="2541"/>
  </r>
  <r>
    <s v="ELECTRICIDAD"/>
    <x v="201"/>
    <x v="4"/>
    <m/>
    <s v="S/N"/>
    <n v="200"/>
    <n v="143.15"/>
    <x v="217"/>
    <n v="200"/>
    <n v="28630"/>
  </r>
  <r>
    <s v="ELECTRICIDAD"/>
    <x v="202"/>
    <x v="4"/>
    <m/>
    <s v="S/N"/>
    <n v="35"/>
    <n v="464.01"/>
    <x v="218"/>
    <n v="35"/>
    <n v="16240.35"/>
  </r>
  <r>
    <s v="ELECTRICIDAD"/>
    <x v="203"/>
    <x v="4"/>
    <m/>
    <s v="S/N"/>
    <n v="48"/>
    <n v="0.2"/>
    <x v="219"/>
    <n v="48"/>
    <n v="9.6000000000000014"/>
  </r>
  <r>
    <s v="ELECTRICIDAD"/>
    <x v="204"/>
    <x v="4"/>
    <m/>
    <s v="S/N"/>
    <n v="2"/>
    <n v="71.75"/>
    <x v="220"/>
    <n v="2"/>
    <n v="143.5"/>
  </r>
  <r>
    <s v="ELECTRICIDAD"/>
    <x v="205"/>
    <x v="4"/>
    <m/>
    <s v="S/N"/>
    <n v="2"/>
    <n v="5778"/>
    <x v="221"/>
    <n v="0"/>
    <n v="0"/>
  </r>
  <r>
    <s v="ELECTRICIDAD"/>
    <x v="206"/>
    <x v="4"/>
    <m/>
    <s v="S/N"/>
    <n v="3"/>
    <n v="11"/>
    <x v="222"/>
    <n v="3"/>
    <n v="33"/>
  </r>
  <r>
    <s v="ELECTRICIDAD"/>
    <x v="207"/>
    <x v="14"/>
    <s v="293-01451-0108"/>
    <n v="20"/>
    <n v="30"/>
    <n v="12214.68"/>
    <x v="223"/>
    <n v="26"/>
    <n v="317581.68"/>
  </r>
  <r>
    <s v="ELECTRICIDAD"/>
    <x v="208"/>
    <x v="14"/>
    <s v="293-01451-0044"/>
    <n v="21"/>
    <n v="20"/>
    <n v="1748"/>
    <x v="224"/>
    <n v="10"/>
    <n v="17480"/>
  </r>
  <r>
    <s v="ELECTRICIDAD"/>
    <x v="209"/>
    <x v="14"/>
    <s v="2.9.3-1033.58"/>
    <n v="22"/>
    <n v="500"/>
    <n v="1670.35"/>
    <x v="225"/>
    <n v="461"/>
    <n v="770031.35"/>
  </r>
  <r>
    <s v="ELECTRICIDAD"/>
    <x v="210"/>
    <x v="4"/>
    <m/>
    <s v="S/N"/>
    <n v="118"/>
    <n v="1"/>
    <x v="226"/>
    <n v="118"/>
    <n v="118"/>
  </r>
  <r>
    <s v="ELECTRICIDAD"/>
    <x v="211"/>
    <x v="4"/>
    <m/>
    <s v="S/N"/>
    <n v="5"/>
    <n v="16"/>
    <x v="227"/>
    <n v="5"/>
    <n v="80"/>
  </r>
  <r>
    <s v="ELECTRICIDAD"/>
    <x v="212"/>
    <x v="15"/>
    <s v="2.9.3-1137.316"/>
    <n v="27"/>
    <n v="1000"/>
    <n v="634.85"/>
    <x v="228"/>
    <n v="1000"/>
    <n v="634850"/>
  </r>
  <r>
    <s v="ELECTRICIDAD"/>
    <x v="212"/>
    <x v="4"/>
    <s v="2.9.3-1137.316"/>
    <s v="S/N"/>
    <n v="1100"/>
    <n v="69.78"/>
    <x v="229"/>
    <n v="1100"/>
    <n v="76758"/>
  </r>
  <r>
    <s v="ELECTRICIDAD"/>
    <x v="213"/>
    <x v="15"/>
    <s v="2.9.3-1137.316"/>
    <n v="28"/>
    <n v="10"/>
    <n v="63485"/>
    <x v="228"/>
    <n v="10"/>
    <n v="634850"/>
  </r>
  <r>
    <s v="ELECTRICIDAD"/>
    <x v="214"/>
    <x v="15"/>
    <s v="293-02285-0082"/>
    <n v="25"/>
    <n v="500"/>
    <n v="2238.5500000000002"/>
    <x v="230"/>
    <n v="100"/>
    <n v="223855.00000000003"/>
  </r>
  <r>
    <s v="ELECTRICIDAD"/>
    <x v="215"/>
    <x v="4"/>
    <m/>
    <s v="S/N"/>
    <n v="1"/>
    <n v="1111"/>
    <x v="231"/>
    <n v="1"/>
    <n v="1111"/>
  </r>
  <r>
    <s v="ELECTRICIDAD"/>
    <x v="216"/>
    <x v="4"/>
    <m/>
    <s v="S/N"/>
    <n v="2"/>
    <n v="1210"/>
    <x v="232"/>
    <n v="2"/>
    <n v="2420"/>
  </r>
  <r>
    <s v="ELECTRICIDAD"/>
    <x v="217"/>
    <x v="4"/>
    <m/>
    <s v="S/N"/>
    <n v="3"/>
    <n v="1750"/>
    <x v="233"/>
    <n v="3"/>
    <n v="5250"/>
  </r>
  <r>
    <s v="ELECTRICIDAD"/>
    <x v="218"/>
    <x v="4"/>
    <m/>
    <s v="S/N"/>
    <n v="7"/>
    <n v="1944"/>
    <x v="234"/>
    <n v="7"/>
    <n v="13608"/>
  </r>
  <r>
    <s v="ELECTRICIDAD"/>
    <x v="219"/>
    <x v="4"/>
    <m/>
    <s v="S/N"/>
    <n v="4"/>
    <n v="9780.84"/>
    <x v="235"/>
    <n v="4"/>
    <n v="39123.360000000001"/>
  </r>
  <r>
    <s v="ELECTRICIDAD"/>
    <x v="220"/>
    <x v="14"/>
    <s v="2.9.3-1984.5"/>
    <n v="24"/>
    <n v="6"/>
    <n v="9780.84"/>
    <x v="236"/>
    <n v="6"/>
    <n v="58685.04"/>
  </r>
  <r>
    <s v="ELECTRICIDAD"/>
    <x v="221"/>
    <x v="4"/>
    <m/>
    <s v="S/N"/>
    <n v="17"/>
    <n v="1488"/>
    <x v="237"/>
    <n v="17"/>
    <n v="25296"/>
  </r>
  <r>
    <s v="ELECTRICIDAD"/>
    <x v="222"/>
    <x v="4"/>
    <m/>
    <s v="S/N"/>
    <n v="1865"/>
    <n v="0.47"/>
    <x v="238"/>
    <n v="1865"/>
    <n v="876.55"/>
  </r>
  <r>
    <s v="ELECTRICIDAD"/>
    <x v="223"/>
    <x v="4"/>
    <m/>
    <s v="S/N"/>
    <n v="6"/>
    <n v="8.24"/>
    <x v="239"/>
    <n v="6"/>
    <n v="49.44"/>
  </r>
  <r>
    <s v="ELECTRICIDAD"/>
    <x v="224"/>
    <x v="4"/>
    <m/>
    <s v="S/N"/>
    <n v="19"/>
    <n v="399"/>
    <x v="240"/>
    <n v="19"/>
    <n v="7581"/>
  </r>
  <r>
    <s v="ELECTRICIDAD"/>
    <x v="225"/>
    <x v="13"/>
    <s v="293-01887-0152"/>
    <n v="15"/>
    <n v="20"/>
    <n v="4500"/>
    <x v="241"/>
    <n v="16"/>
    <n v="72000"/>
  </r>
  <r>
    <s v="ELECTRICIDAD"/>
    <x v="226"/>
    <x v="13"/>
    <s v="293-01887-0152"/>
    <n v="16"/>
    <n v="40"/>
    <n v="15300"/>
    <x v="242"/>
    <n v="40"/>
    <n v="612000"/>
  </r>
  <r>
    <s v="ELECTRICIDAD"/>
    <x v="227"/>
    <x v="4"/>
    <m/>
    <s v="S/N"/>
    <n v="10"/>
    <n v="28.5"/>
    <x v="243"/>
    <n v="10"/>
    <n v="285"/>
  </r>
  <r>
    <s v="ELECTRICIDAD"/>
    <x v="227"/>
    <x v="5"/>
    <m/>
    <s v="S/N"/>
    <n v="40"/>
    <n v="28.95"/>
    <x v="244"/>
    <n v="40"/>
    <n v="1158"/>
  </r>
  <r>
    <s v="ELECTRICIDAD"/>
    <x v="228"/>
    <x v="4"/>
    <m/>
    <s v="S/N"/>
    <n v="4"/>
    <n v="1"/>
    <x v="245"/>
    <n v="4"/>
    <n v="4"/>
  </r>
  <r>
    <s v="ELECTRICIDAD"/>
    <x v="228"/>
    <x v="5"/>
    <m/>
    <s v="S/N"/>
    <n v="15"/>
    <n v="121.7"/>
    <x v="246"/>
    <n v="15"/>
    <n v="1825.5"/>
  </r>
  <r>
    <s v="ELECTRICIDAD"/>
    <x v="229"/>
    <x v="4"/>
    <m/>
    <s v="S/N"/>
    <n v="85"/>
    <n v="1.7"/>
    <x v="247"/>
    <n v="85"/>
    <n v="144.5"/>
  </r>
  <r>
    <s v="ELECTRICIDAD"/>
    <x v="229"/>
    <x v="5"/>
    <m/>
    <s v="S/N"/>
    <n v="50"/>
    <n v="4.28"/>
    <x v="248"/>
    <n v="50"/>
    <n v="214"/>
  </r>
  <r>
    <s v="ELECTRICIDAD"/>
    <x v="229"/>
    <x v="9"/>
    <m/>
    <s v="S/N"/>
    <n v="10"/>
    <n v="14.8"/>
    <x v="249"/>
    <n v="10"/>
    <n v="148"/>
  </r>
  <r>
    <s v="ELECTRICIDAD"/>
    <x v="229"/>
    <x v="16"/>
    <m/>
    <s v="S/N"/>
    <n v="15"/>
    <n v="13.8"/>
    <x v="250"/>
    <n v="15"/>
    <n v="207"/>
  </r>
  <r>
    <s v="ELECTRICIDAD"/>
    <x v="230"/>
    <x v="4"/>
    <m/>
    <s v="S/N"/>
    <n v="119"/>
    <n v="1.92"/>
    <x v="251"/>
    <n v="118"/>
    <n v="226.56"/>
  </r>
  <r>
    <s v="ELECTRICIDAD"/>
    <x v="230"/>
    <x v="5"/>
    <m/>
    <s v="S/N"/>
    <n v="100"/>
    <n v="1.74"/>
    <x v="252"/>
    <n v="100"/>
    <n v="174"/>
  </r>
  <r>
    <s v="ELECTRICIDAD"/>
    <x v="230"/>
    <x v="9"/>
    <m/>
    <s v="S/N"/>
    <n v="60"/>
    <n v="7.2"/>
    <x v="253"/>
    <n v="60"/>
    <n v="432"/>
  </r>
  <r>
    <s v="ELECTRICIDAD"/>
    <x v="231"/>
    <x v="4"/>
    <m/>
    <s v="S/N"/>
    <n v="46"/>
    <n v="4.0999999999999996"/>
    <x v="254"/>
    <n v="46"/>
    <n v="188.6"/>
  </r>
  <r>
    <s v="ELECTRICIDAD"/>
    <x v="231"/>
    <x v="5"/>
    <m/>
    <s v="S/N"/>
    <n v="10"/>
    <n v="8.5"/>
    <x v="255"/>
    <n v="10"/>
    <n v="85"/>
  </r>
  <r>
    <s v="ELECTRICIDAD"/>
    <x v="231"/>
    <x v="9"/>
    <m/>
    <s v="S/N"/>
    <n v="6"/>
    <n v="14.8"/>
    <x v="256"/>
    <n v="6"/>
    <n v="88.800000000000011"/>
  </r>
  <r>
    <s v="ELECTRICIDAD"/>
    <x v="232"/>
    <x v="4"/>
    <m/>
    <s v="S/N"/>
    <n v="4"/>
    <n v="1"/>
    <x v="245"/>
    <n v="4"/>
    <n v="4"/>
  </r>
  <r>
    <s v="ELECTRICIDAD"/>
    <x v="233"/>
    <x v="14"/>
    <s v="293-09785-0044"/>
    <n v="2"/>
    <n v="800"/>
    <n v="779.65"/>
    <x v="257"/>
    <n v="570"/>
    <n v="444400.5"/>
  </r>
  <r>
    <s v="ELECTRICIDAD"/>
    <x v="234"/>
    <x v="14"/>
    <s v="293-09785-0109"/>
    <n v="3"/>
    <n v="200"/>
    <n v="677.96"/>
    <x v="258"/>
    <n v="169"/>
    <n v="114575.24"/>
  </r>
  <r>
    <s v="ELECTRICIDAD"/>
    <x v="235"/>
    <x v="4"/>
    <m/>
    <s v="S/N"/>
    <n v="8"/>
    <n v="887"/>
    <x v="259"/>
    <n v="8"/>
    <n v="7096"/>
  </r>
  <r>
    <s v="ELECTRICIDAD"/>
    <x v="236"/>
    <x v="4"/>
    <m/>
    <s v="S/N"/>
    <n v="11"/>
    <n v="188"/>
    <x v="260"/>
    <n v="10"/>
    <n v="1880"/>
  </r>
  <r>
    <s v="ELECTRICIDAD"/>
    <x v="237"/>
    <x v="4"/>
    <m/>
    <s v="S/N"/>
    <n v="10"/>
    <n v="66.5"/>
    <x v="261"/>
    <n v="10"/>
    <n v="665"/>
  </r>
  <r>
    <s v="ELECTRICIDAD"/>
    <x v="237"/>
    <x v="5"/>
    <m/>
    <s v="S/N"/>
    <n v="4"/>
    <n v="255"/>
    <x v="262"/>
    <n v="4"/>
    <n v="1020"/>
  </r>
  <r>
    <s v="ELECTRICIDAD"/>
    <x v="238"/>
    <x v="4"/>
    <m/>
    <s v="S/N"/>
    <n v="23"/>
    <n v="327"/>
    <x v="263"/>
    <n v="23"/>
    <n v="7521"/>
  </r>
  <r>
    <s v="ELECTRICIDAD"/>
    <x v="239"/>
    <x v="4"/>
    <m/>
    <s v="S/N"/>
    <n v="4"/>
    <n v="165"/>
    <x v="264"/>
    <n v="4"/>
    <n v="660"/>
  </r>
  <r>
    <s v="ELECTRICIDAD"/>
    <x v="239"/>
    <x v="5"/>
    <m/>
    <s v="S/N"/>
    <n v="10"/>
    <n v="66.5"/>
    <x v="261"/>
    <n v="10"/>
    <n v="665"/>
  </r>
  <r>
    <s v="ELECTRICIDAD"/>
    <x v="239"/>
    <x v="9"/>
    <m/>
    <s v="S/N"/>
    <n v="10"/>
    <n v="333"/>
    <x v="265"/>
    <n v="10"/>
    <n v="3330"/>
  </r>
  <r>
    <s v="ELECTRICIDAD"/>
    <x v="240"/>
    <x v="4"/>
    <m/>
    <s v="S/N"/>
    <n v="5"/>
    <n v="165"/>
    <x v="266"/>
    <n v="4"/>
    <n v="660"/>
  </r>
  <r>
    <s v="ELECTRICIDAD"/>
    <x v="240"/>
    <x v="5"/>
    <m/>
    <s v="S/N"/>
    <n v="30"/>
    <n v="66.5"/>
    <x v="267"/>
    <n v="30"/>
    <n v="1995"/>
  </r>
  <r>
    <s v="ELECTRICIDAD"/>
    <x v="240"/>
    <x v="9"/>
    <m/>
    <s v="S/N"/>
    <n v="10"/>
    <n v="330"/>
    <x v="268"/>
    <n v="10"/>
    <n v="3300"/>
  </r>
  <r>
    <s v="ELECTRICIDAD"/>
    <x v="241"/>
    <x v="4"/>
    <m/>
    <s v="S/N"/>
    <n v="3"/>
    <n v="1480"/>
    <x v="269"/>
    <n v="3"/>
    <n v="4440"/>
  </r>
  <r>
    <s v="ELECTRICIDAD"/>
    <x v="242"/>
    <x v="4"/>
    <m/>
    <s v="S/N"/>
    <n v="3"/>
    <n v="1.3"/>
    <x v="270"/>
    <n v="3"/>
    <n v="3.9000000000000004"/>
  </r>
  <r>
    <s v="ELECTRICIDAD"/>
    <x v="243"/>
    <x v="4"/>
    <m/>
    <s v="S/N"/>
    <n v="10"/>
    <n v="19.8"/>
    <x v="271"/>
    <n v="10"/>
    <n v="198"/>
  </r>
  <r>
    <s v="ELECTRICIDAD"/>
    <x v="243"/>
    <x v="5"/>
    <m/>
    <s v="S/N"/>
    <n v="60"/>
    <n v="6.35"/>
    <x v="272"/>
    <n v="60"/>
    <n v="381"/>
  </r>
  <r>
    <s v="ELECTRICIDAD"/>
    <x v="244"/>
    <x v="13"/>
    <s v="293-06736-0007"/>
    <n v="9"/>
    <n v="400"/>
    <n v="2735"/>
    <x v="273"/>
    <n v="383"/>
    <n v="1047505"/>
  </r>
  <r>
    <s v="ELECTRICIDAD"/>
    <x v="245"/>
    <x v="13"/>
    <s v="2.9.3-657.23"/>
    <n v="12"/>
    <n v="50"/>
    <n v="530"/>
    <x v="274"/>
    <n v="18"/>
    <n v="9540"/>
  </r>
  <r>
    <s v="ELECTRICIDAD"/>
    <x v="246"/>
    <x v="4"/>
    <m/>
    <s v="S/N"/>
    <n v="308"/>
    <n v="2735"/>
    <x v="275"/>
    <n v="276"/>
    <n v="754860"/>
  </r>
  <r>
    <s v="ELECTRICIDAD"/>
    <x v="247"/>
    <x v="13"/>
    <s v="2.9.3-657.23"/>
    <n v="13"/>
    <n v="50"/>
    <n v="72"/>
    <x v="276"/>
    <n v="41"/>
    <n v="2952"/>
  </r>
  <r>
    <s v="ELECTRICIDAD"/>
    <x v="248"/>
    <x v="14"/>
    <s v="293-06568-0129"/>
    <n v="5"/>
    <n v="50"/>
    <n v="30845.83"/>
    <x v="277"/>
    <n v="50"/>
    <n v="1542291.5"/>
  </r>
  <r>
    <s v="ELECTRICIDAD"/>
    <x v="248"/>
    <x v="4"/>
    <s v="293-06568-0129"/>
    <s v="S/N"/>
    <n v="50"/>
    <n v="30845.83"/>
    <x v="277"/>
    <n v="49"/>
    <n v="1511445.6700000002"/>
  </r>
  <r>
    <s v="ELECTRICIDAD"/>
    <x v="249"/>
    <x v="4"/>
    <m/>
    <s v="S/N"/>
    <n v="22"/>
    <n v="417.45"/>
    <x v="278"/>
    <n v="22"/>
    <n v="9183.9"/>
  </r>
  <r>
    <s v="ELECTRICIDAD"/>
    <x v="250"/>
    <x v="14"/>
    <s v="2.9.3-4701.2"/>
    <n v="6"/>
    <n v="250"/>
    <n v="3145.83"/>
    <x v="279"/>
    <n v="250"/>
    <n v="786457.5"/>
  </r>
  <r>
    <s v="ELECTRICIDAD"/>
    <x v="251"/>
    <x v="14"/>
    <s v="4.3.9-2317.2"/>
    <n v="23"/>
    <n v="6"/>
    <n v="138500"/>
    <x v="280"/>
    <n v="4"/>
    <n v="554000"/>
  </r>
  <r>
    <s v="ELECTRICIDAD"/>
    <x v="252"/>
    <x v="15"/>
    <s v="2.9.3-2285.157"/>
    <n v="26"/>
    <n v="1000"/>
    <n v="3549.84"/>
    <x v="281"/>
    <n v="900"/>
    <n v="3194856"/>
  </r>
  <r>
    <s v="ELECTRICIDAD"/>
    <x v="253"/>
    <x v="14"/>
    <s v="2.9.3-6568.312"/>
    <n v="8"/>
    <n v="50"/>
    <n v="42566.13"/>
    <x v="282"/>
    <n v="50"/>
    <n v="2128306.5"/>
  </r>
  <r>
    <s v="ELECTRICIDAD"/>
    <x v="254"/>
    <x v="13"/>
    <s v="2.9.3-1553.27"/>
    <n v="17"/>
    <n v="400"/>
    <n v="23150"/>
    <x v="283"/>
    <n v="395"/>
    <n v="9144250"/>
  </r>
  <r>
    <s v="ELECTRICIDAD"/>
    <x v="255"/>
    <x v="14"/>
    <s v="258-00723-0017"/>
    <n v="18"/>
    <n v="10"/>
    <n v="5493.6"/>
    <x v="284"/>
    <n v="2"/>
    <n v="10987.2"/>
  </r>
  <r>
    <s v="ELECTRICIDAD"/>
    <x v="256"/>
    <x v="14"/>
    <s v="258-00723-0017"/>
    <n v="19"/>
    <n v="10"/>
    <n v="8741.51"/>
    <x v="285"/>
    <n v="5"/>
    <n v="43707.55"/>
  </r>
  <r>
    <s v="ELECTRICIDAD"/>
    <x v="257"/>
    <x v="4"/>
    <m/>
    <s v="S/N"/>
    <n v="28"/>
    <n v="0.4"/>
    <x v="286"/>
    <n v="28"/>
    <n v="11.200000000000001"/>
  </r>
  <r>
    <s v="ELECTRICIDAD"/>
    <x v="258"/>
    <x v="4"/>
    <m/>
    <s v="S/N"/>
    <n v="8"/>
    <n v="50"/>
    <x v="287"/>
    <n v="8"/>
    <n v="400"/>
  </r>
  <r>
    <s v="ELECTRICIDAD"/>
    <x v="258"/>
    <x v="5"/>
    <m/>
    <s v="S/N"/>
    <n v="110"/>
    <n v="33"/>
    <x v="288"/>
    <n v="110"/>
    <n v="3630"/>
  </r>
  <r>
    <s v="ELECTRICIDAD"/>
    <x v="259"/>
    <x v="4"/>
    <m/>
    <s v="S/N"/>
    <n v="18"/>
    <n v="33"/>
    <x v="289"/>
    <n v="18"/>
    <n v="594"/>
  </r>
  <r>
    <s v="ELECTRICIDAD"/>
    <x v="260"/>
    <x v="4"/>
    <m/>
    <s v="S/N"/>
    <n v="558"/>
    <n v="109.16"/>
    <x v="290"/>
    <n v="558"/>
    <n v="60911.28"/>
  </r>
  <r>
    <s v="ELECTRICIDAD"/>
    <x v="261"/>
    <x v="4"/>
    <m/>
    <s v="S/N"/>
    <n v="14"/>
    <n v="71"/>
    <x v="291"/>
    <n v="14"/>
    <n v="994"/>
  </r>
  <r>
    <s v="ELECTRICIDAD"/>
    <x v="262"/>
    <x v="4"/>
    <m/>
    <s v="S/N"/>
    <n v="11"/>
    <n v="62"/>
    <x v="292"/>
    <n v="11"/>
    <n v="682"/>
  </r>
  <r>
    <s v="ELECTRICIDAD"/>
    <x v="263"/>
    <x v="4"/>
    <m/>
    <s v="S/N"/>
    <n v="350"/>
    <n v="181.67"/>
    <x v="293"/>
    <n v="350"/>
    <n v="63584.499999999993"/>
  </r>
  <r>
    <s v="ELECTRICIDAD"/>
    <x v="264"/>
    <x v="4"/>
    <m/>
    <s v="S/N"/>
    <n v="828"/>
    <n v="181.67"/>
    <x v="294"/>
    <n v="828"/>
    <n v="150422.75999999998"/>
  </r>
  <r>
    <s v="ELECTRICIDAD"/>
    <x v="265"/>
    <x v="4"/>
    <m/>
    <s v="S/N"/>
    <n v="40"/>
    <n v="275.60000000000002"/>
    <x v="295"/>
    <n v="40"/>
    <n v="11024"/>
  </r>
  <r>
    <s v="ELECTRICIDAD"/>
    <x v="266"/>
    <x v="14"/>
    <s v="293-06568-0001"/>
    <n v="4"/>
    <n v="100"/>
    <n v="2953.24"/>
    <x v="296"/>
    <n v="79"/>
    <n v="233305.96"/>
  </r>
  <r>
    <s v="ELECTRICIDAD"/>
    <x v="267"/>
    <x v="4"/>
    <m/>
    <s v="S/N"/>
    <n v="16"/>
    <n v="965"/>
    <x v="297"/>
    <n v="0"/>
    <n v="0"/>
  </r>
  <r>
    <s v="ELECTRICIDAD"/>
    <x v="267"/>
    <x v="5"/>
    <m/>
    <s v="S/N"/>
    <n v="250"/>
    <n v="3145.83"/>
    <x v="279"/>
    <n v="234"/>
    <n v="736124.22"/>
  </r>
  <r>
    <s v="ELECTRICIDAD"/>
    <x v="268"/>
    <x v="4"/>
    <m/>
    <s v="S/N"/>
    <n v="261"/>
    <n v="0.26"/>
    <x v="298"/>
    <n v="261"/>
    <n v="67.86"/>
  </r>
  <r>
    <s v="ELECTRICIDAD"/>
    <x v="268"/>
    <x v="5"/>
    <m/>
    <s v="S/N"/>
    <n v="250"/>
    <n v="0.14499999999999999"/>
    <x v="299"/>
    <n v="250"/>
    <n v="36.25"/>
  </r>
  <r>
    <s v="ELECTRICIDAD"/>
    <x v="269"/>
    <x v="4"/>
    <m/>
    <s v="S/N"/>
    <n v="220"/>
    <n v="0.26"/>
    <x v="300"/>
    <n v="220"/>
    <n v="57.2"/>
  </r>
  <r>
    <s v="ELECTRICIDAD"/>
    <x v="269"/>
    <x v="5"/>
    <m/>
    <s v="S/N"/>
    <n v="250"/>
    <n v="0.14499999999999999"/>
    <x v="299"/>
    <n v="250"/>
    <n v="36.25"/>
  </r>
  <r>
    <s v="ELECTRICIDAD"/>
    <x v="270"/>
    <x v="4"/>
    <m/>
    <s v="S/N"/>
    <n v="42"/>
    <n v="0.6"/>
    <x v="301"/>
    <n v="42"/>
    <n v="25.2"/>
  </r>
  <r>
    <s v="ELECTRICIDAD"/>
    <x v="271"/>
    <x v="4"/>
    <m/>
    <s v="S/N"/>
    <n v="118"/>
    <n v="0.6"/>
    <x v="302"/>
    <n v="118"/>
    <n v="70.8"/>
  </r>
  <r>
    <s v="ELECTRICIDAD"/>
    <x v="272"/>
    <x v="4"/>
    <m/>
    <s v="S/N"/>
    <n v="51"/>
    <n v="0.12"/>
    <x v="303"/>
    <n v="51"/>
    <n v="6.12"/>
  </r>
  <r>
    <s v="ELECTRICIDAD"/>
    <x v="273"/>
    <x v="4"/>
    <m/>
    <s v="S/N"/>
    <n v="1000"/>
    <n v="9.4560000000000005E-2"/>
    <x v="304"/>
    <n v="1000"/>
    <n v="94.56"/>
  </r>
  <r>
    <s v="ELECTRICIDAD"/>
    <x v="273"/>
    <x v="5"/>
    <m/>
    <s v="S/N"/>
    <n v="608"/>
    <n v="0.08"/>
    <x v="305"/>
    <n v="608"/>
    <n v="48.64"/>
  </r>
  <r>
    <s v="ELECTRICIDAD"/>
    <x v="274"/>
    <x v="4"/>
    <m/>
    <s v="S/N"/>
    <n v="70"/>
    <n v="0.16"/>
    <x v="286"/>
    <n v="70"/>
    <n v="11.200000000000001"/>
  </r>
  <r>
    <s v="ELECTRICIDAD"/>
    <x v="275"/>
    <x v="4"/>
    <m/>
    <s v="S/N"/>
    <n v="700"/>
    <n v="0.27"/>
    <x v="306"/>
    <n v="700"/>
    <n v="189"/>
  </r>
  <r>
    <s v="ELECTRICIDAD"/>
    <x v="276"/>
    <x v="4"/>
    <m/>
    <s v="S/N"/>
    <n v="346"/>
    <n v="0.45"/>
    <x v="307"/>
    <n v="346"/>
    <n v="155.70000000000002"/>
  </r>
  <r>
    <s v="ELECTRICIDAD"/>
    <x v="277"/>
    <x v="4"/>
    <m/>
    <s v="S/N"/>
    <n v="355"/>
    <n v="0.8"/>
    <x v="308"/>
    <n v="355"/>
    <n v="284"/>
  </r>
  <r>
    <s v="ELECTRICIDAD"/>
    <x v="278"/>
    <x v="4"/>
    <m/>
    <s v="S/N"/>
    <n v="2290"/>
    <n v="1.1979"/>
    <x v="309"/>
    <n v="2275"/>
    <n v="2725.2224999999999"/>
  </r>
  <r>
    <s v="ELECTRICIDAD"/>
    <x v="279"/>
    <x v="4"/>
    <m/>
    <s v="S/N"/>
    <n v="1984"/>
    <n v="1.7764"/>
    <x v="310"/>
    <n v="1954"/>
    <n v="3471.0855999999999"/>
  </r>
  <r>
    <s v="ELECTRICIDAD"/>
    <x v="280"/>
    <x v="4"/>
    <m/>
    <s v="S/N"/>
    <n v="5"/>
    <n v="9.1999999999999993"/>
    <x v="92"/>
    <n v="5"/>
    <n v="46"/>
  </r>
  <r>
    <s v="ELECTRICIDAD"/>
    <x v="281"/>
    <x v="4"/>
    <m/>
    <s v="S/N"/>
    <n v="10"/>
    <n v="98"/>
    <x v="311"/>
    <n v="10"/>
    <n v="980"/>
  </r>
  <r>
    <s v="ELECTRICIDAD"/>
    <x v="282"/>
    <x v="4"/>
    <m/>
    <s v="S/N"/>
    <n v="61"/>
    <n v="6.4"/>
    <x v="312"/>
    <n v="61"/>
    <n v="390.40000000000003"/>
  </r>
  <r>
    <s v="ELECTRICIDAD"/>
    <x v="283"/>
    <x v="4"/>
    <m/>
    <s v="S/N"/>
    <n v="700"/>
    <n v="28"/>
    <x v="313"/>
    <n v="700"/>
    <n v="19600"/>
  </r>
  <r>
    <s v="ELECTRICIDAD"/>
    <x v="284"/>
    <x v="4"/>
    <m/>
    <s v="S/N"/>
    <n v="400"/>
    <n v="64"/>
    <x v="314"/>
    <n v="400"/>
    <n v="25600"/>
  </r>
  <r>
    <s v="ELECTRICIDAD"/>
    <x v="285"/>
    <x v="4"/>
    <m/>
    <s v="S/N"/>
    <n v="255"/>
    <n v="20.399999999999999"/>
    <x v="315"/>
    <n v="255"/>
    <n v="5202"/>
  </r>
  <r>
    <s v="ELECTRICIDAD"/>
    <x v="286"/>
    <x v="14"/>
    <s v="293-09785-0016"/>
    <n v="1"/>
    <n v="800"/>
    <n v="1813.54"/>
    <x v="316"/>
    <n v="600"/>
    <n v="1088124"/>
  </r>
  <r>
    <s v="ELECTRICIDAD"/>
    <x v="287"/>
    <x v="13"/>
    <s v="2.9.3-1455.111"/>
    <n v="11"/>
    <n v="300"/>
    <n v="340"/>
    <x v="317"/>
    <n v="200"/>
    <n v="68000"/>
  </r>
  <r>
    <s v="ELECTRICIDAD"/>
    <x v="288"/>
    <x v="14"/>
    <s v="2.9.3-1579.42"/>
    <n v="7"/>
    <n v="300"/>
    <n v="361.91"/>
    <x v="318"/>
    <n v="300"/>
    <n v="108573.00000000001"/>
  </r>
  <r>
    <s v="ELECTRICIDAD"/>
    <x v="289"/>
    <x v="4"/>
    <m/>
    <s v="S/N"/>
    <n v="78"/>
    <n v="23.6"/>
    <x v="319"/>
    <n v="78"/>
    <n v="1840.8000000000002"/>
  </r>
  <r>
    <s v="ELECTRICIDAD"/>
    <x v="290"/>
    <x v="13"/>
    <s v="293-01766-0001"/>
    <n v="14"/>
    <n v="100"/>
    <n v="12000"/>
    <x v="320"/>
    <n v="72"/>
    <n v="864000"/>
  </r>
  <r>
    <s v="PINTURA"/>
    <x v="291"/>
    <x v="4"/>
    <m/>
    <s v="S/N"/>
    <n v="97"/>
    <n v="7999"/>
    <x v="321"/>
    <n v="0"/>
    <n v="0"/>
  </r>
  <r>
    <s v="PINTURA"/>
    <x v="292"/>
    <x v="4"/>
    <m/>
    <s v="S/N"/>
    <n v="53"/>
    <n v="1.25"/>
    <x v="322"/>
    <n v="48"/>
    <n v="60"/>
  </r>
  <r>
    <s v="PINTURA"/>
    <x v="293"/>
    <x v="17"/>
    <s v="2.5.5-5444.1"/>
    <n v="10"/>
    <n v="40"/>
    <n v="28678"/>
    <x v="323"/>
    <n v="32"/>
    <n v="917696"/>
  </r>
  <r>
    <s v="PINTURA"/>
    <x v="294"/>
    <x v="17"/>
    <s v="2.5.5-381.3"/>
    <n v="1"/>
    <n v="100"/>
    <n v="41695.800000000003"/>
    <x v="324"/>
    <n v="90"/>
    <n v="3752622.0000000005"/>
  </r>
  <r>
    <s v="PINTURA"/>
    <x v="295"/>
    <x v="17"/>
    <s v="2.5.5-6979.312"/>
    <n v="6"/>
    <n v="50"/>
    <n v="67713.64"/>
    <x v="325"/>
    <n v="36"/>
    <n v="2437691.04"/>
  </r>
  <r>
    <s v="PINTURA"/>
    <x v="296"/>
    <x v="4"/>
    <m/>
    <s v="S/N"/>
    <n v="23"/>
    <n v="259.77999999999997"/>
    <x v="326"/>
    <n v="23"/>
    <n v="5974.94"/>
  </r>
  <r>
    <s v="PINTURA"/>
    <x v="297"/>
    <x v="4"/>
    <m/>
    <s v="S/N"/>
    <n v="10"/>
    <n v="36"/>
    <x v="327"/>
    <n v="10"/>
    <n v="360"/>
  </r>
  <r>
    <s v="PINTURA"/>
    <x v="298"/>
    <x v="4"/>
    <m/>
    <s v="S/N"/>
    <n v="9"/>
    <n v="45"/>
    <x v="328"/>
    <n v="9"/>
    <n v="405"/>
  </r>
  <r>
    <s v="PINTURA"/>
    <x v="299"/>
    <x v="4"/>
    <m/>
    <s v="S/N"/>
    <n v="2"/>
    <n v="45"/>
    <x v="329"/>
    <n v="2"/>
    <n v="90"/>
  </r>
  <r>
    <s v="PINTURA"/>
    <x v="300"/>
    <x v="4"/>
    <m/>
    <s v="S/N"/>
    <n v="12"/>
    <n v="880"/>
    <x v="330"/>
    <n v="10"/>
    <n v="8800"/>
  </r>
  <r>
    <s v="PINTURA"/>
    <x v="301"/>
    <x v="17"/>
    <s v="2.5.5-578.13"/>
    <n v="2"/>
    <n v="100"/>
    <n v="46158.6"/>
    <x v="331"/>
    <n v="100"/>
    <n v="4615860"/>
  </r>
  <r>
    <s v="PINTURA"/>
    <x v="302"/>
    <x v="4"/>
    <m/>
    <s v="S/N"/>
    <n v="9"/>
    <n v="109.53"/>
    <x v="332"/>
    <n v="9"/>
    <n v="985.77"/>
  </r>
  <r>
    <s v="PINTURA"/>
    <x v="303"/>
    <x v="4"/>
    <m/>
    <s v="S/N"/>
    <n v="9"/>
    <n v="55.55"/>
    <x v="333"/>
    <n v="9"/>
    <n v="499.95"/>
  </r>
  <r>
    <s v="PINTURA"/>
    <x v="303"/>
    <x v="5"/>
    <m/>
    <s v="S/N"/>
    <n v="8"/>
    <n v="480"/>
    <x v="334"/>
    <n v="8"/>
    <n v="3840"/>
  </r>
  <r>
    <s v="PINTURA"/>
    <x v="304"/>
    <x v="17"/>
    <s v="2.5.5-6979.350"/>
    <n v="4"/>
    <n v="40"/>
    <n v="179169.76"/>
    <x v="335"/>
    <n v="38"/>
    <n v="6808450.8800000008"/>
  </r>
  <r>
    <s v="PINTURA"/>
    <x v="305"/>
    <x v="17"/>
    <s v="2.5.5-6979.350"/>
    <n v="5"/>
    <n v="40"/>
    <n v="179763.4"/>
    <x v="336"/>
    <n v="40"/>
    <n v="7190536"/>
  </r>
  <r>
    <s v="PINTURA"/>
    <x v="305"/>
    <x v="4"/>
    <s v="2.5.5-6979.350"/>
    <s v="S/N"/>
    <n v="1"/>
    <n v="195596.51"/>
    <x v="337"/>
    <n v="1"/>
    <n v="195596.51"/>
  </r>
  <r>
    <s v="PINTURA"/>
    <x v="306"/>
    <x v="17"/>
    <s v="2.5.5-580.16"/>
    <n v="7"/>
    <n v="20"/>
    <n v="13198.5"/>
    <x v="338"/>
    <n v="18"/>
    <n v="237573"/>
  </r>
  <r>
    <s v="PINTURA"/>
    <x v="307"/>
    <x v="4"/>
    <m/>
    <s v="S/N"/>
    <n v="12"/>
    <n v="6.83"/>
    <x v="339"/>
    <n v="12"/>
    <n v="81.960000000000008"/>
  </r>
  <r>
    <s v="PINTURA"/>
    <x v="308"/>
    <x v="4"/>
    <m/>
    <s v="S/N"/>
    <n v="1"/>
    <n v="23.2"/>
    <x v="340"/>
    <n v="1"/>
    <n v="23.2"/>
  </r>
  <r>
    <s v="PINTURA"/>
    <x v="309"/>
    <x v="17"/>
    <s v="2.5.5-6979.437"/>
    <n v="3"/>
    <n v="20"/>
    <n v="110239"/>
    <x v="341"/>
    <n v="20"/>
    <n v="2204780"/>
  </r>
  <r>
    <s v="PINTURA"/>
    <x v="310"/>
    <x v="17"/>
    <s v="2.5.5-6979.373"/>
    <n v="8"/>
    <n v="20"/>
    <n v="165538.17000000001"/>
    <x v="342"/>
    <n v="19"/>
    <n v="3145225.2300000004"/>
  </r>
  <r>
    <s v="PINTURA"/>
    <x v="311"/>
    <x v="17"/>
    <s v="2.5.5-6979.373"/>
    <n v="9"/>
    <n v="20"/>
    <n v="122998.15"/>
    <x v="343"/>
    <n v="20"/>
    <n v="2459963"/>
  </r>
  <r>
    <s v="PINTURA"/>
    <x v="312"/>
    <x v="4"/>
    <m/>
    <s v="S/N"/>
    <n v="3"/>
    <n v="106174"/>
    <x v="344"/>
    <n v="3"/>
    <n v="318522"/>
  </r>
  <r>
    <s v="PINTURA"/>
    <x v="313"/>
    <x v="4"/>
    <m/>
    <s v="S/N"/>
    <n v="28"/>
    <n v="1959"/>
    <x v="345"/>
    <n v="28"/>
    <n v="54852"/>
  </r>
  <r>
    <s v="PINTURA"/>
    <x v="314"/>
    <x v="18"/>
    <s v="2.3.4-999.17"/>
    <n v="11"/>
    <n v="500"/>
    <n v="523"/>
    <x v="346"/>
    <n v="500"/>
    <n v="261500"/>
  </r>
  <r>
    <s v="PINTURA"/>
    <x v="314"/>
    <x v="4"/>
    <s v="2.3.4-999.17"/>
    <s v="S/N"/>
    <n v="29"/>
    <n v="1330"/>
    <x v="347"/>
    <n v="29"/>
    <n v="38570"/>
  </r>
  <r>
    <s v="PINTURA"/>
    <x v="315"/>
    <x v="18"/>
    <s v="2.3.4-999.19"/>
    <n v="12"/>
    <n v="500"/>
    <n v="523"/>
    <x v="346"/>
    <n v="375"/>
    <n v="196125"/>
  </r>
  <r>
    <s v="PINTURA"/>
    <x v="316"/>
    <x v="18"/>
    <s v="2.3.4-999.21"/>
    <n v="13"/>
    <n v="500"/>
    <n v="523"/>
    <x v="346"/>
    <n v="427"/>
    <n v="223321"/>
  </r>
  <r>
    <s v="PINTURA"/>
    <x v="317"/>
    <x v="17"/>
    <s v="2.9.9-1059.115"/>
    <n v="15"/>
    <n v="200"/>
    <n v="18389.400000000001"/>
    <x v="348"/>
    <n v="167"/>
    <n v="3071029.8000000003"/>
  </r>
  <r>
    <s v="PINTURA"/>
    <x v="318"/>
    <x v="17"/>
    <s v="2.9.9-1059.189"/>
    <n v="16"/>
    <n v="200"/>
    <n v="24703.9"/>
    <x v="349"/>
    <n v="177"/>
    <n v="4372590.3"/>
  </r>
  <r>
    <s v="PINTURA"/>
    <x v="319"/>
    <x v="17"/>
    <s v="2.9.9-1059.61"/>
    <n v="17"/>
    <n v="200"/>
    <n v="12357.61"/>
    <x v="350"/>
    <n v="189"/>
    <n v="2335588.29"/>
  </r>
  <r>
    <s v="PINTURA"/>
    <x v="320"/>
    <x v="18"/>
    <s v="2.3.4-4325.12"/>
    <n v="14"/>
    <n v="100"/>
    <n v="7990"/>
    <x v="351"/>
    <n v="93"/>
    <n v="743070"/>
  </r>
  <r>
    <s v="PINTURA"/>
    <x v="321"/>
    <x v="4"/>
    <m/>
    <s v="S/N"/>
    <n v="3"/>
    <n v="329"/>
    <x v="352"/>
    <n v="3"/>
    <n v="987"/>
  </r>
  <r>
    <s v="PINTURA"/>
    <x v="322"/>
    <x v="17"/>
    <s v="2.9.9-1416.6"/>
    <n v="18"/>
    <n v="200"/>
    <n v="14137"/>
    <x v="353"/>
    <n v="167"/>
    <n v="2360879"/>
  </r>
  <r>
    <s v="PINTURA"/>
    <x v="323"/>
    <x v="4"/>
    <m/>
    <s v="S/N"/>
    <n v="156"/>
    <n v="2.95"/>
    <x v="354"/>
    <n v="156"/>
    <n v="460.20000000000005"/>
  </r>
  <r>
    <s v="PINTURA"/>
    <x v="324"/>
    <x v="4"/>
    <m/>
    <s v="S/N"/>
    <n v="10"/>
    <n v="6.5"/>
    <x v="355"/>
    <n v="10"/>
    <n v="65"/>
  </r>
  <r>
    <s v="LIBRERIA"/>
    <x v="325"/>
    <x v="4"/>
    <m/>
    <s v="S/N"/>
    <n v="64"/>
    <n v="3985"/>
    <x v="356"/>
    <n v="59"/>
    <n v="235115"/>
  </r>
  <r>
    <s v="LIBRERIA"/>
    <x v="326"/>
    <x v="4"/>
    <m/>
    <s v="S/N"/>
    <n v="67"/>
    <n v="1175.5999999999999"/>
    <x v="357"/>
    <n v="58"/>
    <n v="68184.799999999988"/>
  </r>
  <r>
    <s v="LIBRERIA"/>
    <x v="327"/>
    <x v="4"/>
    <m/>
    <s v="S/N"/>
    <n v="4"/>
    <n v="8975"/>
    <x v="358"/>
    <n v="4"/>
    <n v="35900"/>
  </r>
  <r>
    <s v="LIBRERIA"/>
    <x v="328"/>
    <x v="4"/>
    <m/>
    <s v="S/N"/>
    <n v="74"/>
    <n v="2870"/>
    <x v="359"/>
    <n v="60"/>
    <n v="172200"/>
  </r>
  <r>
    <s v="LIBRERIA"/>
    <x v="329"/>
    <x v="19"/>
    <s v="2.9.2-262.40"/>
    <n v="1"/>
    <n v="100"/>
    <n v="384.94"/>
    <x v="360"/>
    <n v="100"/>
    <n v="38494"/>
  </r>
  <r>
    <s v="LIBRERIA"/>
    <x v="330"/>
    <x v="4"/>
    <m/>
    <s v="S/N"/>
    <n v="117"/>
    <n v="298"/>
    <x v="361"/>
    <n v="94"/>
    <n v="28012"/>
  </r>
  <r>
    <s v="LIBRERIA"/>
    <x v="331"/>
    <x v="4"/>
    <m/>
    <s v="S/N"/>
    <n v="281"/>
    <n v="13.6"/>
    <x v="362"/>
    <n v="238"/>
    <n v="3236.7999999999997"/>
  </r>
  <r>
    <s v="LIBRERIA"/>
    <x v="332"/>
    <x v="4"/>
    <m/>
    <s v="S/N"/>
    <n v="325"/>
    <n v="14.6"/>
    <x v="363"/>
    <n v="304"/>
    <n v="4438.3999999999996"/>
  </r>
  <r>
    <s v="LIBRERIA"/>
    <x v="333"/>
    <x v="4"/>
    <m/>
    <s v="S/N"/>
    <n v="94"/>
    <n v="384.94"/>
    <x v="364"/>
    <n v="70"/>
    <n v="26945.8"/>
  </r>
  <r>
    <s v="LIBRERIA"/>
    <x v="334"/>
    <x v="4"/>
    <m/>
    <s v="S/N"/>
    <n v="53"/>
    <n v="17.8"/>
    <x v="365"/>
    <n v="53"/>
    <n v="943.40000000000009"/>
  </r>
  <r>
    <s v="LIBRERIA"/>
    <x v="335"/>
    <x v="4"/>
    <m/>
    <s v="S/N"/>
    <n v="423"/>
    <n v="1966.7"/>
    <x v="366"/>
    <n v="330"/>
    <n v="649011"/>
  </r>
  <r>
    <s v="LIBRERIA"/>
    <x v="336"/>
    <x v="4"/>
    <m/>
    <s v="S/N"/>
    <n v="41"/>
    <n v="98.8"/>
    <x v="367"/>
    <n v="41"/>
    <n v="4050.7999999999997"/>
  </r>
  <r>
    <s v="LIBRERIA"/>
    <x v="337"/>
    <x v="20"/>
    <s v="2.9.2-1428.23"/>
    <n v="2"/>
    <n v="100"/>
    <n v="4317.66"/>
    <x v="368"/>
    <n v="67"/>
    <n v="289283.21999999997"/>
  </r>
  <r>
    <s v="LIBRERIA"/>
    <x v="338"/>
    <x v="19"/>
    <s v="2.9.2-274.6"/>
    <n v="3"/>
    <n v="100"/>
    <n v="2793.28"/>
    <x v="369"/>
    <n v="76"/>
    <n v="212289.28000000003"/>
  </r>
  <r>
    <s v="LIBRERIA"/>
    <x v="339"/>
    <x v="19"/>
    <s v="2.9.2-274.31"/>
    <n v="4"/>
    <n v="100"/>
    <n v="2793.28"/>
    <x v="369"/>
    <n v="76"/>
    <n v="212289.28000000003"/>
  </r>
  <r>
    <s v="LIBRERIA"/>
    <x v="340"/>
    <x v="19"/>
    <s v="2.9.2-317.32"/>
    <n v="5"/>
    <n v="1000"/>
    <n v="104.28"/>
    <x v="370"/>
    <n v="330"/>
    <n v="34412.400000000001"/>
  </r>
  <r>
    <s v="LIBRERIA"/>
    <x v="341"/>
    <x v="4"/>
    <m/>
    <s v="S/N"/>
    <n v="1569"/>
    <n v="59.38"/>
    <x v="371"/>
    <n v="1160"/>
    <n v="68880.800000000003"/>
  </r>
  <r>
    <s v="LIBRERIA"/>
    <x v="342"/>
    <x v="19"/>
    <s v="2.9.2-317.32"/>
    <n v="6"/>
    <n v="500"/>
    <n v="104.28"/>
    <x v="372"/>
    <n v="500"/>
    <n v="52140"/>
  </r>
  <r>
    <s v="LIBRERIA"/>
    <x v="342"/>
    <x v="4"/>
    <s v="2.9.2-317.32"/>
    <s v="S/N"/>
    <n v="498"/>
    <n v="59.3"/>
    <x v="373"/>
    <n v="384"/>
    <n v="22771.199999999997"/>
  </r>
  <r>
    <s v="LIBRERIA"/>
    <x v="343"/>
    <x v="4"/>
    <m/>
    <s v="S/N"/>
    <n v="429"/>
    <n v="9.27"/>
    <x v="374"/>
    <n v="349"/>
    <n v="3235.23"/>
  </r>
  <r>
    <s v="LIBRERIA"/>
    <x v="343"/>
    <x v="5"/>
    <m/>
    <s v="S/N"/>
    <n v="750"/>
    <n v="54"/>
    <x v="375"/>
    <n v="750"/>
    <n v="40500"/>
  </r>
  <r>
    <s v="LIBRERIA"/>
    <x v="344"/>
    <x v="4"/>
    <m/>
    <s v="S/N"/>
    <n v="258"/>
    <n v="15.6"/>
    <x v="376"/>
    <n v="209"/>
    <n v="3260.4"/>
  </r>
  <r>
    <s v="LIBRERIA"/>
    <x v="344"/>
    <x v="5"/>
    <m/>
    <s v="S/N"/>
    <n v="550"/>
    <n v="98.66"/>
    <x v="377"/>
    <n v="550"/>
    <n v="54263"/>
  </r>
  <r>
    <s v="LIBRERIA"/>
    <x v="345"/>
    <x v="20"/>
    <s v="2.9.2-700.28"/>
    <n v="7"/>
    <n v="100"/>
    <n v="259.7"/>
    <x v="378"/>
    <n v="100"/>
    <n v="25970"/>
  </r>
  <r>
    <s v="LIBRERIA"/>
    <x v="345"/>
    <x v="4"/>
    <s v="2.9.2-700.28"/>
    <s v="S/N"/>
    <n v="201"/>
    <n v="83.9"/>
    <x v="379"/>
    <n v="126"/>
    <n v="10571.400000000001"/>
  </r>
  <r>
    <s v="LIBRERIA"/>
    <x v="346"/>
    <x v="4"/>
    <m/>
    <s v="S/N"/>
    <n v="236"/>
    <n v="16.3"/>
    <x v="380"/>
    <n v="171"/>
    <n v="2787.3"/>
  </r>
  <r>
    <s v="LIBRERIA"/>
    <x v="346"/>
    <x v="5"/>
    <m/>
    <s v="S/N"/>
    <n v="535"/>
    <n v="152"/>
    <x v="381"/>
    <n v="535"/>
    <n v="81320"/>
  </r>
  <r>
    <s v="LIBRERIA"/>
    <x v="347"/>
    <x v="4"/>
    <m/>
    <s v="S/N"/>
    <n v="20"/>
    <n v="493"/>
    <x v="382"/>
    <n v="20"/>
    <n v="9860"/>
  </r>
  <r>
    <s v="LIBRERIA"/>
    <x v="348"/>
    <x v="4"/>
    <m/>
    <s v="S/N"/>
    <n v="20"/>
    <n v="245"/>
    <x v="383"/>
    <n v="20"/>
    <n v="4900"/>
  </r>
  <r>
    <s v="LIBRERIA"/>
    <x v="349"/>
    <x v="4"/>
    <m/>
    <s v="S/N"/>
    <n v="16"/>
    <n v="68.22"/>
    <x v="384"/>
    <n v="16"/>
    <n v="1091.52"/>
  </r>
  <r>
    <s v="LIBRERIA"/>
    <x v="349"/>
    <x v="5"/>
    <m/>
    <s v="S/N"/>
    <n v="50"/>
    <n v="64.39"/>
    <x v="385"/>
    <n v="50"/>
    <n v="3219.5"/>
  </r>
  <r>
    <s v="LIBRERIA"/>
    <x v="349"/>
    <x v="9"/>
    <m/>
    <s v="S/N"/>
    <n v="50"/>
    <n v="46"/>
    <x v="386"/>
    <n v="50"/>
    <n v="2300"/>
  </r>
  <r>
    <s v="LIBRERIA"/>
    <x v="350"/>
    <x v="4"/>
    <m/>
    <s v="S/N"/>
    <n v="45"/>
    <n v="38.700000000000003"/>
    <x v="387"/>
    <n v="45"/>
    <n v="1741.5000000000002"/>
  </r>
  <r>
    <s v="LIBRERIA"/>
    <x v="350"/>
    <x v="5"/>
    <m/>
    <s v="S/N"/>
    <n v="60"/>
    <n v="155.34"/>
    <x v="388"/>
    <n v="60"/>
    <n v="9320.4"/>
  </r>
  <r>
    <s v="LIBRERIA"/>
    <x v="351"/>
    <x v="4"/>
    <m/>
    <s v="S/N"/>
    <n v="15"/>
    <n v="672.53"/>
    <x v="389"/>
    <n v="15"/>
    <n v="10087.949999999999"/>
  </r>
  <r>
    <s v="LIBRERIA"/>
    <x v="352"/>
    <x v="4"/>
    <m/>
    <s v="S/N"/>
    <n v="1176"/>
    <n v="53.58"/>
    <x v="390"/>
    <n v="1176"/>
    <n v="63010.079999999994"/>
  </r>
  <r>
    <s v="LIBRERIA"/>
    <x v="353"/>
    <x v="4"/>
    <m/>
    <s v="S/N"/>
    <n v="1193"/>
    <n v="25.91"/>
    <x v="391"/>
    <n v="1193"/>
    <n v="30910.63"/>
  </r>
  <r>
    <s v="LIBRERIA"/>
    <x v="354"/>
    <x v="21"/>
    <s v="2.9.2-850.1"/>
    <n v="8"/>
    <n v="500"/>
    <n v="1966.7"/>
    <x v="392"/>
    <n v="500"/>
    <n v="983350"/>
  </r>
  <r>
    <s v="LIBRERIA"/>
    <x v="355"/>
    <x v="4"/>
    <m/>
    <s v="S/N"/>
    <n v="540"/>
    <n v="118.4"/>
    <x v="393"/>
    <n v="71"/>
    <n v="8406.4"/>
  </r>
  <r>
    <s v="LIBRERIA"/>
    <x v="356"/>
    <x v="4"/>
    <m/>
    <s v="S/N"/>
    <n v="1570"/>
    <n v="26"/>
    <x v="394"/>
    <n v="1570"/>
    <n v="40820"/>
  </r>
  <r>
    <s v="LIBRERIA"/>
    <x v="357"/>
    <x v="4"/>
    <m/>
    <s v="S/N"/>
    <n v="495"/>
    <n v="7.8"/>
    <x v="395"/>
    <n v="360"/>
    <n v="2808"/>
  </r>
  <r>
    <s v="LIBRERIA"/>
    <x v="357"/>
    <x v="5"/>
    <m/>
    <s v="S/N"/>
    <n v="1000"/>
    <n v="52"/>
    <x v="396"/>
    <n v="1000"/>
    <n v="52000"/>
  </r>
  <r>
    <s v="LIBRERIA"/>
    <x v="358"/>
    <x v="19"/>
    <s v="2.9.2-1358.398"/>
    <n v="9"/>
    <n v="500"/>
    <n v="310.02999999999997"/>
    <x v="397"/>
    <n v="69"/>
    <n v="21392.07"/>
  </r>
  <r>
    <s v="LIBRERIA"/>
    <x v="359"/>
    <x v="22"/>
    <s v="2.9.2-1358.59"/>
    <n v="10"/>
    <n v="1000"/>
    <n v="294.83"/>
    <x v="398"/>
    <n v="745"/>
    <n v="219648.34999999998"/>
  </r>
  <r>
    <s v="LIBRERIA"/>
    <x v="360"/>
    <x v="4"/>
    <m/>
    <s v="S/N"/>
    <n v="717"/>
    <n v="20.59"/>
    <x v="399"/>
    <n v="672"/>
    <n v="13836.48"/>
  </r>
  <r>
    <s v="LIBRERIA"/>
    <x v="360"/>
    <x v="5"/>
    <m/>
    <s v="S/N"/>
    <n v="1500"/>
    <n v="143.66"/>
    <x v="400"/>
    <n v="1500"/>
    <n v="215490"/>
  </r>
  <r>
    <s v="LIBRERIA"/>
    <x v="361"/>
    <x v="4"/>
    <m/>
    <s v="S/N"/>
    <n v="60"/>
    <n v="59.5"/>
    <x v="401"/>
    <n v="30"/>
    <n v="1785"/>
  </r>
  <r>
    <s v="LIBRERIA"/>
    <x v="362"/>
    <x v="4"/>
    <m/>
    <s v="S/N"/>
    <n v="6366"/>
    <n v="0.66"/>
    <x v="402"/>
    <n v="6366"/>
    <n v="4201.5600000000004"/>
  </r>
  <r>
    <s v="LIBRERIA"/>
    <x v="362"/>
    <x v="5"/>
    <m/>
    <s v="S/N"/>
    <n v="200"/>
    <n v="6.15"/>
    <x v="403"/>
    <n v="200"/>
    <n v="1230"/>
  </r>
  <r>
    <s v="LIBRERIA"/>
    <x v="363"/>
    <x v="4"/>
    <m/>
    <s v="S/N"/>
    <n v="520"/>
    <n v="19.8"/>
    <x v="404"/>
    <n v="520"/>
    <n v="10296"/>
  </r>
  <r>
    <s v="LIBRERIA"/>
    <x v="364"/>
    <x v="4"/>
    <s v="2.9.2-1358.3"/>
    <s v="S/N"/>
    <n v="195"/>
    <n v="294.83"/>
    <x v="405"/>
    <n v="195"/>
    <n v="57491.85"/>
  </r>
  <r>
    <s v="LIBRERIA"/>
    <x v="365"/>
    <x v="4"/>
    <m/>
    <s v="S/N"/>
    <n v="7766"/>
    <n v="7.16"/>
    <x v="406"/>
    <n v="7766"/>
    <n v="55604.56"/>
  </r>
  <r>
    <s v="LIBRERIA"/>
    <x v="366"/>
    <x v="4"/>
    <m/>
    <s v="S/N"/>
    <n v="122"/>
    <n v="9.7200000000000006"/>
    <x v="407"/>
    <n v="122"/>
    <n v="1185.8400000000001"/>
  </r>
  <r>
    <s v="LIBRERIA"/>
    <x v="366"/>
    <x v="5"/>
    <m/>
    <s v="S/N"/>
    <n v="150"/>
    <n v="196"/>
    <x v="408"/>
    <n v="150"/>
    <n v="29400"/>
  </r>
  <r>
    <s v="LIBRERIA"/>
    <x v="367"/>
    <x v="23"/>
    <s v="2.3.4-734.75"/>
    <n v="11"/>
    <n v="100"/>
    <n v="667.6"/>
    <x v="409"/>
    <n v="100"/>
    <n v="66760"/>
  </r>
  <r>
    <s v="LIBRERIA"/>
    <x v="367"/>
    <x v="4"/>
    <s v="2.3.4-734.75"/>
    <s v="S/N"/>
    <n v="68"/>
    <n v="277.66000000000003"/>
    <x v="410"/>
    <n v="68"/>
    <n v="18880.88"/>
  </r>
  <r>
    <s v="LIBRERIA"/>
    <x v="368"/>
    <x v="23"/>
    <s v="2.3.4-734.11"/>
    <n v="12"/>
    <n v="200"/>
    <n v="667.6"/>
    <x v="411"/>
    <n v="200"/>
    <n v="133520"/>
  </r>
  <r>
    <s v="LIBRERIA"/>
    <x v="368"/>
    <x v="4"/>
    <s v="2.3.4-734.11"/>
    <s v="S/N"/>
    <n v="76"/>
    <n v="277.66000000000003"/>
    <x v="412"/>
    <n v="1"/>
    <n v="277.66000000000003"/>
  </r>
  <r>
    <s v="LIBRERIA"/>
    <x v="369"/>
    <x v="4"/>
    <m/>
    <s v="S/N"/>
    <n v="38"/>
    <n v="1085"/>
    <x v="413"/>
    <n v="38"/>
    <n v="41230"/>
  </r>
  <r>
    <s v="LIBRERIA"/>
    <x v="370"/>
    <x v="20"/>
    <s v="2.9.2-660.28"/>
    <n v="13"/>
    <n v="300"/>
    <n v="254.7"/>
    <x v="414"/>
    <n v="288"/>
    <n v="73353.599999999991"/>
  </r>
  <r>
    <s v="LIBRERIA"/>
    <x v="371"/>
    <x v="4"/>
    <m/>
    <s v="S/N"/>
    <n v="10"/>
    <n v="173.42"/>
    <x v="415"/>
    <n v="10"/>
    <n v="1734.1999999999998"/>
  </r>
  <r>
    <s v="LIBRERIA"/>
    <x v="372"/>
    <x v="4"/>
    <m/>
    <s v="S/N"/>
    <n v="13"/>
    <n v="99"/>
    <x v="416"/>
    <n v="13"/>
    <n v="1287"/>
  </r>
  <r>
    <s v="LIBRERIA"/>
    <x v="373"/>
    <x v="20"/>
    <s v="2.3.1-6587.347"/>
    <n v="14"/>
    <n v="200"/>
    <n v="1848"/>
    <x v="417"/>
    <n v="110"/>
    <n v="203280"/>
  </r>
  <r>
    <s v="LIBRERIA"/>
    <x v="374"/>
    <x v="19"/>
    <s v="2.3.1-6587.267"/>
    <n v="15"/>
    <n v="100"/>
    <n v="2173.52"/>
    <x v="418"/>
    <n v="19"/>
    <n v="41296.879999999997"/>
  </r>
  <r>
    <s v="LIBRERIA"/>
    <x v="375"/>
    <x v="19"/>
    <s v="2.3.1-6587.266"/>
    <n v="16"/>
    <n v="250"/>
    <n v="2173.52"/>
    <x v="419"/>
    <n v="72"/>
    <n v="156493.44"/>
  </r>
  <r>
    <s v="LIBRERIA"/>
    <x v="376"/>
    <x v="19"/>
    <s v="2.9.2-790.30"/>
    <n v="17"/>
    <n v="100"/>
    <n v="238.81"/>
    <x v="420"/>
    <n v="100"/>
    <n v="23881"/>
  </r>
  <r>
    <s v="LIBRERIA"/>
    <x v="376"/>
    <x v="4"/>
    <s v="2.9.2-790.30"/>
    <s v="S/N"/>
    <n v="38"/>
    <n v="187"/>
    <x v="421"/>
    <n v="7"/>
    <n v="1309"/>
  </r>
  <r>
    <s v="LIBRERIA"/>
    <x v="377"/>
    <x v="23"/>
    <s v="2.9.2-1611.3"/>
    <n v="18"/>
    <n v="10000"/>
    <n v="44.54"/>
    <x v="422"/>
    <n v="4850"/>
    <n v="216019"/>
  </r>
  <r>
    <s v="LIBRERIA"/>
    <x v="378"/>
    <x v="4"/>
    <m/>
    <s v="S/N"/>
    <n v="2470"/>
    <n v="8.26"/>
    <x v="423"/>
    <n v="1725"/>
    <n v="14248.5"/>
  </r>
  <r>
    <s v="LIBRERIA"/>
    <x v="379"/>
    <x v="4"/>
    <m/>
    <s v="S/N"/>
    <n v="405"/>
    <n v="41"/>
    <x v="424"/>
    <n v="321"/>
    <n v="13161"/>
  </r>
  <r>
    <s v="LIBRERIA"/>
    <x v="380"/>
    <x v="4"/>
    <m/>
    <s v="S/N"/>
    <n v="60"/>
    <n v="52"/>
    <x v="425"/>
    <n v="55"/>
    <n v="2860"/>
  </r>
  <r>
    <s v="LIBRERIA"/>
    <x v="381"/>
    <x v="21"/>
    <s v="2.9.2-851.16"/>
    <n v="19"/>
    <n v="50"/>
    <n v="6560.4"/>
    <x v="426"/>
    <n v="50"/>
    <n v="328020"/>
  </r>
  <r>
    <s v="LIBRERIA"/>
    <x v="382"/>
    <x v="4"/>
    <m/>
    <s v="S/N"/>
    <n v="120"/>
    <n v="83"/>
    <x v="427"/>
    <n v="120"/>
    <n v="9960"/>
  </r>
  <r>
    <s v="LIBRERIA"/>
    <x v="383"/>
    <x v="4"/>
    <m/>
    <s v="S/N"/>
    <n v="240"/>
    <n v="83"/>
    <x v="428"/>
    <n v="240"/>
    <n v="19920"/>
  </r>
  <r>
    <s v="LIBRERIA"/>
    <x v="384"/>
    <x v="4"/>
    <m/>
    <s v="S/N"/>
    <n v="265"/>
    <n v="45.25"/>
    <x v="429"/>
    <n v="86"/>
    <n v="3891.5"/>
  </r>
  <r>
    <s v="LIBRERIA"/>
    <x v="385"/>
    <x v="24"/>
    <s v="2.3.1-6587.404"/>
    <n v="20"/>
    <n v="20"/>
    <n v="9350"/>
    <x v="430"/>
    <n v="4"/>
    <n v="37400"/>
  </r>
  <r>
    <s v="LIBRERIA"/>
    <x v="386"/>
    <x v="24"/>
    <s v="2.3.1-1650.1"/>
    <n v="21"/>
    <n v="50"/>
    <n v="2244"/>
    <x v="431"/>
    <n v="50"/>
    <n v="112200"/>
  </r>
  <r>
    <s v="LIBRERIA"/>
    <x v="387"/>
    <x v="21"/>
    <s v="2.9.2-858.7"/>
    <n v="22"/>
    <n v="20"/>
    <n v="18142.7"/>
    <x v="432"/>
    <n v="13"/>
    <n v="235855.1"/>
  </r>
  <r>
    <s v="LIBRERIA"/>
    <x v="388"/>
    <x v="4"/>
    <m/>
    <s v="S/N"/>
    <n v="187"/>
    <n v="168"/>
    <x v="433"/>
    <n v="162"/>
    <n v="27216"/>
  </r>
  <r>
    <s v="LIBRERIA"/>
    <x v="389"/>
    <x v="4"/>
    <m/>
    <s v="S/N"/>
    <n v="201"/>
    <n v="168"/>
    <x v="434"/>
    <n v="178"/>
    <n v="29904"/>
  </r>
  <r>
    <s v="LIBRERIA"/>
    <x v="390"/>
    <x v="25"/>
    <s v="2.9.2-1616.25"/>
    <n v="23"/>
    <n v="240"/>
    <n v="377.98"/>
    <x v="435"/>
    <n v="240"/>
    <n v="90715.200000000012"/>
  </r>
  <r>
    <s v="LIBRERIA"/>
    <x v="390"/>
    <x v="4"/>
    <s v="2.9.2-1616.25"/>
    <s v="S/N"/>
    <n v="115"/>
    <n v="18.62"/>
    <x v="436"/>
    <n v="115"/>
    <n v="2141.3000000000002"/>
  </r>
  <r>
    <s v="LIBRERIA"/>
    <x v="391"/>
    <x v="25"/>
    <s v="2.9.2-1616.1"/>
    <n v="24"/>
    <n v="240"/>
    <n v="377.98"/>
    <x v="435"/>
    <n v="240"/>
    <n v="90715.200000000012"/>
  </r>
  <r>
    <s v="LIBRERIA"/>
    <x v="392"/>
    <x v="25"/>
    <s v="2.9.2-1616.57"/>
    <n v="25"/>
    <n v="240"/>
    <n v="377.98"/>
    <x v="435"/>
    <n v="240"/>
    <n v="90715.200000000012"/>
  </r>
  <r>
    <s v="LIBRERIA"/>
    <x v="392"/>
    <x v="4"/>
    <s v="2.9.2-1616.57"/>
    <s v="S/N"/>
    <n v="102"/>
    <n v="18.62"/>
    <x v="437"/>
    <n v="102"/>
    <n v="1899.24"/>
  </r>
  <r>
    <s v="LIBRERIA"/>
    <x v="393"/>
    <x v="25"/>
    <s v="2.9.2-1616.66"/>
    <n v="26"/>
    <n v="240"/>
    <n v="377.98"/>
    <x v="435"/>
    <n v="240"/>
    <n v="90715.200000000012"/>
  </r>
  <r>
    <s v="LIBRERIA"/>
    <x v="393"/>
    <x v="4"/>
    <s v="2.9.2-1616.66"/>
    <s v="S/N"/>
    <n v="160"/>
    <n v="18.62"/>
    <x v="438"/>
    <n v="151"/>
    <n v="2811.6200000000003"/>
  </r>
  <r>
    <s v="LIBRERIA"/>
    <x v="394"/>
    <x v="4"/>
    <m/>
    <s v="S/N"/>
    <n v="50"/>
    <n v="3.3"/>
    <x v="41"/>
    <n v="18"/>
    <n v="59.4"/>
  </r>
  <r>
    <s v="LIBRERIA"/>
    <x v="395"/>
    <x v="4"/>
    <m/>
    <s v="S/N"/>
    <n v="37"/>
    <n v="229.9"/>
    <x v="439"/>
    <n v="26"/>
    <n v="5977.4000000000005"/>
  </r>
  <r>
    <s v="LIBRERIA"/>
    <x v="396"/>
    <x v="4"/>
    <m/>
    <s v="S/N"/>
    <n v="27"/>
    <n v="229.9"/>
    <x v="440"/>
    <n v="8"/>
    <n v="1839.2"/>
  </r>
  <r>
    <s v="LIBRERIA"/>
    <x v="397"/>
    <x v="4"/>
    <m/>
    <s v="S/N"/>
    <n v="232"/>
    <n v="180.29"/>
    <x v="441"/>
    <n v="213"/>
    <n v="38401.769999999997"/>
  </r>
  <r>
    <s v="LIBRERIA"/>
    <x v="398"/>
    <x v="4"/>
    <m/>
    <s v="S/N"/>
    <n v="205"/>
    <n v="180.29"/>
    <x v="442"/>
    <n v="192"/>
    <n v="34615.68"/>
  </r>
  <r>
    <s v="LIBRERIA"/>
    <x v="399"/>
    <x v="4"/>
    <m/>
    <s v="S/N"/>
    <n v="240"/>
    <n v="180.29"/>
    <x v="443"/>
    <n v="217"/>
    <n v="39122.93"/>
  </r>
  <r>
    <s v="LIBRERIA"/>
    <x v="400"/>
    <x v="4"/>
    <m/>
    <s v="S/N"/>
    <n v="294"/>
    <n v="180.29"/>
    <x v="444"/>
    <n v="281"/>
    <n v="50661.49"/>
  </r>
  <r>
    <s v="LIBRERIA"/>
    <x v="401"/>
    <x v="4"/>
    <m/>
    <s v="S/N"/>
    <n v="201"/>
    <n v="180.29"/>
    <x v="445"/>
    <n v="191"/>
    <n v="34435.39"/>
  </r>
  <r>
    <s v="LIBRERIA"/>
    <x v="402"/>
    <x v="4"/>
    <m/>
    <s v="S/N"/>
    <n v="221"/>
    <n v="180.29"/>
    <x v="446"/>
    <n v="221"/>
    <n v="39844.089999999997"/>
  </r>
  <r>
    <s v="LIBRERIA"/>
    <x v="403"/>
    <x v="26"/>
    <s v="2.3.1-9896.10"/>
    <n v="1"/>
    <n v="1000"/>
    <n v="4310"/>
    <x v="447"/>
    <n v="814"/>
    <n v="3508340"/>
  </r>
  <r>
    <s v="LIBRERIA"/>
    <x v="404"/>
    <x v="4"/>
    <m/>
    <s v="S/N"/>
    <n v="391"/>
    <n v="1880"/>
    <x v="448"/>
    <n v="334"/>
    <n v="627920"/>
  </r>
  <r>
    <s v="LIBRERIA"/>
    <x v="405"/>
    <x v="4"/>
    <m/>
    <s v="S/N"/>
    <n v="5"/>
    <n v="4089.8"/>
    <x v="449"/>
    <n v="5"/>
    <n v="20449"/>
  </r>
  <r>
    <s v="LIBRERIA"/>
    <x v="406"/>
    <x v="4"/>
    <m/>
    <s v="S/N"/>
    <n v="12"/>
    <n v="135"/>
    <x v="450"/>
    <n v="12"/>
    <n v="1620"/>
  </r>
  <r>
    <s v="LIBRERIA"/>
    <x v="407"/>
    <x v="4"/>
    <m/>
    <s v="S/N"/>
    <n v="806"/>
    <n v="1"/>
    <x v="451"/>
    <n v="806"/>
    <n v="806"/>
  </r>
  <r>
    <s v="LIBRERIA"/>
    <x v="408"/>
    <x v="4"/>
    <m/>
    <s v="S/N"/>
    <n v="62"/>
    <n v="2.8"/>
    <x v="452"/>
    <n v="62"/>
    <n v="173.6"/>
  </r>
  <r>
    <s v="LIBRERIA"/>
    <x v="409"/>
    <x v="4"/>
    <m/>
    <s v="S/N"/>
    <n v="22"/>
    <n v="93.5"/>
    <x v="453"/>
    <n v="13"/>
    <n v="1215.5"/>
  </r>
  <r>
    <s v="LIBRERIA"/>
    <x v="409"/>
    <x v="5"/>
    <m/>
    <s v="S/N"/>
    <n v="30"/>
    <n v="498"/>
    <x v="454"/>
    <n v="30"/>
    <n v="14940"/>
  </r>
  <r>
    <s v="LIBRERIA"/>
    <x v="410"/>
    <x v="4"/>
    <m/>
    <s v="S/N"/>
    <n v="27"/>
    <n v="765"/>
    <x v="455"/>
    <n v="27"/>
    <n v="20655"/>
  </r>
  <r>
    <s v="LIBRERIA"/>
    <x v="411"/>
    <x v="4"/>
    <m/>
    <s v="S/N"/>
    <n v="63"/>
    <n v="188.4"/>
    <x v="456"/>
    <n v="63"/>
    <n v="11869.2"/>
  </r>
  <r>
    <s v="LIBRERIA"/>
    <x v="412"/>
    <x v="4"/>
    <m/>
    <s v="S/N"/>
    <n v="38"/>
    <n v="196.4"/>
    <x v="457"/>
    <n v="38"/>
    <n v="7463.2"/>
  </r>
  <r>
    <s v="LIBRERIA"/>
    <x v="413"/>
    <x v="4"/>
    <m/>
    <s v="S/N"/>
    <n v="47"/>
    <n v="28.16"/>
    <x v="458"/>
    <n v="47"/>
    <n v="1323.52"/>
  </r>
  <r>
    <s v="LIBRERIA"/>
    <x v="414"/>
    <x v="4"/>
    <m/>
    <s v="S/N"/>
    <n v="113"/>
    <n v="111.49"/>
    <x v="459"/>
    <n v="94"/>
    <n v="10480.06"/>
  </r>
  <r>
    <s v="LIBRERIA"/>
    <x v="415"/>
    <x v="4"/>
    <m/>
    <s v="S/N"/>
    <n v="10"/>
    <n v="1825"/>
    <x v="460"/>
    <n v="10"/>
    <n v="18250"/>
  </r>
  <r>
    <s v="LIBRERIA"/>
    <x v="416"/>
    <x v="4"/>
    <m/>
    <s v="S/N"/>
    <n v="10"/>
    <n v="568"/>
    <x v="461"/>
    <n v="10"/>
    <n v="5680"/>
  </r>
  <r>
    <s v="LIBRERIA"/>
    <x v="417"/>
    <x v="4"/>
    <m/>
    <s v="S/N"/>
    <n v="390"/>
    <n v="29.8"/>
    <x v="462"/>
    <n v="390"/>
    <n v="11622"/>
  </r>
  <r>
    <s v="LIBRERIA"/>
    <x v="418"/>
    <x v="20"/>
    <s v="2.9.2-1354.28"/>
    <n v="27"/>
    <n v="420"/>
    <n v="202.6"/>
    <x v="463"/>
    <n v="223"/>
    <n v="45179.799999999996"/>
  </r>
  <r>
    <s v="LIBRERIA"/>
    <x v="419"/>
    <x v="20"/>
    <s v="2.9.2-1354.29"/>
    <n v="28"/>
    <n v="420"/>
    <n v="202.6"/>
    <x v="463"/>
    <n v="234"/>
    <n v="47408.4"/>
  </r>
  <r>
    <s v="LIBRERIA"/>
    <x v="420"/>
    <x v="20"/>
    <s v="2.9.2-1354.16"/>
    <n v="29"/>
    <n v="420"/>
    <n v="202.6"/>
    <x v="463"/>
    <n v="224"/>
    <n v="45382.400000000001"/>
  </r>
  <r>
    <s v="LIBRERIA"/>
    <x v="421"/>
    <x v="20"/>
    <s v="2.9.2-1354.16"/>
    <n v="30"/>
    <n v="420"/>
    <n v="202.6"/>
    <x v="463"/>
    <n v="230"/>
    <n v="46598"/>
  </r>
  <r>
    <s v="LIBRERIA"/>
    <x v="422"/>
    <x v="20"/>
    <s v="2.9.2-1354.16"/>
    <n v="31"/>
    <n v="420"/>
    <n v="202.6"/>
    <x v="463"/>
    <n v="224"/>
    <n v="45382.400000000001"/>
  </r>
  <r>
    <s v="LIBRERIA"/>
    <x v="423"/>
    <x v="4"/>
    <m/>
    <s v="S/N"/>
    <n v="907"/>
    <n v="363"/>
    <x v="464"/>
    <n v="898"/>
    <n v="325974"/>
  </r>
  <r>
    <s v="LIBRERIA"/>
    <x v="424"/>
    <x v="19"/>
    <s v="2.9.2-696.6"/>
    <n v="32"/>
    <n v="100"/>
    <n v="142.08000000000001"/>
    <x v="465"/>
    <n v="10"/>
    <n v="1420.8000000000002"/>
  </r>
  <r>
    <s v="LIBRERIA"/>
    <x v="425"/>
    <x v="4"/>
    <m/>
    <s v="S/N"/>
    <n v="40"/>
    <n v="38"/>
    <x v="466"/>
    <n v="39"/>
    <n v="1482"/>
  </r>
  <r>
    <s v="LIBRERIA"/>
    <x v="425"/>
    <x v="5"/>
    <m/>
    <s v="S/N"/>
    <n v="20"/>
    <n v="138.47999999999999"/>
    <x v="467"/>
    <n v="20"/>
    <n v="2769.6"/>
  </r>
  <r>
    <s v="LIBRERIA"/>
    <x v="426"/>
    <x v="4"/>
    <m/>
    <s v="S/N"/>
    <n v="28"/>
    <n v="58"/>
    <x v="468"/>
    <n v="28"/>
    <n v="1624"/>
  </r>
  <r>
    <s v="LIBRERIA"/>
    <x v="426"/>
    <x v="5"/>
    <m/>
    <s v="S/N"/>
    <n v="20"/>
    <n v="178"/>
    <x v="469"/>
    <n v="20"/>
    <n v="3560"/>
  </r>
  <r>
    <s v="LIBRERIA"/>
    <x v="427"/>
    <x v="4"/>
    <m/>
    <s v="S/N"/>
    <n v="453"/>
    <n v="138"/>
    <x v="470"/>
    <n v="453"/>
    <n v="62514"/>
  </r>
  <r>
    <s v="LIBRERIA"/>
    <x v="428"/>
    <x v="4"/>
    <m/>
    <s v="S/N"/>
    <n v="4269"/>
    <n v="0.42399999999999999"/>
    <x v="471"/>
    <n v="4269"/>
    <n v="1810.056"/>
  </r>
  <r>
    <s v="LIBRERIA"/>
    <x v="429"/>
    <x v="4"/>
    <m/>
    <s v="S/N"/>
    <n v="4510"/>
    <n v="13.74"/>
    <x v="472"/>
    <n v="4420"/>
    <n v="60730.8"/>
  </r>
  <r>
    <s v="LIBRERIA"/>
    <x v="430"/>
    <x v="4"/>
    <m/>
    <s v="S/N"/>
    <n v="1110"/>
    <n v="0.91"/>
    <x v="473"/>
    <n v="1110"/>
    <n v="1010.1"/>
  </r>
  <r>
    <s v="LIBRERIA"/>
    <x v="431"/>
    <x v="4"/>
    <m/>
    <s v="S/N"/>
    <n v="5830"/>
    <n v="13.977"/>
    <x v="474"/>
    <n v="5580"/>
    <n v="77991.66"/>
  </r>
  <r>
    <s v="LIBRERIA"/>
    <x v="431"/>
    <x v="5"/>
    <m/>
    <s v="S/N"/>
    <n v="10000"/>
    <n v="12.96"/>
    <x v="475"/>
    <n v="10000"/>
    <n v="129600.00000000001"/>
  </r>
  <r>
    <s v="LIBRERIA"/>
    <x v="432"/>
    <x v="4"/>
    <m/>
    <s v="S/N"/>
    <n v="4200"/>
    <n v="4.3499999999999996"/>
    <x v="476"/>
    <n v="4200"/>
    <n v="18270"/>
  </r>
  <r>
    <s v="LIBRERIA"/>
    <x v="433"/>
    <x v="4"/>
    <m/>
    <s v="S/N"/>
    <n v="4605"/>
    <n v="5.17"/>
    <x v="477"/>
    <n v="4605"/>
    <n v="23807.85"/>
  </r>
  <r>
    <s v="LIBRERIA"/>
    <x v="434"/>
    <x v="4"/>
    <m/>
    <s v="S/N"/>
    <n v="4735"/>
    <n v="4.2225999999999999"/>
    <x v="478"/>
    <n v="4735"/>
    <n v="19994.010999999999"/>
  </r>
  <r>
    <s v="LIBRERIA"/>
    <x v="435"/>
    <x v="4"/>
    <m/>
    <s v="S/N"/>
    <n v="12875"/>
    <n v="13.95"/>
    <x v="479"/>
    <n v="12875"/>
    <n v="179606.25"/>
  </r>
  <r>
    <s v="LIBRERIA"/>
    <x v="436"/>
    <x v="4"/>
    <m/>
    <s v="S/N"/>
    <n v="11780"/>
    <n v="16.98"/>
    <x v="480"/>
    <n v="11265"/>
    <n v="191279.7"/>
  </r>
  <r>
    <s v="LIBRERIA"/>
    <x v="437"/>
    <x v="4"/>
    <m/>
    <s v="S/N"/>
    <n v="2175"/>
    <n v="4.8899999999999997"/>
    <x v="481"/>
    <n v="2175"/>
    <n v="10635.75"/>
  </r>
  <r>
    <s v="LIBRERIA"/>
    <x v="438"/>
    <x v="4"/>
    <m/>
    <s v="S/N"/>
    <n v="2618"/>
    <n v="5.58"/>
    <x v="482"/>
    <n v="2618"/>
    <n v="14608.44"/>
  </r>
  <r>
    <s v="LIBRERIA"/>
    <x v="439"/>
    <x v="4"/>
    <m/>
    <s v="S/N"/>
    <n v="7150"/>
    <n v="5.16"/>
    <x v="483"/>
    <n v="7050"/>
    <n v="36378"/>
  </r>
  <r>
    <s v="LIBRERIA"/>
    <x v="440"/>
    <x v="19"/>
    <s v="2.9.2-1466.1"/>
    <n v="33"/>
    <n v="500"/>
    <n v="1092.1600000000001"/>
    <x v="484"/>
    <n v="452"/>
    <n v="493656.32000000007"/>
  </r>
  <r>
    <s v="LIBRERIA"/>
    <x v="441"/>
    <x v="4"/>
    <m/>
    <s v="S/N"/>
    <n v="141"/>
    <n v="273"/>
    <x v="485"/>
    <n v="84"/>
    <n v="22932"/>
  </r>
  <r>
    <s v="LIBRERIA"/>
    <x v="442"/>
    <x v="20"/>
    <s v="2.9.2-758.34"/>
    <n v="34"/>
    <n v="100"/>
    <n v="1566.6"/>
    <x v="486"/>
    <n v="96"/>
    <n v="150393.59999999998"/>
  </r>
  <r>
    <s v="LIBRERIA"/>
    <x v="443"/>
    <x v="4"/>
    <m/>
    <s v="S/N"/>
    <n v="7"/>
    <n v="74.05"/>
    <x v="487"/>
    <n v="4"/>
    <n v="296.2"/>
  </r>
  <r>
    <s v="LIBRERIA"/>
    <x v="443"/>
    <x v="5"/>
    <m/>
    <s v="S/N"/>
    <n v="30"/>
    <n v="38.799999999999997"/>
    <x v="488"/>
    <n v="30"/>
    <n v="1164"/>
  </r>
  <r>
    <s v="LIBRERIA"/>
    <x v="444"/>
    <x v="4"/>
    <s v="2.3.3-1450.6"/>
    <s v="S/N"/>
    <n v="181"/>
    <n v="7.69"/>
    <x v="489"/>
    <n v="181"/>
    <n v="1391.89"/>
  </r>
  <r>
    <s v="CABLE CANAL"/>
    <x v="445"/>
    <x v="4"/>
    <m/>
    <s v="S/N"/>
    <n v="16"/>
    <n v="1.18"/>
    <x v="490"/>
    <n v="16"/>
    <n v="18.88"/>
  </r>
  <r>
    <s v="CABLE CANAL"/>
    <x v="445"/>
    <x v="5"/>
    <m/>
    <s v="S/N"/>
    <n v="30"/>
    <n v="0.95"/>
    <x v="491"/>
    <n v="30"/>
    <n v="28.5"/>
  </r>
  <r>
    <s v="CABLE CANAL"/>
    <x v="445"/>
    <x v="9"/>
    <m/>
    <s v="S/N"/>
    <n v="50"/>
    <n v="0.8"/>
    <x v="492"/>
    <n v="50"/>
    <n v="40"/>
  </r>
  <r>
    <s v="CABLE CANAL"/>
    <x v="446"/>
    <x v="4"/>
    <m/>
    <s v="S/N"/>
    <n v="13"/>
    <n v="2.95"/>
    <x v="493"/>
    <n v="13"/>
    <n v="38.35"/>
  </r>
  <r>
    <s v="CABLE CANAL"/>
    <x v="446"/>
    <x v="5"/>
    <m/>
    <s v="S/N"/>
    <n v="30"/>
    <n v="2.75"/>
    <x v="494"/>
    <n v="30"/>
    <n v="82.5"/>
  </r>
  <r>
    <s v="CABLE CANAL"/>
    <x v="446"/>
    <x v="9"/>
    <m/>
    <s v="S/N"/>
    <n v="50"/>
    <n v="2.5"/>
    <x v="495"/>
    <n v="50"/>
    <n v="125"/>
  </r>
  <r>
    <s v="CABLE CANAL"/>
    <x v="447"/>
    <x v="4"/>
    <m/>
    <s v="S/N"/>
    <n v="24"/>
    <n v="1.18"/>
    <x v="496"/>
    <n v="24"/>
    <n v="28.32"/>
  </r>
  <r>
    <s v="CABLE CANAL"/>
    <x v="447"/>
    <x v="5"/>
    <m/>
    <s v="S/N"/>
    <n v="40"/>
    <n v="0.95"/>
    <x v="497"/>
    <n v="40"/>
    <n v="38"/>
  </r>
  <r>
    <s v="CABLE CANAL"/>
    <x v="447"/>
    <x v="9"/>
    <m/>
    <s v="S/N"/>
    <n v="80"/>
    <n v="0.8"/>
    <x v="498"/>
    <n v="80"/>
    <n v="64"/>
  </r>
  <r>
    <s v="CABLE CANAL"/>
    <x v="448"/>
    <x v="4"/>
    <m/>
    <s v="S/N"/>
    <n v="56"/>
    <n v="257"/>
    <x v="499"/>
    <n v="56"/>
    <n v="14392"/>
  </r>
  <r>
    <s v="CABLE CANAL"/>
    <x v="448"/>
    <x v="5"/>
    <m/>
    <s v="S/N"/>
    <n v="90"/>
    <n v="338.69"/>
    <x v="500"/>
    <n v="90"/>
    <n v="30482.1"/>
  </r>
  <r>
    <s v="CABLE CANAL"/>
    <x v="449"/>
    <x v="4"/>
    <m/>
    <s v="S/N"/>
    <n v="40"/>
    <n v="1748"/>
    <x v="501"/>
    <n v="40"/>
    <n v="69920"/>
  </r>
  <r>
    <s v="CABLE CANAL"/>
    <x v="450"/>
    <x v="4"/>
    <m/>
    <s v="S/N"/>
    <n v="6"/>
    <n v="16.52"/>
    <x v="502"/>
    <n v="6"/>
    <n v="99.12"/>
  </r>
  <r>
    <s v="CABLE CANAL"/>
    <x v="451"/>
    <x v="4"/>
    <m/>
    <s v="S/N"/>
    <n v="25"/>
    <n v="12214.68"/>
    <x v="503"/>
    <n v="25"/>
    <n v="305367"/>
  </r>
  <r>
    <s v="CABLE CANAL"/>
    <x v="452"/>
    <x v="4"/>
    <m/>
    <s v="S/N"/>
    <n v="41"/>
    <n v="12.01"/>
    <x v="504"/>
    <n v="41"/>
    <n v="492.40999999999997"/>
  </r>
  <r>
    <s v="CABLE CANAL"/>
    <x v="453"/>
    <x v="4"/>
    <m/>
    <s v="S/N"/>
    <n v="80"/>
    <n v="1.18"/>
    <x v="505"/>
    <n v="80"/>
    <n v="94.399999999999991"/>
  </r>
  <r>
    <s v="CABLE CANAL"/>
    <x v="453"/>
    <x v="5"/>
    <m/>
    <s v="S/N"/>
    <n v="40"/>
    <n v="0.95"/>
    <x v="497"/>
    <n v="40"/>
    <n v="38"/>
  </r>
  <r>
    <s v="CABLE CANAL"/>
    <x v="453"/>
    <x v="9"/>
    <m/>
    <s v="S/N"/>
    <n v="80"/>
    <n v="0.8"/>
    <x v="498"/>
    <n v="80"/>
    <n v="64"/>
  </r>
  <r>
    <s v="VESTIMENTA"/>
    <x v="454"/>
    <x v="4"/>
    <m/>
    <s v="S/N"/>
    <n v="18"/>
    <n v="275"/>
    <x v="506"/>
    <n v="18"/>
    <n v="4950"/>
  </r>
  <r>
    <s v="VESTIMENTA"/>
    <x v="455"/>
    <x v="4"/>
    <m/>
    <s v="S/N"/>
    <n v="26"/>
    <n v="7995"/>
    <x v="507"/>
    <n v="18"/>
    <n v="143910"/>
  </r>
  <r>
    <s v="VESTIMENTA"/>
    <x v="456"/>
    <x v="4"/>
    <m/>
    <s v="S/N"/>
    <n v="12"/>
    <n v="759.76"/>
    <x v="508"/>
    <n v="12"/>
    <n v="9117.119999999999"/>
  </r>
  <r>
    <s v="VESTIMENTA"/>
    <x v="457"/>
    <x v="4"/>
    <m/>
    <s v="S/N"/>
    <n v="10"/>
    <n v="12800"/>
    <x v="509"/>
    <n v="10"/>
    <n v="128000"/>
  </r>
  <r>
    <s v="VESTIMENTA"/>
    <x v="458"/>
    <x v="4"/>
    <m/>
    <s v="S/N"/>
    <n v="23"/>
    <n v="1085"/>
    <x v="510"/>
    <n v="21"/>
    <n v="22785"/>
  </r>
  <r>
    <s v="VESTIMENTA"/>
    <x v="459"/>
    <x v="4"/>
    <m/>
    <s v="S/N"/>
    <n v="22"/>
    <n v="464"/>
    <x v="511"/>
    <n v="22"/>
    <n v="10208"/>
  </r>
  <r>
    <s v="VESTIMENTA"/>
    <x v="460"/>
    <x v="4"/>
    <m/>
    <s v="S/N"/>
    <n v="27"/>
    <n v="7150"/>
    <x v="512"/>
    <n v="27"/>
    <n v="193050"/>
  </r>
  <r>
    <s v="VESTIMENTA"/>
    <x v="461"/>
    <x v="4"/>
    <m/>
    <s v="S/N"/>
    <n v="6"/>
    <n v="368"/>
    <x v="513"/>
    <n v="6"/>
    <n v="2208"/>
  </r>
  <r>
    <s v="VESTIMENTA"/>
    <x v="462"/>
    <x v="4"/>
    <m/>
    <s v="S/N"/>
    <n v="48"/>
    <n v="7150"/>
    <x v="514"/>
    <n v="48"/>
    <n v="343200"/>
  </r>
  <r>
    <s v="VESTIMENTA"/>
    <x v="463"/>
    <x v="4"/>
    <m/>
    <s v="S/N"/>
    <n v="10"/>
    <n v="32.1"/>
    <x v="515"/>
    <n v="10"/>
    <n v="321"/>
  </r>
  <r>
    <s v="VESTIMENTA"/>
    <x v="464"/>
    <x v="4"/>
    <m/>
    <s v="S/N"/>
    <n v="41"/>
    <n v="6530"/>
    <x v="516"/>
    <n v="41"/>
    <n v="267730"/>
  </r>
  <r>
    <s v="VESTIMENTA"/>
    <x v="465"/>
    <x v="4"/>
    <m/>
    <s v="S/N"/>
    <n v="107"/>
    <n v="297.79000000000002"/>
    <x v="517"/>
    <n v="107"/>
    <n v="31863.530000000002"/>
  </r>
  <r>
    <s v="VESTIMENTA"/>
    <x v="466"/>
    <x v="4"/>
    <m/>
    <s v="S/N"/>
    <n v="3"/>
    <n v="43.2"/>
    <x v="518"/>
    <n v="3"/>
    <n v="129.60000000000002"/>
  </r>
  <r>
    <s v="VESTIMENTA"/>
    <x v="466"/>
    <x v="5"/>
    <m/>
    <s v="S/N"/>
    <n v="8"/>
    <n v="121"/>
    <x v="519"/>
    <n v="8"/>
    <n v="968"/>
  </r>
  <r>
    <s v="VESTIMENTA"/>
    <x v="466"/>
    <x v="9"/>
    <m/>
    <s v="S/N"/>
    <n v="12"/>
    <n v="328"/>
    <x v="520"/>
    <n v="12"/>
    <n v="3936"/>
  </r>
  <r>
    <s v="VESTIMENTA"/>
    <x v="467"/>
    <x v="4"/>
    <m/>
    <s v="S/N"/>
    <n v="76"/>
    <n v="461.8"/>
    <x v="521"/>
    <n v="76"/>
    <n v="35096.800000000003"/>
  </r>
  <r>
    <s v="VESTIMENTA"/>
    <x v="468"/>
    <x v="4"/>
    <m/>
    <s v="S/N"/>
    <n v="64"/>
    <n v="481.6"/>
    <x v="522"/>
    <n v="57"/>
    <n v="27451.200000000001"/>
  </r>
  <r>
    <s v="VESTIMENTA"/>
    <x v="469"/>
    <x v="4"/>
    <m/>
    <s v="S/N"/>
    <n v="19"/>
    <n v="1480"/>
    <x v="523"/>
    <n v="13"/>
    <n v="19240"/>
  </r>
  <r>
    <s v="VESTIMENTA"/>
    <x v="470"/>
    <x v="4"/>
    <m/>
    <s v="S/N"/>
    <n v="35"/>
    <n v="10200"/>
    <x v="524"/>
    <n v="20"/>
    <n v="204000"/>
  </r>
  <r>
    <s v="VESTIMENTA"/>
    <x v="471"/>
    <x v="4"/>
    <m/>
    <s v="S/N"/>
    <n v="23"/>
    <n v="990"/>
    <x v="525"/>
    <n v="23"/>
    <n v="22770"/>
  </r>
  <r>
    <s v="VESTIMENTA"/>
    <x v="472"/>
    <x v="4"/>
    <m/>
    <s v="S/N"/>
    <n v="9"/>
    <n v="6.9"/>
    <x v="526"/>
    <n v="9"/>
    <n v="62.1"/>
  </r>
  <r>
    <s v="VESTIMENTA"/>
    <x v="473"/>
    <x v="4"/>
    <m/>
    <s v="S/N"/>
    <n v="9"/>
    <n v="74.099999999999994"/>
    <x v="527"/>
    <n v="9"/>
    <n v="666.9"/>
  </r>
  <r>
    <s v="VESTIMENTA"/>
    <x v="473"/>
    <x v="5"/>
    <m/>
    <s v="S/N"/>
    <n v="148"/>
    <n v="585"/>
    <x v="528"/>
    <n v="148"/>
    <n v="86580"/>
  </r>
  <r>
    <s v="VESTIMENTA"/>
    <x v="473"/>
    <x v="9"/>
    <m/>
    <s v="S/N"/>
    <n v="19"/>
    <n v="9640"/>
    <x v="529"/>
    <n v="19"/>
    <n v="183160"/>
  </r>
  <r>
    <s v="VESTIMENTA"/>
    <x v="474"/>
    <x v="4"/>
    <m/>
    <s v="S/N"/>
    <n v="20"/>
    <n v="5995"/>
    <x v="530"/>
    <n v="20"/>
    <n v="119900"/>
  </r>
  <r>
    <s v="VESTIMENTA"/>
    <x v="475"/>
    <x v="4"/>
    <m/>
    <s v="S/N"/>
    <n v="14"/>
    <n v="324"/>
    <x v="531"/>
    <n v="14"/>
    <n v="4536"/>
  </r>
  <r>
    <s v="VESTIMENTA"/>
    <x v="476"/>
    <x v="4"/>
    <m/>
    <s v="S/N"/>
    <n v="4"/>
    <n v="4.9000000000000004"/>
    <x v="532"/>
    <n v="4"/>
    <n v="19.600000000000001"/>
  </r>
  <r>
    <s v="VESTIMENTA"/>
    <x v="477"/>
    <x v="4"/>
    <m/>
    <s v="S/N"/>
    <n v="7"/>
    <n v="288"/>
    <x v="533"/>
    <n v="7"/>
    <n v="2016"/>
  </r>
  <r>
    <s v="VESTIMENTA"/>
    <x v="478"/>
    <x v="4"/>
    <m/>
    <s v="S/N"/>
    <n v="2"/>
    <n v="49"/>
    <x v="534"/>
    <n v="2"/>
    <n v="98"/>
  </r>
  <r>
    <s v="VESTIMENTA"/>
    <x v="478"/>
    <x v="5"/>
    <m/>
    <s v="S/N"/>
    <n v="6"/>
    <n v="121"/>
    <x v="31"/>
    <n v="6"/>
    <n v="726"/>
  </r>
  <r>
    <s v="VESTIMENTA"/>
    <x v="478"/>
    <x v="9"/>
    <m/>
    <s v="S/N"/>
    <n v="18"/>
    <n v="334"/>
    <x v="535"/>
    <n v="18"/>
    <n v="6012"/>
  </r>
  <r>
    <s v="VESTIMENTA"/>
    <x v="479"/>
    <x v="4"/>
    <m/>
    <s v="S/N"/>
    <n v="67"/>
    <n v="9900"/>
    <x v="536"/>
    <n v="67"/>
    <n v="663300"/>
  </r>
  <r>
    <s v="VESTIMENTA"/>
    <x v="480"/>
    <x v="4"/>
    <m/>
    <s v="S/N"/>
    <n v="17"/>
    <n v="553"/>
    <x v="537"/>
    <n v="17"/>
    <n v="9401"/>
  </r>
  <r>
    <s v="VESTIMENTA"/>
    <x v="481"/>
    <x v="4"/>
    <m/>
    <s v="S/N"/>
    <n v="9"/>
    <n v="515"/>
    <x v="538"/>
    <n v="8"/>
    <n v="4120"/>
  </r>
  <r>
    <s v="VESTIMENTA"/>
    <x v="482"/>
    <x v="4"/>
    <m/>
    <s v="S/N"/>
    <n v="22"/>
    <n v="8250"/>
    <x v="539"/>
    <n v="22"/>
    <n v="181500"/>
  </r>
  <r>
    <s v="VESTIMENTA"/>
    <x v="483"/>
    <x v="4"/>
    <m/>
    <s v="S/N"/>
    <n v="6"/>
    <n v="12.3"/>
    <x v="540"/>
    <n v="6"/>
    <n v="73.800000000000011"/>
  </r>
  <r>
    <s v="VESTIMENTA"/>
    <x v="484"/>
    <x v="4"/>
    <m/>
    <s v="S/N"/>
    <n v="35"/>
    <n v="146.19999999999999"/>
    <x v="541"/>
    <n v="35"/>
    <n v="5117"/>
  </r>
  <r>
    <s v="VESTIMENTA"/>
    <x v="485"/>
    <x v="4"/>
    <m/>
    <s v="S/N"/>
    <n v="23"/>
    <n v="12820"/>
    <x v="542"/>
    <n v="12"/>
    <n v="153840"/>
  </r>
  <r>
    <s v="VESTIMENTA"/>
    <x v="486"/>
    <x v="4"/>
    <m/>
    <s v="S/N"/>
    <n v="36"/>
    <n v="45595"/>
    <x v="543"/>
    <n v="36"/>
    <n v="1641420"/>
  </r>
  <r>
    <s v="VESTIMENTA"/>
    <x v="487"/>
    <x v="4"/>
    <m/>
    <s v="S/N"/>
    <n v="6"/>
    <n v="29.8"/>
    <x v="544"/>
    <n v="6"/>
    <n v="178.8"/>
  </r>
  <r>
    <s v="TERMOFUSION"/>
    <x v="488"/>
    <x v="4"/>
    <m/>
    <s v="S/N"/>
    <n v="7"/>
    <n v="45.32"/>
    <x v="545"/>
    <n v="7"/>
    <n v="317.24"/>
  </r>
  <r>
    <s v="TERMOFUSION"/>
    <x v="489"/>
    <x v="4"/>
    <m/>
    <s v="S/N"/>
    <n v="13"/>
    <n v="65.739999999999995"/>
    <x v="546"/>
    <n v="13"/>
    <n v="854.61999999999989"/>
  </r>
  <r>
    <s v="TERMOFUSION"/>
    <x v="490"/>
    <x v="4"/>
    <m/>
    <s v="S/N"/>
    <n v="16"/>
    <n v="90.88"/>
    <x v="547"/>
    <n v="16"/>
    <n v="1454.08"/>
  </r>
  <r>
    <s v="TERMOFUSION"/>
    <x v="491"/>
    <x v="4"/>
    <m/>
    <s v="S/N"/>
    <n v="1"/>
    <n v="5.87"/>
    <x v="548"/>
    <n v="1"/>
    <n v="5.87"/>
  </r>
  <r>
    <s v="TERMOFUSION"/>
    <x v="492"/>
    <x v="4"/>
    <m/>
    <s v="S/N"/>
    <n v="40"/>
    <n v="8.23"/>
    <x v="549"/>
    <n v="40"/>
    <n v="329.20000000000005"/>
  </r>
  <r>
    <s v="TERMOFUSION"/>
    <x v="493"/>
    <x v="4"/>
    <m/>
    <s v="S/N"/>
    <n v="37"/>
    <n v="27.99"/>
    <x v="550"/>
    <n v="37"/>
    <n v="1035.6299999999999"/>
  </r>
  <r>
    <s v="TERMOFUSION"/>
    <x v="494"/>
    <x v="4"/>
    <m/>
    <s v="S/N"/>
    <n v="13"/>
    <n v="24"/>
    <x v="551"/>
    <n v="13"/>
    <n v="312"/>
  </r>
  <r>
    <s v="TERMOFUSION"/>
    <x v="495"/>
    <x v="4"/>
    <m/>
    <s v="S/N"/>
    <n v="21"/>
    <n v="6.51"/>
    <x v="552"/>
    <n v="21"/>
    <n v="136.71"/>
  </r>
  <r>
    <s v="TERMOFUSION"/>
    <x v="496"/>
    <x v="4"/>
    <m/>
    <s v="S/N"/>
    <n v="33"/>
    <n v="8.24"/>
    <x v="553"/>
    <n v="33"/>
    <n v="271.92"/>
  </r>
  <r>
    <s v="TERMOFUSION"/>
    <x v="497"/>
    <x v="4"/>
    <m/>
    <s v="S/N"/>
    <n v="42"/>
    <n v="12.33"/>
    <x v="554"/>
    <n v="42"/>
    <n v="517.86"/>
  </r>
  <r>
    <s v="TERMOFUSION"/>
    <x v="498"/>
    <x v="4"/>
    <m/>
    <s v="S/N"/>
    <n v="13"/>
    <n v="5.86"/>
    <x v="555"/>
    <n v="13"/>
    <n v="76.180000000000007"/>
  </r>
  <r>
    <s v="TERMOFUSION"/>
    <x v="499"/>
    <x v="4"/>
    <m/>
    <s v="S/N"/>
    <n v="30"/>
    <n v="7.04"/>
    <x v="556"/>
    <n v="30"/>
    <n v="211.2"/>
  </r>
  <r>
    <s v="TERMOFUSION"/>
    <x v="500"/>
    <x v="4"/>
    <m/>
    <s v="S/N"/>
    <n v="37"/>
    <n v="8.7899999999999991"/>
    <x v="557"/>
    <n v="37"/>
    <n v="325.22999999999996"/>
  </r>
  <r>
    <s v="TERMOFUSION"/>
    <x v="501"/>
    <x v="4"/>
    <m/>
    <s v="S/N"/>
    <n v="37"/>
    <n v="21.26"/>
    <x v="558"/>
    <n v="37"/>
    <n v="786.62"/>
  </r>
  <r>
    <s v="TERMOFUSION"/>
    <x v="502"/>
    <x v="4"/>
    <m/>
    <s v="S/N"/>
    <n v="15"/>
    <n v="17"/>
    <x v="559"/>
    <n v="15"/>
    <n v="255"/>
  </r>
  <r>
    <s v="TERMOFUSION"/>
    <x v="503"/>
    <x v="4"/>
    <m/>
    <s v="S/N"/>
    <n v="17"/>
    <n v="27"/>
    <x v="560"/>
    <n v="17"/>
    <n v="459"/>
  </r>
  <r>
    <s v="TERMOFUSION"/>
    <x v="504"/>
    <x v="4"/>
    <m/>
    <s v="S/N"/>
    <n v="42"/>
    <n v="47.89"/>
    <x v="561"/>
    <n v="42"/>
    <n v="2011.38"/>
  </r>
  <r>
    <s v="TERMOFUSION"/>
    <x v="505"/>
    <x v="4"/>
    <m/>
    <s v="S/N"/>
    <n v="38"/>
    <n v="19.829999999999998"/>
    <x v="562"/>
    <n v="38"/>
    <n v="753.54"/>
  </r>
  <r>
    <s v="TERMOFUSION"/>
    <x v="506"/>
    <x v="4"/>
    <m/>
    <s v="S/N"/>
    <n v="23"/>
    <n v="21.34"/>
    <x v="563"/>
    <n v="23"/>
    <n v="490.82"/>
  </r>
  <r>
    <s v="TERMOFUSION"/>
    <x v="507"/>
    <x v="4"/>
    <m/>
    <s v="S/N"/>
    <n v="45"/>
    <n v="38.89"/>
    <x v="564"/>
    <n v="45"/>
    <n v="1750.05"/>
  </r>
  <r>
    <s v="TERMOFUSION"/>
    <x v="508"/>
    <x v="4"/>
    <m/>
    <s v="S/N"/>
    <n v="8"/>
    <n v="5.5"/>
    <x v="565"/>
    <n v="8"/>
    <n v="44"/>
  </r>
  <r>
    <s v="TERMOFUSION"/>
    <x v="509"/>
    <x v="4"/>
    <m/>
    <s v="S/N"/>
    <n v="15"/>
    <n v="6.59"/>
    <x v="566"/>
    <n v="15"/>
    <n v="98.85"/>
  </r>
  <r>
    <s v="TERMOFUSION"/>
    <x v="510"/>
    <x v="4"/>
    <m/>
    <s v="S/N"/>
    <n v="6"/>
    <n v="4.67"/>
    <x v="567"/>
    <n v="6"/>
    <n v="28.02"/>
  </r>
  <r>
    <s v="TERMOFUSION"/>
    <x v="511"/>
    <x v="4"/>
    <m/>
    <s v="S/N"/>
    <n v="37"/>
    <n v="3"/>
    <x v="568"/>
    <n v="37"/>
    <n v="111"/>
  </r>
  <r>
    <s v="TERMOFUSION"/>
    <x v="512"/>
    <x v="4"/>
    <m/>
    <s v="S/N"/>
    <n v="12"/>
    <n v="4.46"/>
    <x v="569"/>
    <n v="12"/>
    <n v="53.519999999999996"/>
  </r>
  <r>
    <s v="TERMOFUSION"/>
    <x v="512"/>
    <x v="5"/>
    <m/>
    <s v="S/N"/>
    <n v="50"/>
    <n v="5"/>
    <x v="570"/>
    <n v="50"/>
    <n v="250"/>
  </r>
  <r>
    <s v="TERMOFUSION"/>
    <x v="513"/>
    <x v="4"/>
    <m/>
    <s v="S/N"/>
    <n v="24"/>
    <n v="6.32"/>
    <x v="571"/>
    <n v="24"/>
    <n v="151.68"/>
  </r>
  <r>
    <s v="TERMOFUSION"/>
    <x v="513"/>
    <x v="5"/>
    <m/>
    <s v="S/N"/>
    <n v="50"/>
    <n v="7"/>
    <x v="572"/>
    <n v="50"/>
    <n v="350"/>
  </r>
  <r>
    <s v="TERMOFUSION"/>
    <x v="514"/>
    <x v="4"/>
    <m/>
    <s v="S/N"/>
    <n v="23"/>
    <n v="8.23"/>
    <x v="573"/>
    <n v="23"/>
    <n v="189.29000000000002"/>
  </r>
  <r>
    <s v="TERMOFUSION"/>
    <x v="515"/>
    <x v="4"/>
    <m/>
    <s v="S/N"/>
    <n v="44"/>
    <n v="15.23"/>
    <x v="574"/>
    <n v="44"/>
    <n v="670.12"/>
  </r>
  <r>
    <s v="TERMOFUSION"/>
    <x v="516"/>
    <x v="4"/>
    <m/>
    <s v="S/N"/>
    <n v="44"/>
    <n v="13.89"/>
    <x v="575"/>
    <n v="44"/>
    <n v="611.16000000000008"/>
  </r>
  <r>
    <s v="TERMOFUSION"/>
    <x v="517"/>
    <x v="4"/>
    <m/>
    <s v="S/N"/>
    <n v="2"/>
    <n v="28"/>
    <x v="576"/>
    <n v="2"/>
    <n v="56"/>
  </r>
  <r>
    <s v="TERMOFUSION"/>
    <x v="518"/>
    <x v="4"/>
    <m/>
    <s v="S/N"/>
    <n v="11"/>
    <n v="34"/>
    <x v="577"/>
    <n v="11"/>
    <n v="374"/>
  </r>
  <r>
    <s v="TERMOFUSION"/>
    <x v="519"/>
    <x v="4"/>
    <m/>
    <s v="S/N"/>
    <n v="23"/>
    <n v="49"/>
    <x v="578"/>
    <n v="23"/>
    <n v="1127"/>
  </r>
  <r>
    <s v="VARIOS"/>
    <x v="520"/>
    <x v="4"/>
    <m/>
    <s v="S/N"/>
    <n v="2"/>
    <n v="580.63"/>
    <x v="579"/>
    <n v="2"/>
    <n v="1161.26"/>
  </r>
  <r>
    <s v="VARIOS"/>
    <x v="521"/>
    <x v="4"/>
    <m/>
    <s v="S/N"/>
    <n v="8"/>
    <n v="12.6"/>
    <x v="580"/>
    <n v="8"/>
    <n v="100.8"/>
  </r>
  <r>
    <s v="VARIOS"/>
    <x v="522"/>
    <x v="4"/>
    <m/>
    <s v="S/N"/>
    <n v="2"/>
    <n v="174"/>
    <x v="581"/>
    <n v="2"/>
    <n v="348"/>
  </r>
  <r>
    <s v="VARIOS"/>
    <x v="522"/>
    <x v="5"/>
    <m/>
    <s v="S/N"/>
    <n v="2"/>
    <n v="12076"/>
    <x v="75"/>
    <n v="2"/>
    <n v="24152"/>
  </r>
  <r>
    <s v="VARIOS"/>
    <x v="523"/>
    <x v="4"/>
    <m/>
    <s v="S/N"/>
    <n v="1"/>
    <n v="68"/>
    <x v="582"/>
    <n v="1"/>
    <n v="68"/>
  </r>
  <r>
    <s v="VARIOS"/>
    <x v="524"/>
    <x v="4"/>
    <m/>
    <s v="S/N"/>
    <n v="4"/>
    <n v="392"/>
    <x v="583"/>
    <n v="4"/>
    <n v="1568"/>
  </r>
  <r>
    <s v="VARIOS"/>
    <x v="525"/>
    <x v="4"/>
    <m/>
    <s v="S/N"/>
    <n v="3"/>
    <n v="598"/>
    <x v="584"/>
    <n v="2"/>
    <n v="1196"/>
  </r>
  <r>
    <s v="VARIOS"/>
    <x v="526"/>
    <x v="4"/>
    <m/>
    <s v="S/N"/>
    <n v="3"/>
    <n v="144"/>
    <x v="253"/>
    <n v="3"/>
    <n v="432"/>
  </r>
  <r>
    <s v="VARIOS"/>
    <x v="527"/>
    <x v="4"/>
    <m/>
    <s v="S/N"/>
    <n v="1"/>
    <n v="17"/>
    <x v="36"/>
    <n v="1"/>
    <n v="17"/>
  </r>
  <r>
    <s v="VARIOS"/>
    <x v="528"/>
    <x v="4"/>
    <m/>
    <s v="S/N"/>
    <n v="8"/>
    <n v="155"/>
    <x v="585"/>
    <n v="8"/>
    <n v="1240"/>
  </r>
  <r>
    <s v="VARIOS"/>
    <x v="529"/>
    <x v="4"/>
    <m/>
    <s v="S/N"/>
    <n v="1"/>
    <n v="293"/>
    <x v="586"/>
    <n v="1"/>
    <n v="293"/>
  </r>
  <r>
    <s v="VARIOS"/>
    <x v="530"/>
    <x v="4"/>
    <m/>
    <s v="S/N"/>
    <n v="2"/>
    <n v="187"/>
    <x v="577"/>
    <n v="2"/>
    <n v="374"/>
  </r>
  <r>
    <s v="VARIOS"/>
    <x v="531"/>
    <x v="4"/>
    <m/>
    <s v="S/N"/>
    <n v="1"/>
    <n v="499"/>
    <x v="587"/>
    <n v="1"/>
    <n v="499"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m/>
    <x v="588"/>
    <m/>
    <m/>
  </r>
  <r>
    <m/>
    <x v="532"/>
    <x v="27"/>
    <m/>
    <m/>
    <m/>
    <m/>
    <x v="588"/>
    <m/>
    <m/>
  </r>
  <r>
    <m/>
    <x v="532"/>
    <x v="27"/>
    <m/>
    <m/>
    <m/>
    <m/>
    <x v="588"/>
    <m/>
    <m/>
  </r>
  <r>
    <m/>
    <x v="532"/>
    <x v="27"/>
    <m/>
    <m/>
    <m/>
    <m/>
    <x v="588"/>
    <m/>
    <m/>
  </r>
  <r>
    <m/>
    <x v="532"/>
    <x v="27"/>
    <m/>
    <m/>
    <m/>
    <m/>
    <x v="588"/>
    <m/>
    <m/>
  </r>
  <r>
    <m/>
    <x v="532"/>
    <x v="27"/>
    <m/>
    <m/>
    <m/>
    <m/>
    <x v="588"/>
    <m/>
    <m/>
  </r>
  <r>
    <m/>
    <x v="532"/>
    <x v="27"/>
    <m/>
    <m/>
    <m/>
    <m/>
    <x v="588"/>
    <m/>
    <m/>
  </r>
  <r>
    <m/>
    <x v="532"/>
    <x v="27"/>
    <m/>
    <m/>
    <m/>
    <m/>
    <x v="588"/>
    <m/>
    <m/>
  </r>
  <r>
    <m/>
    <x v="532"/>
    <x v="27"/>
    <m/>
    <m/>
    <m/>
    <m/>
    <x v="588"/>
    <m/>
    <m/>
  </r>
  <r>
    <m/>
    <x v="532"/>
    <x v="27"/>
    <m/>
    <m/>
    <m/>
    <m/>
    <x v="588"/>
    <m/>
    <m/>
  </r>
  <r>
    <m/>
    <x v="532"/>
    <x v="27"/>
    <m/>
    <m/>
    <m/>
    <m/>
    <x v="588"/>
    <m/>
    <m/>
  </r>
  <r>
    <m/>
    <x v="532"/>
    <x v="27"/>
    <m/>
    <m/>
    <m/>
    <m/>
    <x v="588"/>
    <m/>
    <m/>
  </r>
  <r>
    <m/>
    <x v="532"/>
    <x v="27"/>
    <m/>
    <m/>
    <m/>
    <m/>
    <x v="588"/>
    <m/>
    <m/>
  </r>
  <r>
    <m/>
    <x v="532"/>
    <x v="27"/>
    <m/>
    <m/>
    <m/>
    <m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  <r>
    <m/>
    <x v="532"/>
    <x v="27"/>
    <m/>
    <m/>
    <m/>
    <n v="0"/>
    <x v="58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nsolidado" cacheId="10" dataOnRows="1" applyNumberFormats="0" applyBorderFormats="0" applyFontFormats="0" applyPatternFormats="0" applyAlignmentFormats="0" applyWidthHeightFormats="0" dataCaption="" updatedVersion="6" showHeaders="0">
  <location ref="A5:B7" firstHeaderRow="1" firstDataRow="1" firstDataCol="1" rowPageCount="2" colPageCount="1"/>
  <pivotFields count="10">
    <pivotField name="RUBRO" outline="0" multipleItemSelectionAllowed="1" showAll="0"/>
    <pivotField name="BIEN" axis="axisRow" outline="0" multipleItemSelectionAllowed="1" showAll="0" sortType="ascending">
      <items count="534">
        <item x="326"/>
        <item x="325"/>
        <item x="328"/>
        <item x="327"/>
        <item x="445"/>
        <item x="446"/>
        <item x="190"/>
        <item x="191"/>
        <item x="22"/>
        <item x="332"/>
        <item x="23"/>
        <item x="329"/>
        <item x="333"/>
        <item x="330"/>
        <item x="331"/>
        <item x="336"/>
        <item x="520"/>
        <item x="24"/>
        <item x="25"/>
        <item x="334"/>
        <item x="335"/>
        <item x="26"/>
        <item x="337"/>
        <item x="192"/>
        <item x="521"/>
        <item x="194"/>
        <item x="193"/>
        <item x="195"/>
        <item x="338"/>
        <item x="339"/>
        <item x="340"/>
        <item x="341"/>
        <item x="342"/>
        <item x="343"/>
        <item x="454"/>
        <item x="30"/>
        <item x="29"/>
        <item x="31"/>
        <item x="27"/>
        <item x="28"/>
        <item x="353"/>
        <item x="352"/>
        <item x="351"/>
        <item x="348"/>
        <item x="350"/>
        <item x="349"/>
        <item x="344"/>
        <item x="346"/>
        <item x="347"/>
        <item x="345"/>
        <item x="34"/>
        <item x="32"/>
        <item x="33"/>
        <item x="36"/>
        <item x="35"/>
        <item x="455"/>
        <item x="207"/>
        <item x="208"/>
        <item x="201"/>
        <item x="202"/>
        <item x="213"/>
        <item x="212"/>
        <item x="200"/>
        <item x="197"/>
        <item x="198"/>
        <item x="199"/>
        <item x="196"/>
        <item x="20"/>
        <item x="21"/>
        <item x="17"/>
        <item x="16"/>
        <item x="18"/>
        <item x="19"/>
        <item x="203"/>
        <item x="354"/>
        <item x="458"/>
        <item x="457"/>
        <item x="456"/>
        <item x="460"/>
        <item x="462"/>
        <item x="467"/>
        <item x="468"/>
        <item x="459"/>
        <item x="461"/>
        <item x="463"/>
        <item x="464"/>
        <item x="465"/>
        <item x="466"/>
        <item x="204"/>
        <item x="469"/>
        <item x="470"/>
        <item x="49"/>
        <item x="43"/>
        <item x="38"/>
        <item x="37"/>
        <item x="39"/>
        <item x="488"/>
        <item x="489"/>
        <item x="490"/>
        <item x="42"/>
        <item x="40"/>
        <item x="41"/>
        <item x="44"/>
        <item x="46"/>
        <item x="45"/>
        <item x="205"/>
        <item x="206"/>
        <item x="471"/>
        <item x="47"/>
        <item x="361"/>
        <item x="364"/>
        <item x="365"/>
        <item x="356"/>
        <item x="357"/>
        <item x="366"/>
        <item x="363"/>
        <item x="362"/>
        <item x="358"/>
        <item x="360"/>
        <item x="359"/>
        <item x="48"/>
        <item x="472"/>
        <item x="291"/>
        <item x="473"/>
        <item x="524"/>
        <item x="474"/>
        <item x="475"/>
        <item x="209"/>
        <item x="211"/>
        <item x="210"/>
        <item x="369"/>
        <item x="10"/>
        <item x="69"/>
        <item x="523"/>
        <item x="522"/>
        <item x="292"/>
        <item x="367"/>
        <item x="368"/>
        <item x="68"/>
        <item x="370"/>
        <item x="495"/>
        <item x="496"/>
        <item x="497"/>
        <item x="491"/>
        <item x="493"/>
        <item x="494"/>
        <item x="492"/>
        <item x="52"/>
        <item x="50"/>
        <item x="51"/>
        <item x="447"/>
        <item x="61"/>
        <item x="59"/>
        <item x="58"/>
        <item x="62"/>
        <item x="60"/>
        <item x="54"/>
        <item x="56"/>
        <item x="55"/>
        <item x="57"/>
        <item x="53"/>
        <item x="63"/>
        <item x="64"/>
        <item x="65"/>
        <item x="214"/>
        <item x="70"/>
        <item x="67"/>
        <item x="66"/>
        <item x="215"/>
        <item x="216"/>
        <item x="217"/>
        <item x="218"/>
        <item x="476"/>
        <item x="355"/>
        <item x="371"/>
        <item x="372"/>
        <item x="373"/>
        <item x="375"/>
        <item x="374"/>
        <item x="498"/>
        <item x="499"/>
        <item x="500"/>
        <item x="71"/>
        <item x="72"/>
        <item x="83"/>
        <item x="81"/>
        <item x="84"/>
        <item x="82"/>
        <item x="73"/>
        <item x="75"/>
        <item x="79"/>
        <item x="74"/>
        <item x="76"/>
        <item x="80"/>
        <item x="88"/>
        <item x="89"/>
        <item x="86"/>
        <item x="87"/>
        <item x="85"/>
        <item x="78"/>
        <item x="77"/>
        <item x="91"/>
        <item x="90"/>
        <item x="92"/>
        <item x="376"/>
        <item x="477"/>
        <item x="94"/>
        <item x="453"/>
        <item x="93"/>
        <item x="525"/>
        <item x="219"/>
        <item x="293"/>
        <item x="526"/>
        <item x="220"/>
        <item x="95"/>
        <item x="96"/>
        <item x="294"/>
        <item x="296"/>
        <item x="298"/>
        <item x="299"/>
        <item x="297"/>
        <item x="221"/>
        <item x="0"/>
        <item x="1"/>
        <item x="295"/>
        <item x="97"/>
        <item x="300"/>
        <item x="222"/>
        <item x="223"/>
        <item x="301"/>
        <item x="302"/>
        <item x="303"/>
        <item x="377"/>
        <item x="378"/>
        <item x="224"/>
        <item x="527"/>
        <item x="225"/>
        <item x="226"/>
        <item x="227"/>
        <item x="228"/>
        <item x="13"/>
        <item x="12"/>
        <item x="379"/>
        <item x="380"/>
        <item x="98"/>
        <item x="99"/>
        <item x="100"/>
        <item x="231"/>
        <item x="229"/>
        <item x="230"/>
        <item x="102"/>
        <item x="101"/>
        <item x="381"/>
        <item x="528"/>
        <item x="232"/>
        <item x="103"/>
        <item x="306"/>
        <item x="234"/>
        <item x="233"/>
        <item x="235"/>
        <item x="384"/>
        <item x="383"/>
        <item x="382"/>
        <item x="304"/>
        <item x="305"/>
        <item x="385"/>
        <item x="307"/>
        <item x="104"/>
        <item x="105"/>
        <item x="106"/>
        <item x="241"/>
        <item x="237"/>
        <item x="238"/>
        <item x="239"/>
        <item x="240"/>
        <item x="236"/>
        <item x="386"/>
        <item x="14"/>
        <item x="387"/>
        <item x="390"/>
        <item x="391"/>
        <item x="392"/>
        <item x="393"/>
        <item x="398"/>
        <item x="399"/>
        <item x="402"/>
        <item x="395"/>
        <item x="396"/>
        <item x="397"/>
        <item x="388"/>
        <item x="389"/>
        <item x="400"/>
        <item x="394"/>
        <item x="401"/>
        <item x="107"/>
        <item x="308"/>
        <item x="11"/>
        <item x="108"/>
        <item x="244"/>
        <item x="242"/>
        <item x="247"/>
        <item x="245"/>
        <item x="246"/>
        <item x="243"/>
        <item x="110"/>
        <item x="111"/>
        <item x="112"/>
        <item x="109"/>
        <item x="114"/>
        <item x="115"/>
        <item x="113"/>
        <item x="117"/>
        <item x="118"/>
        <item x="119"/>
        <item x="116"/>
        <item x="252"/>
        <item x="248"/>
        <item x="478"/>
        <item x="482"/>
        <item x="479"/>
        <item x="481"/>
        <item x="480"/>
        <item x="120"/>
        <item x="406"/>
        <item x="407"/>
        <item x="315"/>
        <item x="316"/>
        <item x="314"/>
        <item x="405"/>
        <item x="403"/>
        <item x="404"/>
        <item x="408"/>
        <item x="254"/>
        <item x="249"/>
        <item x="317"/>
        <item x="318"/>
        <item x="319"/>
        <item x="310"/>
        <item x="311"/>
        <item x="309"/>
        <item x="312"/>
        <item x="313"/>
        <item x="251"/>
        <item x="529"/>
        <item x="123"/>
        <item x="253"/>
        <item x="250"/>
        <item x="483"/>
        <item x="409"/>
        <item x="410"/>
        <item x="411"/>
        <item x="412"/>
        <item x="413"/>
        <item x="255"/>
        <item x="256"/>
        <item x="121"/>
        <item x="484"/>
        <item x="257"/>
        <item x="264"/>
        <item x="265"/>
        <item x="258"/>
        <item x="259"/>
        <item x="261"/>
        <item x="260"/>
        <item x="262"/>
        <item x="263"/>
        <item x="502"/>
        <item x="503"/>
        <item x="505"/>
        <item x="501"/>
        <item x="506"/>
        <item x="507"/>
        <item x="504"/>
        <item x="414"/>
        <item x="416"/>
        <item x="415"/>
        <item x="124"/>
        <item x="125"/>
        <item x="321"/>
        <item x="130"/>
        <item x="417"/>
        <item x="129"/>
        <item x="418"/>
        <item x="422"/>
        <item x="420"/>
        <item x="421"/>
        <item x="419"/>
        <item x="122"/>
        <item x="322"/>
        <item x="4"/>
        <item x="5"/>
        <item x="3"/>
        <item x="2"/>
        <item x="8"/>
        <item x="9"/>
        <item x="7"/>
        <item x="6"/>
        <item x="320"/>
        <item x="126"/>
        <item x="128"/>
        <item x="127"/>
        <item x="530"/>
        <item x="423"/>
        <item x="424"/>
        <item x="486"/>
        <item x="487"/>
        <item x="137"/>
        <item x="136"/>
        <item x="425"/>
        <item x="426"/>
        <item x="427"/>
        <item x="531"/>
        <item x="132"/>
        <item x="131"/>
        <item x="133"/>
        <item x="428"/>
        <item x="431"/>
        <item x="430"/>
        <item x="429"/>
        <item x="432"/>
        <item x="434"/>
        <item x="433"/>
        <item x="439"/>
        <item x="435"/>
        <item x="436"/>
        <item x="437"/>
        <item x="438"/>
        <item x="135"/>
        <item x="134"/>
        <item x="267"/>
        <item x="266"/>
        <item x="485"/>
        <item x="15"/>
        <item x="440"/>
        <item x="141"/>
        <item x="508"/>
        <item x="509"/>
        <item x="144"/>
        <item x="142"/>
        <item x="143"/>
        <item x="271"/>
        <item x="272"/>
        <item x="268"/>
        <item x="269"/>
        <item x="270"/>
        <item x="140"/>
        <item x="287"/>
        <item x="139"/>
        <item x="510"/>
        <item x="146"/>
        <item x="145"/>
        <item x="147"/>
        <item x="151"/>
        <item x="274"/>
        <item x="275"/>
        <item x="273"/>
        <item x="277"/>
        <item x="276"/>
        <item x="150"/>
        <item x="148"/>
        <item x="149"/>
        <item x="152"/>
        <item x="153"/>
        <item x="163"/>
        <item x="162"/>
        <item x="161"/>
        <item x="158"/>
        <item x="159"/>
        <item x="160"/>
        <item x="154"/>
        <item x="155"/>
        <item x="156"/>
        <item x="157"/>
        <item x="164"/>
        <item x="165"/>
        <item x="442"/>
        <item x="441"/>
        <item x="444"/>
        <item x="443"/>
        <item x="450"/>
        <item x="452"/>
        <item x="449"/>
        <item x="451"/>
        <item x="448"/>
        <item x="169"/>
        <item x="280"/>
        <item x="138"/>
        <item x="278"/>
        <item x="279"/>
        <item x="166"/>
        <item x="167"/>
        <item x="168"/>
        <item x="281"/>
        <item x="170"/>
        <item x="171"/>
        <item x="172"/>
        <item x="286"/>
        <item x="285"/>
        <item x="282"/>
        <item x="283"/>
        <item x="284"/>
        <item x="173"/>
        <item x="517"/>
        <item x="518"/>
        <item x="519"/>
        <item x="176"/>
        <item x="177"/>
        <item x="174"/>
        <item x="175"/>
        <item x="514"/>
        <item x="515"/>
        <item x="516"/>
        <item x="511"/>
        <item x="512"/>
        <item x="513"/>
        <item x="186"/>
        <item x="188"/>
        <item x="178"/>
        <item x="184"/>
        <item x="182"/>
        <item x="183"/>
        <item x="180"/>
        <item x="179"/>
        <item x="181"/>
        <item x="185"/>
        <item x="189"/>
        <item x="187"/>
        <item x="323"/>
        <item x="324"/>
        <item x="290"/>
        <item x="288"/>
        <item x="289"/>
        <item x="532"/>
        <item t="default"/>
      </items>
    </pivotField>
    <pivotField name="ORDEN DE COMPRA" axis="axisPage" outline="0" multipleItemSelectionAllowed="1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h="1" x="27"/>
        <item t="default"/>
      </items>
    </pivotField>
    <pivotField name="CATALOGO" outline="0" multipleItemSelectionAllowed="1" showAll="0"/>
    <pivotField name="RENGLÓN" outline="0" multipleItemSelectionAllowed="1" showAll="0"/>
    <pivotField name="CANTIDAD COMPRADA" outline="0" multipleItemSelectionAllowed="1" showAll="0"/>
    <pivotField name="PRECIO UNITARIO" numFmtId="164" outline="0" multipleItemSelectionAllowed="1" showAll="0"/>
    <pivotField name="PRECIO TOTAL" axis="axisPage" dataField="1" numFmtId="164" outline="0" multipleItemSelectionAllowed="1" showAll="0">
      <items count="590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t="default"/>
      </items>
    </pivotField>
    <pivotField name="BIENES EN STOCK" outline="0" multipleItemSelectionAllowed="1" showAll="0"/>
    <pivotField showAll="0" includeNewItemsInFilter="1" defaultSubtotal="0"/>
  </pivotFields>
  <rowFields count="1">
    <field x="1"/>
  </rowFields>
  <rowItems count="2">
    <i>
      <x v="222"/>
    </i>
    <i t="grand">
      <x/>
    </i>
  </rowItems>
  <colItems count="1">
    <i/>
  </colItems>
  <pageFields count="2">
    <pageField fld="2" hier="0"/>
    <pageField fld="7" hier="0"/>
  </pageFields>
  <dataFields count="1">
    <dataField name="SUM of PRECIO TOTAL" fld="7" baseField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Consolidado 2" cacheId="10" dataOnRows="1" applyNumberFormats="0" applyBorderFormats="0" applyFontFormats="0" applyPatternFormats="0" applyAlignmentFormats="0" applyWidthHeightFormats="0" dataCaption="" updatedVersion="6" showHeaders="0">
  <location ref="E5:G1070" firstHeaderRow="0" firstDataRow="0" firstDataCol="2" rowPageCount="1" colPageCount="1"/>
  <pivotFields count="10">
    <pivotField name="RUBRO" outline="0" multipleItemSelectionAllowed="1" showAll="0"/>
    <pivotField name="BIEN" axis="axisRow" outline="0" multipleItemSelectionAllowed="1" showAll="0" sortType="ascending">
      <items count="534">
        <item x="326"/>
        <item x="325"/>
        <item x="328"/>
        <item x="327"/>
        <item x="445"/>
        <item x="446"/>
        <item x="190"/>
        <item x="191"/>
        <item x="22"/>
        <item x="332"/>
        <item x="23"/>
        <item x="329"/>
        <item x="333"/>
        <item x="330"/>
        <item x="331"/>
        <item x="336"/>
        <item x="520"/>
        <item x="24"/>
        <item x="25"/>
        <item x="334"/>
        <item x="335"/>
        <item x="26"/>
        <item x="337"/>
        <item x="192"/>
        <item x="521"/>
        <item x="194"/>
        <item x="193"/>
        <item x="195"/>
        <item x="338"/>
        <item x="339"/>
        <item x="340"/>
        <item x="341"/>
        <item x="342"/>
        <item x="343"/>
        <item x="454"/>
        <item x="30"/>
        <item x="29"/>
        <item x="31"/>
        <item x="27"/>
        <item x="28"/>
        <item x="353"/>
        <item x="352"/>
        <item x="351"/>
        <item x="348"/>
        <item x="350"/>
        <item x="349"/>
        <item x="344"/>
        <item x="346"/>
        <item x="347"/>
        <item x="345"/>
        <item x="34"/>
        <item x="32"/>
        <item x="33"/>
        <item x="36"/>
        <item x="35"/>
        <item x="455"/>
        <item x="207"/>
        <item x="208"/>
        <item x="201"/>
        <item x="202"/>
        <item x="213"/>
        <item x="212"/>
        <item x="200"/>
        <item x="197"/>
        <item x="198"/>
        <item x="199"/>
        <item x="196"/>
        <item x="20"/>
        <item x="21"/>
        <item x="17"/>
        <item x="16"/>
        <item x="18"/>
        <item x="19"/>
        <item x="203"/>
        <item x="354"/>
        <item x="458"/>
        <item x="457"/>
        <item x="456"/>
        <item x="460"/>
        <item x="462"/>
        <item x="467"/>
        <item x="468"/>
        <item x="459"/>
        <item x="461"/>
        <item x="463"/>
        <item x="464"/>
        <item x="465"/>
        <item x="466"/>
        <item x="204"/>
        <item x="469"/>
        <item x="470"/>
        <item x="49"/>
        <item x="43"/>
        <item x="38"/>
        <item x="37"/>
        <item x="39"/>
        <item x="488"/>
        <item x="489"/>
        <item x="490"/>
        <item x="42"/>
        <item x="40"/>
        <item x="41"/>
        <item x="44"/>
        <item x="46"/>
        <item x="45"/>
        <item x="205"/>
        <item x="206"/>
        <item x="471"/>
        <item x="47"/>
        <item x="361"/>
        <item x="364"/>
        <item x="365"/>
        <item x="356"/>
        <item x="357"/>
        <item x="366"/>
        <item x="363"/>
        <item x="362"/>
        <item x="358"/>
        <item x="360"/>
        <item x="359"/>
        <item x="48"/>
        <item x="472"/>
        <item x="291"/>
        <item x="473"/>
        <item x="524"/>
        <item x="474"/>
        <item x="475"/>
        <item x="209"/>
        <item x="211"/>
        <item x="210"/>
        <item x="369"/>
        <item x="10"/>
        <item x="69"/>
        <item x="523"/>
        <item x="522"/>
        <item x="292"/>
        <item x="367"/>
        <item x="368"/>
        <item x="68"/>
        <item x="370"/>
        <item x="495"/>
        <item x="496"/>
        <item x="497"/>
        <item x="491"/>
        <item x="493"/>
        <item x="494"/>
        <item x="492"/>
        <item x="52"/>
        <item x="50"/>
        <item x="51"/>
        <item x="447"/>
        <item x="61"/>
        <item x="59"/>
        <item x="58"/>
        <item x="62"/>
        <item x="60"/>
        <item x="54"/>
        <item x="56"/>
        <item x="55"/>
        <item x="57"/>
        <item x="53"/>
        <item x="63"/>
        <item x="64"/>
        <item x="65"/>
        <item x="214"/>
        <item x="70"/>
        <item x="67"/>
        <item x="66"/>
        <item x="215"/>
        <item x="216"/>
        <item x="217"/>
        <item x="218"/>
        <item x="476"/>
        <item x="355"/>
        <item x="371"/>
        <item x="372"/>
        <item x="373"/>
        <item x="375"/>
        <item x="374"/>
        <item x="498"/>
        <item x="499"/>
        <item x="500"/>
        <item x="71"/>
        <item x="72"/>
        <item x="83"/>
        <item x="81"/>
        <item x="84"/>
        <item x="82"/>
        <item x="73"/>
        <item x="75"/>
        <item x="79"/>
        <item x="74"/>
        <item x="76"/>
        <item x="80"/>
        <item x="88"/>
        <item x="89"/>
        <item x="86"/>
        <item x="87"/>
        <item x="85"/>
        <item x="78"/>
        <item x="77"/>
        <item x="91"/>
        <item x="90"/>
        <item x="92"/>
        <item x="376"/>
        <item x="477"/>
        <item x="94"/>
        <item x="453"/>
        <item x="93"/>
        <item x="525"/>
        <item x="219"/>
        <item x="293"/>
        <item x="526"/>
        <item x="220"/>
        <item x="95"/>
        <item x="96"/>
        <item x="294"/>
        <item x="296"/>
        <item x="298"/>
        <item x="299"/>
        <item x="297"/>
        <item x="221"/>
        <item x="0"/>
        <item x="1"/>
        <item x="295"/>
        <item x="97"/>
        <item x="300"/>
        <item x="222"/>
        <item x="223"/>
        <item x="301"/>
        <item x="302"/>
        <item x="303"/>
        <item x="377"/>
        <item x="378"/>
        <item x="224"/>
        <item x="527"/>
        <item x="225"/>
        <item x="226"/>
        <item x="227"/>
        <item x="228"/>
        <item x="13"/>
        <item x="12"/>
        <item x="379"/>
        <item x="380"/>
        <item x="98"/>
        <item x="99"/>
        <item x="100"/>
        <item x="231"/>
        <item x="229"/>
        <item x="230"/>
        <item x="102"/>
        <item x="101"/>
        <item x="381"/>
        <item x="528"/>
        <item x="232"/>
        <item x="103"/>
        <item x="306"/>
        <item x="234"/>
        <item x="233"/>
        <item x="235"/>
        <item x="384"/>
        <item x="383"/>
        <item x="382"/>
        <item x="304"/>
        <item x="305"/>
        <item x="385"/>
        <item x="307"/>
        <item x="104"/>
        <item x="105"/>
        <item x="106"/>
        <item x="241"/>
        <item x="237"/>
        <item x="238"/>
        <item x="239"/>
        <item x="240"/>
        <item x="236"/>
        <item x="386"/>
        <item x="14"/>
        <item x="387"/>
        <item x="390"/>
        <item x="391"/>
        <item x="392"/>
        <item x="393"/>
        <item x="398"/>
        <item x="399"/>
        <item x="402"/>
        <item x="395"/>
        <item x="396"/>
        <item x="397"/>
        <item x="388"/>
        <item x="389"/>
        <item x="400"/>
        <item x="394"/>
        <item x="401"/>
        <item x="107"/>
        <item x="308"/>
        <item x="11"/>
        <item x="108"/>
        <item x="244"/>
        <item x="242"/>
        <item x="247"/>
        <item x="245"/>
        <item x="246"/>
        <item x="243"/>
        <item x="110"/>
        <item x="111"/>
        <item x="112"/>
        <item x="109"/>
        <item x="114"/>
        <item x="115"/>
        <item x="113"/>
        <item x="117"/>
        <item x="118"/>
        <item x="119"/>
        <item x="116"/>
        <item x="252"/>
        <item x="248"/>
        <item x="478"/>
        <item x="482"/>
        <item x="479"/>
        <item x="481"/>
        <item x="480"/>
        <item x="120"/>
        <item x="406"/>
        <item x="407"/>
        <item x="315"/>
        <item x="316"/>
        <item x="314"/>
        <item x="405"/>
        <item x="403"/>
        <item x="404"/>
        <item x="408"/>
        <item x="254"/>
        <item x="249"/>
        <item x="317"/>
        <item x="318"/>
        <item x="319"/>
        <item x="310"/>
        <item x="311"/>
        <item x="309"/>
        <item x="312"/>
        <item x="313"/>
        <item x="251"/>
        <item x="529"/>
        <item x="123"/>
        <item x="253"/>
        <item x="250"/>
        <item x="483"/>
        <item x="409"/>
        <item x="410"/>
        <item x="411"/>
        <item x="412"/>
        <item x="413"/>
        <item x="255"/>
        <item x="256"/>
        <item x="121"/>
        <item x="484"/>
        <item x="257"/>
        <item x="264"/>
        <item x="265"/>
        <item x="258"/>
        <item x="259"/>
        <item x="261"/>
        <item x="260"/>
        <item x="262"/>
        <item x="263"/>
        <item x="502"/>
        <item x="503"/>
        <item x="505"/>
        <item x="501"/>
        <item x="506"/>
        <item x="507"/>
        <item x="504"/>
        <item x="414"/>
        <item x="416"/>
        <item x="415"/>
        <item x="124"/>
        <item x="125"/>
        <item x="321"/>
        <item x="130"/>
        <item x="417"/>
        <item x="129"/>
        <item x="418"/>
        <item x="422"/>
        <item x="420"/>
        <item x="421"/>
        <item x="419"/>
        <item x="122"/>
        <item x="322"/>
        <item x="4"/>
        <item x="5"/>
        <item x="3"/>
        <item x="2"/>
        <item x="8"/>
        <item x="9"/>
        <item x="7"/>
        <item x="6"/>
        <item x="320"/>
        <item x="126"/>
        <item x="128"/>
        <item x="127"/>
        <item x="530"/>
        <item x="423"/>
        <item x="424"/>
        <item x="486"/>
        <item x="487"/>
        <item x="137"/>
        <item x="136"/>
        <item x="425"/>
        <item x="426"/>
        <item x="427"/>
        <item x="531"/>
        <item x="132"/>
        <item x="131"/>
        <item x="133"/>
        <item x="428"/>
        <item x="431"/>
        <item x="430"/>
        <item x="429"/>
        <item x="432"/>
        <item x="434"/>
        <item x="433"/>
        <item x="439"/>
        <item x="435"/>
        <item x="436"/>
        <item x="437"/>
        <item x="438"/>
        <item x="135"/>
        <item x="134"/>
        <item x="267"/>
        <item x="266"/>
        <item x="485"/>
        <item x="15"/>
        <item x="440"/>
        <item x="141"/>
        <item x="508"/>
        <item x="509"/>
        <item x="144"/>
        <item x="142"/>
        <item x="143"/>
        <item x="271"/>
        <item x="272"/>
        <item x="268"/>
        <item x="269"/>
        <item x="270"/>
        <item x="140"/>
        <item x="287"/>
        <item x="139"/>
        <item x="510"/>
        <item x="146"/>
        <item x="145"/>
        <item x="147"/>
        <item x="151"/>
        <item x="274"/>
        <item x="275"/>
        <item x="273"/>
        <item x="277"/>
        <item x="276"/>
        <item x="150"/>
        <item x="148"/>
        <item x="149"/>
        <item x="152"/>
        <item x="153"/>
        <item x="163"/>
        <item x="162"/>
        <item x="161"/>
        <item x="158"/>
        <item x="159"/>
        <item x="160"/>
        <item x="154"/>
        <item x="155"/>
        <item x="156"/>
        <item x="157"/>
        <item x="164"/>
        <item x="165"/>
        <item x="442"/>
        <item x="441"/>
        <item x="444"/>
        <item x="443"/>
        <item x="450"/>
        <item x="452"/>
        <item x="449"/>
        <item x="451"/>
        <item x="448"/>
        <item x="169"/>
        <item x="280"/>
        <item x="138"/>
        <item x="278"/>
        <item x="279"/>
        <item x="166"/>
        <item x="167"/>
        <item x="168"/>
        <item x="281"/>
        <item x="170"/>
        <item x="171"/>
        <item x="172"/>
        <item x="286"/>
        <item x="285"/>
        <item x="282"/>
        <item x="283"/>
        <item x="284"/>
        <item x="173"/>
        <item x="517"/>
        <item x="518"/>
        <item x="519"/>
        <item x="176"/>
        <item x="177"/>
        <item x="174"/>
        <item x="175"/>
        <item x="514"/>
        <item x="515"/>
        <item x="516"/>
        <item x="511"/>
        <item x="512"/>
        <item x="513"/>
        <item x="186"/>
        <item x="188"/>
        <item x="178"/>
        <item x="184"/>
        <item x="182"/>
        <item x="183"/>
        <item x="180"/>
        <item x="179"/>
        <item x="181"/>
        <item x="185"/>
        <item x="189"/>
        <item x="187"/>
        <item x="323"/>
        <item x="324"/>
        <item x="290"/>
        <item x="288"/>
        <item x="289"/>
        <item x="532"/>
        <item t="default"/>
      </items>
    </pivotField>
    <pivotField name="ORDEN DE COMPRA" axis="axisPage" outline="0" multipleItemSelectionAllowed="1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h="1" x="27"/>
        <item t="default"/>
      </items>
    </pivotField>
    <pivotField name="CATALOGO" outline="0" multipleItemSelectionAllowed="1" showAll="0"/>
    <pivotField name="RENGLÓN" outline="0" multipleItemSelectionAllowed="1" showAll="0"/>
    <pivotField name="CANTIDAD COMPRADA" dataField="1" outline="0" multipleItemSelectionAllowed="1" showAll="0"/>
    <pivotField name="PRECIO UNITARIO" numFmtId="164" outline="0" multipleItemSelectionAllowed="1" showAll="0"/>
    <pivotField name="PRECIO TOTAL" numFmtId="164" outline="0" multipleItemSelectionAllowed="1" showAll="0"/>
    <pivotField name="BIENES EN STOCK" dataField="1" outline="0" multipleItemSelectionAllowed="1" showAll="0"/>
    <pivotField showAll="0" includeNewItemsInFilter="1" defaultSubtotal="0"/>
  </pivotFields>
  <rowFields count="2">
    <field x="1"/>
    <field x="-2"/>
  </rowFields>
  <rowItems count="106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>
      <x v="22"/>
      <x/>
    </i>
    <i r="1" i="1">
      <x v="1"/>
    </i>
    <i>
      <x v="23"/>
      <x/>
    </i>
    <i r="1" i="1">
      <x v="1"/>
    </i>
    <i>
      <x v="24"/>
      <x/>
    </i>
    <i r="1" i="1">
      <x v="1"/>
    </i>
    <i>
      <x v="25"/>
      <x/>
    </i>
    <i r="1" i="1">
      <x v="1"/>
    </i>
    <i>
      <x v="26"/>
      <x/>
    </i>
    <i r="1" i="1">
      <x v="1"/>
    </i>
    <i>
      <x v="27"/>
      <x/>
    </i>
    <i r="1" i="1">
      <x v="1"/>
    </i>
    <i>
      <x v="28"/>
      <x/>
    </i>
    <i r="1" i="1">
      <x v="1"/>
    </i>
    <i>
      <x v="29"/>
      <x/>
    </i>
    <i r="1" i="1">
      <x v="1"/>
    </i>
    <i>
      <x v="30"/>
      <x/>
    </i>
    <i r="1" i="1">
      <x v="1"/>
    </i>
    <i>
      <x v="31"/>
      <x/>
    </i>
    <i r="1" i="1">
      <x v="1"/>
    </i>
    <i>
      <x v="32"/>
      <x/>
    </i>
    <i r="1" i="1">
      <x v="1"/>
    </i>
    <i>
      <x v="33"/>
      <x/>
    </i>
    <i r="1" i="1">
      <x v="1"/>
    </i>
    <i>
      <x v="34"/>
      <x/>
    </i>
    <i r="1" i="1">
      <x v="1"/>
    </i>
    <i>
      <x v="35"/>
      <x/>
    </i>
    <i r="1" i="1">
      <x v="1"/>
    </i>
    <i>
      <x v="36"/>
      <x/>
    </i>
    <i r="1" i="1">
      <x v="1"/>
    </i>
    <i>
      <x v="37"/>
      <x/>
    </i>
    <i r="1" i="1">
      <x v="1"/>
    </i>
    <i>
      <x v="38"/>
      <x/>
    </i>
    <i r="1" i="1">
      <x v="1"/>
    </i>
    <i>
      <x v="39"/>
      <x/>
    </i>
    <i r="1" i="1">
      <x v="1"/>
    </i>
    <i>
      <x v="40"/>
      <x/>
    </i>
    <i r="1" i="1">
      <x v="1"/>
    </i>
    <i>
      <x v="41"/>
      <x/>
    </i>
    <i r="1" i="1">
      <x v="1"/>
    </i>
    <i>
      <x v="42"/>
      <x/>
    </i>
    <i r="1" i="1">
      <x v="1"/>
    </i>
    <i>
      <x v="43"/>
      <x/>
    </i>
    <i r="1" i="1">
      <x v="1"/>
    </i>
    <i>
      <x v="44"/>
      <x/>
    </i>
    <i r="1" i="1">
      <x v="1"/>
    </i>
    <i>
      <x v="45"/>
      <x/>
    </i>
    <i r="1" i="1">
      <x v="1"/>
    </i>
    <i>
      <x v="46"/>
      <x/>
    </i>
    <i r="1" i="1">
      <x v="1"/>
    </i>
    <i>
      <x v="47"/>
      <x/>
    </i>
    <i r="1" i="1">
      <x v="1"/>
    </i>
    <i>
      <x v="48"/>
      <x/>
    </i>
    <i r="1" i="1">
      <x v="1"/>
    </i>
    <i>
      <x v="49"/>
      <x/>
    </i>
    <i r="1" i="1">
      <x v="1"/>
    </i>
    <i>
      <x v="50"/>
      <x/>
    </i>
    <i r="1" i="1">
      <x v="1"/>
    </i>
    <i>
      <x v="51"/>
      <x/>
    </i>
    <i r="1" i="1">
      <x v="1"/>
    </i>
    <i>
      <x v="52"/>
      <x/>
    </i>
    <i r="1" i="1">
      <x v="1"/>
    </i>
    <i>
      <x v="53"/>
      <x/>
    </i>
    <i r="1" i="1">
      <x v="1"/>
    </i>
    <i>
      <x v="54"/>
      <x/>
    </i>
    <i r="1" i="1">
      <x v="1"/>
    </i>
    <i>
      <x v="55"/>
      <x/>
    </i>
    <i r="1" i="1">
      <x v="1"/>
    </i>
    <i>
      <x v="56"/>
      <x/>
    </i>
    <i r="1" i="1">
      <x v="1"/>
    </i>
    <i>
      <x v="57"/>
      <x/>
    </i>
    <i r="1" i="1">
      <x v="1"/>
    </i>
    <i>
      <x v="58"/>
      <x/>
    </i>
    <i r="1" i="1">
      <x v="1"/>
    </i>
    <i>
      <x v="59"/>
      <x/>
    </i>
    <i r="1" i="1">
      <x v="1"/>
    </i>
    <i>
      <x v="60"/>
      <x/>
    </i>
    <i r="1" i="1">
      <x v="1"/>
    </i>
    <i>
      <x v="61"/>
      <x/>
    </i>
    <i r="1" i="1">
      <x v="1"/>
    </i>
    <i>
      <x v="62"/>
      <x/>
    </i>
    <i r="1" i="1">
      <x v="1"/>
    </i>
    <i>
      <x v="63"/>
      <x/>
    </i>
    <i r="1" i="1">
      <x v="1"/>
    </i>
    <i>
      <x v="64"/>
      <x/>
    </i>
    <i r="1" i="1">
      <x v="1"/>
    </i>
    <i>
      <x v="65"/>
      <x/>
    </i>
    <i r="1" i="1">
      <x v="1"/>
    </i>
    <i>
      <x v="66"/>
      <x/>
    </i>
    <i r="1" i="1">
      <x v="1"/>
    </i>
    <i>
      <x v="67"/>
      <x/>
    </i>
    <i r="1" i="1">
      <x v="1"/>
    </i>
    <i>
      <x v="68"/>
      <x/>
    </i>
    <i r="1" i="1">
      <x v="1"/>
    </i>
    <i>
      <x v="69"/>
      <x/>
    </i>
    <i r="1" i="1">
      <x v="1"/>
    </i>
    <i>
      <x v="70"/>
      <x/>
    </i>
    <i r="1" i="1">
      <x v="1"/>
    </i>
    <i>
      <x v="71"/>
      <x/>
    </i>
    <i r="1" i="1">
      <x v="1"/>
    </i>
    <i>
      <x v="72"/>
      <x/>
    </i>
    <i r="1" i="1">
      <x v="1"/>
    </i>
    <i>
      <x v="73"/>
      <x/>
    </i>
    <i r="1" i="1">
      <x v="1"/>
    </i>
    <i>
      <x v="74"/>
      <x/>
    </i>
    <i r="1" i="1">
      <x v="1"/>
    </i>
    <i>
      <x v="75"/>
      <x/>
    </i>
    <i r="1" i="1">
      <x v="1"/>
    </i>
    <i>
      <x v="76"/>
      <x/>
    </i>
    <i r="1" i="1">
      <x v="1"/>
    </i>
    <i>
      <x v="77"/>
      <x/>
    </i>
    <i r="1" i="1">
      <x v="1"/>
    </i>
    <i>
      <x v="78"/>
      <x/>
    </i>
    <i r="1" i="1">
      <x v="1"/>
    </i>
    <i>
      <x v="79"/>
      <x/>
    </i>
    <i r="1" i="1">
      <x v="1"/>
    </i>
    <i>
      <x v="80"/>
      <x/>
    </i>
    <i r="1" i="1">
      <x v="1"/>
    </i>
    <i>
      <x v="81"/>
      <x/>
    </i>
    <i r="1" i="1">
      <x v="1"/>
    </i>
    <i>
      <x v="82"/>
      <x/>
    </i>
    <i r="1" i="1">
      <x v="1"/>
    </i>
    <i>
      <x v="83"/>
      <x/>
    </i>
    <i r="1" i="1">
      <x v="1"/>
    </i>
    <i>
      <x v="84"/>
      <x/>
    </i>
    <i r="1" i="1">
      <x v="1"/>
    </i>
    <i>
      <x v="85"/>
      <x/>
    </i>
    <i r="1" i="1">
      <x v="1"/>
    </i>
    <i>
      <x v="86"/>
      <x/>
    </i>
    <i r="1" i="1">
      <x v="1"/>
    </i>
    <i>
      <x v="87"/>
      <x/>
    </i>
    <i r="1" i="1">
      <x v="1"/>
    </i>
    <i>
      <x v="88"/>
      <x/>
    </i>
    <i r="1" i="1">
      <x v="1"/>
    </i>
    <i>
      <x v="89"/>
      <x/>
    </i>
    <i r="1" i="1">
      <x v="1"/>
    </i>
    <i>
      <x v="90"/>
      <x/>
    </i>
    <i r="1" i="1">
      <x v="1"/>
    </i>
    <i>
      <x v="91"/>
      <x/>
    </i>
    <i r="1" i="1">
      <x v="1"/>
    </i>
    <i>
      <x v="92"/>
      <x/>
    </i>
    <i r="1" i="1">
      <x v="1"/>
    </i>
    <i>
      <x v="93"/>
      <x/>
    </i>
    <i r="1" i="1">
      <x v="1"/>
    </i>
    <i>
      <x v="94"/>
      <x/>
    </i>
    <i r="1" i="1">
      <x v="1"/>
    </i>
    <i>
      <x v="95"/>
      <x/>
    </i>
    <i r="1" i="1">
      <x v="1"/>
    </i>
    <i>
      <x v="96"/>
      <x/>
    </i>
    <i r="1" i="1">
      <x v="1"/>
    </i>
    <i>
      <x v="97"/>
      <x/>
    </i>
    <i r="1" i="1">
      <x v="1"/>
    </i>
    <i>
      <x v="98"/>
      <x/>
    </i>
    <i r="1" i="1">
      <x v="1"/>
    </i>
    <i>
      <x v="99"/>
      <x/>
    </i>
    <i r="1" i="1">
      <x v="1"/>
    </i>
    <i>
      <x v="100"/>
      <x/>
    </i>
    <i r="1" i="1">
      <x v="1"/>
    </i>
    <i>
      <x v="101"/>
      <x/>
    </i>
    <i r="1" i="1">
      <x v="1"/>
    </i>
    <i>
      <x v="102"/>
      <x/>
    </i>
    <i r="1" i="1">
      <x v="1"/>
    </i>
    <i>
      <x v="103"/>
      <x/>
    </i>
    <i r="1" i="1">
      <x v="1"/>
    </i>
    <i>
      <x v="104"/>
      <x/>
    </i>
    <i r="1" i="1">
      <x v="1"/>
    </i>
    <i>
      <x v="105"/>
      <x/>
    </i>
    <i r="1" i="1">
      <x v="1"/>
    </i>
    <i>
      <x v="106"/>
      <x/>
    </i>
    <i r="1" i="1">
      <x v="1"/>
    </i>
    <i>
      <x v="107"/>
      <x/>
    </i>
    <i r="1" i="1">
      <x v="1"/>
    </i>
    <i>
      <x v="108"/>
      <x/>
    </i>
    <i r="1" i="1">
      <x v="1"/>
    </i>
    <i>
      <x v="109"/>
      <x/>
    </i>
    <i r="1" i="1">
      <x v="1"/>
    </i>
    <i>
      <x v="110"/>
      <x/>
    </i>
    <i r="1" i="1">
      <x v="1"/>
    </i>
    <i>
      <x v="111"/>
      <x/>
    </i>
    <i r="1" i="1">
      <x v="1"/>
    </i>
    <i>
      <x v="112"/>
      <x/>
    </i>
    <i r="1" i="1">
      <x v="1"/>
    </i>
    <i>
      <x v="113"/>
      <x/>
    </i>
    <i r="1" i="1">
      <x v="1"/>
    </i>
    <i>
      <x v="114"/>
      <x/>
    </i>
    <i r="1" i="1">
      <x v="1"/>
    </i>
    <i>
      <x v="115"/>
      <x/>
    </i>
    <i r="1" i="1">
      <x v="1"/>
    </i>
    <i>
      <x v="116"/>
      <x/>
    </i>
    <i r="1" i="1">
      <x v="1"/>
    </i>
    <i>
      <x v="117"/>
      <x/>
    </i>
    <i r="1" i="1">
      <x v="1"/>
    </i>
    <i>
      <x v="118"/>
      <x/>
    </i>
    <i r="1" i="1">
      <x v="1"/>
    </i>
    <i>
      <x v="119"/>
      <x/>
    </i>
    <i r="1" i="1">
      <x v="1"/>
    </i>
    <i>
      <x v="120"/>
      <x/>
    </i>
    <i r="1" i="1">
      <x v="1"/>
    </i>
    <i>
      <x v="121"/>
      <x/>
    </i>
    <i r="1" i="1">
      <x v="1"/>
    </i>
    <i>
      <x v="122"/>
      <x/>
    </i>
    <i r="1" i="1">
      <x v="1"/>
    </i>
    <i>
      <x v="123"/>
      <x/>
    </i>
    <i r="1" i="1">
      <x v="1"/>
    </i>
    <i>
      <x v="124"/>
      <x/>
    </i>
    <i r="1" i="1">
      <x v="1"/>
    </i>
    <i>
      <x v="125"/>
      <x/>
    </i>
    <i r="1" i="1">
      <x v="1"/>
    </i>
    <i>
      <x v="126"/>
      <x/>
    </i>
    <i r="1" i="1">
      <x v="1"/>
    </i>
    <i>
      <x v="127"/>
      <x/>
    </i>
    <i r="1" i="1">
      <x v="1"/>
    </i>
    <i>
      <x v="128"/>
      <x/>
    </i>
    <i r="1" i="1">
      <x v="1"/>
    </i>
    <i>
      <x v="129"/>
      <x/>
    </i>
    <i r="1" i="1">
      <x v="1"/>
    </i>
    <i>
      <x v="130"/>
      <x/>
    </i>
    <i r="1" i="1">
      <x v="1"/>
    </i>
    <i>
      <x v="131"/>
      <x/>
    </i>
    <i r="1" i="1">
      <x v="1"/>
    </i>
    <i>
      <x v="132"/>
      <x/>
    </i>
    <i r="1" i="1">
      <x v="1"/>
    </i>
    <i>
      <x v="133"/>
      <x/>
    </i>
    <i r="1" i="1">
      <x v="1"/>
    </i>
    <i>
      <x v="134"/>
      <x/>
    </i>
    <i r="1" i="1">
      <x v="1"/>
    </i>
    <i>
      <x v="135"/>
      <x/>
    </i>
    <i r="1" i="1">
      <x v="1"/>
    </i>
    <i>
      <x v="136"/>
      <x/>
    </i>
    <i r="1" i="1">
      <x v="1"/>
    </i>
    <i>
      <x v="137"/>
      <x/>
    </i>
    <i r="1" i="1">
      <x v="1"/>
    </i>
    <i>
      <x v="138"/>
      <x/>
    </i>
    <i r="1" i="1">
      <x v="1"/>
    </i>
    <i>
      <x v="139"/>
      <x/>
    </i>
    <i r="1" i="1">
      <x v="1"/>
    </i>
    <i>
      <x v="140"/>
      <x/>
    </i>
    <i r="1" i="1">
      <x v="1"/>
    </i>
    <i>
      <x v="141"/>
      <x/>
    </i>
    <i r="1" i="1">
      <x v="1"/>
    </i>
    <i>
      <x v="142"/>
      <x/>
    </i>
    <i r="1" i="1">
      <x v="1"/>
    </i>
    <i>
      <x v="143"/>
      <x/>
    </i>
    <i r="1" i="1">
      <x v="1"/>
    </i>
    <i>
      <x v="144"/>
      <x/>
    </i>
    <i r="1" i="1">
      <x v="1"/>
    </i>
    <i>
      <x v="145"/>
      <x/>
    </i>
    <i r="1" i="1">
      <x v="1"/>
    </i>
    <i>
      <x v="146"/>
      <x/>
    </i>
    <i r="1" i="1">
      <x v="1"/>
    </i>
    <i>
      <x v="147"/>
      <x/>
    </i>
    <i r="1" i="1">
      <x v="1"/>
    </i>
    <i>
      <x v="148"/>
      <x/>
    </i>
    <i r="1" i="1">
      <x v="1"/>
    </i>
    <i>
      <x v="149"/>
      <x/>
    </i>
    <i r="1" i="1">
      <x v="1"/>
    </i>
    <i>
      <x v="150"/>
      <x/>
    </i>
    <i r="1" i="1">
      <x v="1"/>
    </i>
    <i>
      <x v="151"/>
      <x/>
    </i>
    <i r="1" i="1">
      <x v="1"/>
    </i>
    <i>
      <x v="152"/>
      <x/>
    </i>
    <i r="1" i="1">
      <x v="1"/>
    </i>
    <i>
      <x v="153"/>
      <x/>
    </i>
    <i r="1" i="1">
      <x v="1"/>
    </i>
    <i>
      <x v="154"/>
      <x/>
    </i>
    <i r="1" i="1">
      <x v="1"/>
    </i>
    <i>
      <x v="155"/>
      <x/>
    </i>
    <i r="1" i="1">
      <x v="1"/>
    </i>
    <i>
      <x v="156"/>
      <x/>
    </i>
    <i r="1" i="1">
      <x v="1"/>
    </i>
    <i>
      <x v="157"/>
      <x/>
    </i>
    <i r="1" i="1">
      <x v="1"/>
    </i>
    <i>
      <x v="158"/>
      <x/>
    </i>
    <i r="1" i="1">
      <x v="1"/>
    </i>
    <i>
      <x v="159"/>
      <x/>
    </i>
    <i r="1" i="1">
      <x v="1"/>
    </i>
    <i>
      <x v="160"/>
      <x/>
    </i>
    <i r="1" i="1">
      <x v="1"/>
    </i>
    <i>
      <x v="161"/>
      <x/>
    </i>
    <i r="1" i="1">
      <x v="1"/>
    </i>
    <i>
      <x v="162"/>
      <x/>
    </i>
    <i r="1" i="1">
      <x v="1"/>
    </i>
    <i>
      <x v="163"/>
      <x/>
    </i>
    <i r="1" i="1">
      <x v="1"/>
    </i>
    <i>
      <x v="164"/>
      <x/>
    </i>
    <i r="1" i="1">
      <x v="1"/>
    </i>
    <i>
      <x v="165"/>
      <x/>
    </i>
    <i r="1" i="1">
      <x v="1"/>
    </i>
    <i>
      <x v="166"/>
      <x/>
    </i>
    <i r="1" i="1">
      <x v="1"/>
    </i>
    <i>
      <x v="167"/>
      <x/>
    </i>
    <i r="1" i="1">
      <x v="1"/>
    </i>
    <i>
      <x v="168"/>
      <x/>
    </i>
    <i r="1" i="1">
      <x v="1"/>
    </i>
    <i>
      <x v="169"/>
      <x/>
    </i>
    <i r="1" i="1">
      <x v="1"/>
    </i>
    <i>
      <x v="170"/>
      <x/>
    </i>
    <i r="1" i="1">
      <x v="1"/>
    </i>
    <i>
      <x v="171"/>
      <x/>
    </i>
    <i r="1" i="1">
      <x v="1"/>
    </i>
    <i>
      <x v="172"/>
      <x/>
    </i>
    <i r="1" i="1">
      <x v="1"/>
    </i>
    <i>
      <x v="173"/>
      <x/>
    </i>
    <i r="1" i="1">
      <x v="1"/>
    </i>
    <i>
      <x v="174"/>
      <x/>
    </i>
    <i r="1" i="1">
      <x v="1"/>
    </i>
    <i>
      <x v="175"/>
      <x/>
    </i>
    <i r="1" i="1">
      <x v="1"/>
    </i>
    <i>
      <x v="176"/>
      <x/>
    </i>
    <i r="1" i="1">
      <x v="1"/>
    </i>
    <i>
      <x v="177"/>
      <x/>
    </i>
    <i r="1" i="1">
      <x v="1"/>
    </i>
    <i>
      <x v="178"/>
      <x/>
    </i>
    <i r="1" i="1">
      <x v="1"/>
    </i>
    <i>
      <x v="179"/>
      <x/>
    </i>
    <i r="1" i="1">
      <x v="1"/>
    </i>
    <i>
      <x v="180"/>
      <x/>
    </i>
    <i r="1" i="1">
      <x v="1"/>
    </i>
    <i>
      <x v="181"/>
      <x/>
    </i>
    <i r="1" i="1">
      <x v="1"/>
    </i>
    <i>
      <x v="182"/>
      <x/>
    </i>
    <i r="1" i="1">
      <x v="1"/>
    </i>
    <i>
      <x v="183"/>
      <x/>
    </i>
    <i r="1" i="1">
      <x v="1"/>
    </i>
    <i>
      <x v="184"/>
      <x/>
    </i>
    <i r="1" i="1">
      <x v="1"/>
    </i>
    <i>
      <x v="185"/>
      <x/>
    </i>
    <i r="1" i="1">
      <x v="1"/>
    </i>
    <i>
      <x v="186"/>
      <x/>
    </i>
    <i r="1" i="1">
      <x v="1"/>
    </i>
    <i>
      <x v="187"/>
      <x/>
    </i>
    <i r="1" i="1">
      <x v="1"/>
    </i>
    <i>
      <x v="188"/>
      <x/>
    </i>
    <i r="1" i="1">
      <x v="1"/>
    </i>
    <i>
      <x v="189"/>
      <x/>
    </i>
    <i r="1" i="1">
      <x v="1"/>
    </i>
    <i>
      <x v="190"/>
      <x/>
    </i>
    <i r="1" i="1">
      <x v="1"/>
    </i>
    <i>
      <x v="191"/>
      <x/>
    </i>
    <i r="1" i="1">
      <x v="1"/>
    </i>
    <i>
      <x v="192"/>
      <x/>
    </i>
    <i r="1" i="1">
      <x v="1"/>
    </i>
    <i>
      <x v="193"/>
      <x/>
    </i>
    <i r="1" i="1">
      <x v="1"/>
    </i>
    <i>
      <x v="194"/>
      <x/>
    </i>
    <i r="1" i="1">
      <x v="1"/>
    </i>
    <i>
      <x v="195"/>
      <x/>
    </i>
    <i r="1" i="1">
      <x v="1"/>
    </i>
    <i>
      <x v="196"/>
      <x/>
    </i>
    <i r="1" i="1">
      <x v="1"/>
    </i>
    <i>
      <x v="197"/>
      <x/>
    </i>
    <i r="1" i="1">
      <x v="1"/>
    </i>
    <i>
      <x v="198"/>
      <x/>
    </i>
    <i r="1" i="1">
      <x v="1"/>
    </i>
    <i>
      <x v="199"/>
      <x/>
    </i>
    <i r="1" i="1">
      <x v="1"/>
    </i>
    <i>
      <x v="200"/>
      <x/>
    </i>
    <i r="1" i="1">
      <x v="1"/>
    </i>
    <i>
      <x v="201"/>
      <x/>
    </i>
    <i r="1" i="1">
      <x v="1"/>
    </i>
    <i>
      <x v="202"/>
      <x/>
    </i>
    <i r="1" i="1">
      <x v="1"/>
    </i>
    <i>
      <x v="203"/>
      <x/>
    </i>
    <i r="1" i="1">
      <x v="1"/>
    </i>
    <i>
      <x v="204"/>
      <x/>
    </i>
    <i r="1" i="1">
      <x v="1"/>
    </i>
    <i>
      <x v="205"/>
      <x/>
    </i>
    <i r="1" i="1">
      <x v="1"/>
    </i>
    <i>
      <x v="206"/>
      <x/>
    </i>
    <i r="1" i="1">
      <x v="1"/>
    </i>
    <i>
      <x v="207"/>
      <x/>
    </i>
    <i r="1" i="1">
      <x v="1"/>
    </i>
    <i>
      <x v="208"/>
      <x/>
    </i>
    <i r="1" i="1">
      <x v="1"/>
    </i>
    <i>
      <x v="209"/>
      <x/>
    </i>
    <i r="1" i="1">
      <x v="1"/>
    </i>
    <i>
      <x v="210"/>
      <x/>
    </i>
    <i r="1" i="1">
      <x v="1"/>
    </i>
    <i>
      <x v="211"/>
      <x/>
    </i>
    <i r="1" i="1">
      <x v="1"/>
    </i>
    <i>
      <x v="212"/>
      <x/>
    </i>
    <i r="1" i="1">
      <x v="1"/>
    </i>
    <i>
      <x v="213"/>
      <x/>
    </i>
    <i r="1" i="1">
      <x v="1"/>
    </i>
    <i>
      <x v="214"/>
      <x/>
    </i>
    <i r="1" i="1">
      <x v="1"/>
    </i>
    <i>
      <x v="215"/>
      <x/>
    </i>
    <i r="1" i="1">
      <x v="1"/>
    </i>
    <i>
      <x v="216"/>
      <x/>
    </i>
    <i r="1" i="1">
      <x v="1"/>
    </i>
    <i>
      <x v="217"/>
      <x/>
    </i>
    <i r="1" i="1">
      <x v="1"/>
    </i>
    <i>
      <x v="218"/>
      <x/>
    </i>
    <i r="1" i="1">
      <x v="1"/>
    </i>
    <i>
      <x v="219"/>
      <x/>
    </i>
    <i r="1" i="1">
      <x v="1"/>
    </i>
    <i>
      <x v="220"/>
      <x/>
    </i>
    <i r="1" i="1">
      <x v="1"/>
    </i>
    <i>
      <x v="221"/>
      <x/>
    </i>
    <i r="1" i="1">
      <x v="1"/>
    </i>
    <i>
      <x v="222"/>
      <x/>
    </i>
    <i r="1" i="1">
      <x v="1"/>
    </i>
    <i>
      <x v="223"/>
      <x/>
    </i>
    <i r="1" i="1">
      <x v="1"/>
    </i>
    <i>
      <x v="224"/>
      <x/>
    </i>
    <i r="1" i="1">
      <x v="1"/>
    </i>
    <i>
      <x v="225"/>
      <x/>
    </i>
    <i r="1" i="1">
      <x v="1"/>
    </i>
    <i>
      <x v="226"/>
      <x/>
    </i>
    <i r="1" i="1">
      <x v="1"/>
    </i>
    <i>
      <x v="227"/>
      <x/>
    </i>
    <i r="1" i="1">
      <x v="1"/>
    </i>
    <i>
      <x v="228"/>
      <x/>
    </i>
    <i r="1" i="1">
      <x v="1"/>
    </i>
    <i>
      <x v="229"/>
      <x/>
    </i>
    <i r="1" i="1">
      <x v="1"/>
    </i>
    <i>
      <x v="230"/>
      <x/>
    </i>
    <i r="1" i="1">
      <x v="1"/>
    </i>
    <i>
      <x v="231"/>
      <x/>
    </i>
    <i r="1" i="1">
      <x v="1"/>
    </i>
    <i>
      <x v="232"/>
      <x/>
    </i>
    <i r="1" i="1">
      <x v="1"/>
    </i>
    <i>
      <x v="233"/>
      <x/>
    </i>
    <i r="1" i="1">
      <x v="1"/>
    </i>
    <i>
      <x v="234"/>
      <x/>
    </i>
    <i r="1" i="1">
      <x v="1"/>
    </i>
    <i>
      <x v="235"/>
      <x/>
    </i>
    <i r="1" i="1">
      <x v="1"/>
    </i>
    <i>
      <x v="236"/>
      <x/>
    </i>
    <i r="1" i="1">
      <x v="1"/>
    </i>
    <i>
      <x v="237"/>
      <x/>
    </i>
    <i r="1" i="1">
      <x v="1"/>
    </i>
    <i>
      <x v="238"/>
      <x/>
    </i>
    <i r="1" i="1">
      <x v="1"/>
    </i>
    <i>
      <x v="239"/>
      <x/>
    </i>
    <i r="1" i="1">
      <x v="1"/>
    </i>
    <i>
      <x v="240"/>
      <x/>
    </i>
    <i r="1" i="1">
      <x v="1"/>
    </i>
    <i>
      <x v="241"/>
      <x/>
    </i>
    <i r="1" i="1">
      <x v="1"/>
    </i>
    <i>
      <x v="242"/>
      <x/>
    </i>
    <i r="1" i="1">
      <x v="1"/>
    </i>
    <i>
      <x v="243"/>
      <x/>
    </i>
    <i r="1" i="1">
      <x v="1"/>
    </i>
    <i>
      <x v="244"/>
      <x/>
    </i>
    <i r="1" i="1">
      <x v="1"/>
    </i>
    <i>
      <x v="245"/>
      <x/>
    </i>
    <i r="1" i="1">
      <x v="1"/>
    </i>
    <i>
      <x v="246"/>
      <x/>
    </i>
    <i r="1" i="1">
      <x v="1"/>
    </i>
    <i>
      <x v="247"/>
      <x/>
    </i>
    <i r="1" i="1">
      <x v="1"/>
    </i>
    <i>
      <x v="248"/>
      <x/>
    </i>
    <i r="1" i="1">
      <x v="1"/>
    </i>
    <i>
      <x v="249"/>
      <x/>
    </i>
    <i r="1" i="1">
      <x v="1"/>
    </i>
    <i>
      <x v="250"/>
      <x/>
    </i>
    <i r="1" i="1">
      <x v="1"/>
    </i>
    <i>
      <x v="251"/>
      <x/>
    </i>
    <i r="1" i="1">
      <x v="1"/>
    </i>
    <i>
      <x v="252"/>
      <x/>
    </i>
    <i r="1" i="1">
      <x v="1"/>
    </i>
    <i>
      <x v="253"/>
      <x/>
    </i>
    <i r="1" i="1">
      <x v="1"/>
    </i>
    <i>
      <x v="254"/>
      <x/>
    </i>
    <i r="1" i="1">
      <x v="1"/>
    </i>
    <i>
      <x v="255"/>
      <x/>
    </i>
    <i r="1" i="1">
      <x v="1"/>
    </i>
    <i>
      <x v="256"/>
      <x/>
    </i>
    <i r="1" i="1">
      <x v="1"/>
    </i>
    <i>
      <x v="257"/>
      <x/>
    </i>
    <i r="1" i="1">
      <x v="1"/>
    </i>
    <i>
      <x v="258"/>
      <x/>
    </i>
    <i r="1" i="1">
      <x v="1"/>
    </i>
    <i>
      <x v="259"/>
      <x/>
    </i>
    <i r="1" i="1">
      <x v="1"/>
    </i>
    <i>
      <x v="260"/>
      <x/>
    </i>
    <i r="1" i="1">
      <x v="1"/>
    </i>
    <i>
      <x v="261"/>
      <x/>
    </i>
    <i r="1" i="1">
      <x v="1"/>
    </i>
    <i>
      <x v="262"/>
      <x/>
    </i>
    <i r="1" i="1">
      <x v="1"/>
    </i>
    <i>
      <x v="263"/>
      <x/>
    </i>
    <i r="1" i="1">
      <x v="1"/>
    </i>
    <i>
      <x v="264"/>
      <x/>
    </i>
    <i r="1" i="1">
      <x v="1"/>
    </i>
    <i>
      <x v="265"/>
      <x/>
    </i>
    <i r="1" i="1">
      <x v="1"/>
    </i>
    <i>
      <x v="266"/>
      <x/>
    </i>
    <i r="1" i="1">
      <x v="1"/>
    </i>
    <i>
      <x v="267"/>
      <x/>
    </i>
    <i r="1" i="1">
      <x v="1"/>
    </i>
    <i>
      <x v="268"/>
      <x/>
    </i>
    <i r="1" i="1">
      <x v="1"/>
    </i>
    <i>
      <x v="269"/>
      <x/>
    </i>
    <i r="1" i="1">
      <x v="1"/>
    </i>
    <i>
      <x v="270"/>
      <x/>
    </i>
    <i r="1" i="1">
      <x v="1"/>
    </i>
    <i>
      <x v="271"/>
      <x/>
    </i>
    <i r="1" i="1">
      <x v="1"/>
    </i>
    <i>
      <x v="272"/>
      <x/>
    </i>
    <i r="1" i="1">
      <x v="1"/>
    </i>
    <i>
      <x v="273"/>
      <x/>
    </i>
    <i r="1" i="1">
      <x v="1"/>
    </i>
    <i>
      <x v="274"/>
      <x/>
    </i>
    <i r="1" i="1">
      <x v="1"/>
    </i>
    <i>
      <x v="275"/>
      <x/>
    </i>
    <i r="1" i="1">
      <x v="1"/>
    </i>
    <i>
      <x v="276"/>
      <x/>
    </i>
    <i r="1" i="1">
      <x v="1"/>
    </i>
    <i>
      <x v="277"/>
      <x/>
    </i>
    <i r="1" i="1">
      <x v="1"/>
    </i>
    <i>
      <x v="278"/>
      <x/>
    </i>
    <i r="1" i="1">
      <x v="1"/>
    </i>
    <i>
      <x v="279"/>
      <x/>
    </i>
    <i r="1" i="1">
      <x v="1"/>
    </i>
    <i>
      <x v="280"/>
      <x/>
    </i>
    <i r="1" i="1">
      <x v="1"/>
    </i>
    <i>
      <x v="281"/>
      <x/>
    </i>
    <i r="1" i="1">
      <x v="1"/>
    </i>
    <i>
      <x v="282"/>
      <x/>
    </i>
    <i r="1" i="1">
      <x v="1"/>
    </i>
    <i>
      <x v="283"/>
      <x/>
    </i>
    <i r="1" i="1">
      <x v="1"/>
    </i>
    <i>
      <x v="284"/>
      <x/>
    </i>
    <i r="1" i="1">
      <x v="1"/>
    </i>
    <i>
      <x v="285"/>
      <x/>
    </i>
    <i r="1" i="1">
      <x v="1"/>
    </i>
    <i>
      <x v="286"/>
      <x/>
    </i>
    <i r="1" i="1">
      <x v="1"/>
    </i>
    <i>
      <x v="287"/>
      <x/>
    </i>
    <i r="1" i="1">
      <x v="1"/>
    </i>
    <i>
      <x v="288"/>
      <x/>
    </i>
    <i r="1" i="1">
      <x v="1"/>
    </i>
    <i>
      <x v="289"/>
      <x/>
    </i>
    <i r="1" i="1">
      <x v="1"/>
    </i>
    <i>
      <x v="290"/>
      <x/>
    </i>
    <i r="1" i="1">
      <x v="1"/>
    </i>
    <i>
      <x v="291"/>
      <x/>
    </i>
    <i r="1" i="1">
      <x v="1"/>
    </i>
    <i>
      <x v="292"/>
      <x/>
    </i>
    <i r="1" i="1">
      <x v="1"/>
    </i>
    <i>
      <x v="293"/>
      <x/>
    </i>
    <i r="1" i="1">
      <x v="1"/>
    </i>
    <i>
      <x v="294"/>
      <x/>
    </i>
    <i r="1" i="1">
      <x v="1"/>
    </i>
    <i>
      <x v="295"/>
      <x/>
    </i>
    <i r="1" i="1">
      <x v="1"/>
    </i>
    <i>
      <x v="296"/>
      <x/>
    </i>
    <i r="1" i="1">
      <x v="1"/>
    </i>
    <i>
      <x v="297"/>
      <x/>
    </i>
    <i r="1" i="1">
      <x v="1"/>
    </i>
    <i>
      <x v="298"/>
      <x/>
    </i>
    <i r="1" i="1">
      <x v="1"/>
    </i>
    <i>
      <x v="299"/>
      <x/>
    </i>
    <i r="1" i="1">
      <x v="1"/>
    </i>
    <i>
      <x v="300"/>
      <x/>
    </i>
    <i r="1" i="1">
      <x v="1"/>
    </i>
    <i>
      <x v="301"/>
      <x/>
    </i>
    <i r="1" i="1">
      <x v="1"/>
    </i>
    <i>
      <x v="302"/>
      <x/>
    </i>
    <i r="1" i="1">
      <x v="1"/>
    </i>
    <i>
      <x v="303"/>
      <x/>
    </i>
    <i r="1" i="1">
      <x v="1"/>
    </i>
    <i>
      <x v="304"/>
      <x/>
    </i>
    <i r="1" i="1">
      <x v="1"/>
    </i>
    <i>
      <x v="305"/>
      <x/>
    </i>
    <i r="1" i="1">
      <x v="1"/>
    </i>
    <i>
      <x v="306"/>
      <x/>
    </i>
    <i r="1" i="1">
      <x v="1"/>
    </i>
    <i>
      <x v="307"/>
      <x/>
    </i>
    <i r="1" i="1">
      <x v="1"/>
    </i>
    <i>
      <x v="308"/>
      <x/>
    </i>
    <i r="1" i="1">
      <x v="1"/>
    </i>
    <i>
      <x v="309"/>
      <x/>
    </i>
    <i r="1" i="1">
      <x v="1"/>
    </i>
    <i>
      <x v="310"/>
      <x/>
    </i>
    <i r="1" i="1">
      <x v="1"/>
    </i>
    <i>
      <x v="311"/>
      <x/>
    </i>
    <i r="1" i="1">
      <x v="1"/>
    </i>
    <i>
      <x v="312"/>
      <x/>
    </i>
    <i r="1" i="1">
      <x v="1"/>
    </i>
    <i>
      <x v="313"/>
      <x/>
    </i>
    <i r="1" i="1">
      <x v="1"/>
    </i>
    <i>
      <x v="314"/>
      <x/>
    </i>
    <i r="1" i="1">
      <x v="1"/>
    </i>
    <i>
      <x v="315"/>
      <x/>
    </i>
    <i r="1" i="1">
      <x v="1"/>
    </i>
    <i>
      <x v="316"/>
      <x/>
    </i>
    <i r="1" i="1">
      <x v="1"/>
    </i>
    <i>
      <x v="317"/>
      <x/>
    </i>
    <i r="1" i="1">
      <x v="1"/>
    </i>
    <i>
      <x v="318"/>
      <x/>
    </i>
    <i r="1" i="1">
      <x v="1"/>
    </i>
    <i>
      <x v="319"/>
      <x/>
    </i>
    <i r="1" i="1">
      <x v="1"/>
    </i>
    <i>
      <x v="320"/>
      <x/>
    </i>
    <i r="1" i="1">
      <x v="1"/>
    </i>
    <i>
      <x v="321"/>
      <x/>
    </i>
    <i r="1" i="1">
      <x v="1"/>
    </i>
    <i>
      <x v="322"/>
      <x/>
    </i>
    <i r="1" i="1">
      <x v="1"/>
    </i>
    <i>
      <x v="323"/>
      <x/>
    </i>
    <i r="1" i="1">
      <x v="1"/>
    </i>
    <i>
      <x v="324"/>
      <x/>
    </i>
    <i r="1" i="1">
      <x v="1"/>
    </i>
    <i>
      <x v="325"/>
      <x/>
    </i>
    <i r="1" i="1">
      <x v="1"/>
    </i>
    <i>
      <x v="326"/>
      <x/>
    </i>
    <i r="1" i="1">
      <x v="1"/>
    </i>
    <i>
      <x v="327"/>
      <x/>
    </i>
    <i r="1" i="1">
      <x v="1"/>
    </i>
    <i>
      <x v="328"/>
      <x/>
    </i>
    <i r="1" i="1">
      <x v="1"/>
    </i>
    <i>
      <x v="329"/>
      <x/>
    </i>
    <i r="1" i="1">
      <x v="1"/>
    </i>
    <i>
      <x v="330"/>
      <x/>
    </i>
    <i r="1" i="1">
      <x v="1"/>
    </i>
    <i>
      <x v="331"/>
      <x/>
    </i>
    <i r="1" i="1">
      <x v="1"/>
    </i>
    <i>
      <x v="332"/>
      <x/>
    </i>
    <i r="1" i="1">
      <x v="1"/>
    </i>
    <i>
      <x v="333"/>
      <x/>
    </i>
    <i r="1" i="1">
      <x v="1"/>
    </i>
    <i>
      <x v="334"/>
      <x/>
    </i>
    <i r="1" i="1">
      <x v="1"/>
    </i>
    <i>
      <x v="335"/>
      <x/>
    </i>
    <i r="1" i="1">
      <x v="1"/>
    </i>
    <i>
      <x v="336"/>
      <x/>
    </i>
    <i r="1" i="1">
      <x v="1"/>
    </i>
    <i>
      <x v="337"/>
      <x/>
    </i>
    <i r="1" i="1">
      <x v="1"/>
    </i>
    <i>
      <x v="338"/>
      <x/>
    </i>
    <i r="1" i="1">
      <x v="1"/>
    </i>
    <i>
      <x v="339"/>
      <x/>
    </i>
    <i r="1" i="1">
      <x v="1"/>
    </i>
    <i>
      <x v="340"/>
      <x/>
    </i>
    <i r="1" i="1">
      <x v="1"/>
    </i>
    <i>
      <x v="341"/>
      <x/>
    </i>
    <i r="1" i="1">
      <x v="1"/>
    </i>
    <i>
      <x v="342"/>
      <x/>
    </i>
    <i r="1" i="1">
      <x v="1"/>
    </i>
    <i>
      <x v="343"/>
      <x/>
    </i>
    <i r="1" i="1">
      <x v="1"/>
    </i>
    <i>
      <x v="344"/>
      <x/>
    </i>
    <i r="1" i="1">
      <x v="1"/>
    </i>
    <i>
      <x v="345"/>
      <x/>
    </i>
    <i r="1" i="1">
      <x v="1"/>
    </i>
    <i>
      <x v="346"/>
      <x/>
    </i>
    <i r="1" i="1">
      <x v="1"/>
    </i>
    <i>
      <x v="347"/>
      <x/>
    </i>
    <i r="1" i="1">
      <x v="1"/>
    </i>
    <i>
      <x v="348"/>
      <x/>
    </i>
    <i r="1" i="1">
      <x v="1"/>
    </i>
    <i>
      <x v="349"/>
      <x/>
    </i>
    <i r="1" i="1">
      <x v="1"/>
    </i>
    <i>
      <x v="350"/>
      <x/>
    </i>
    <i r="1" i="1">
      <x v="1"/>
    </i>
    <i>
      <x v="351"/>
      <x/>
    </i>
    <i r="1" i="1">
      <x v="1"/>
    </i>
    <i>
      <x v="352"/>
      <x/>
    </i>
    <i r="1" i="1">
      <x v="1"/>
    </i>
    <i>
      <x v="353"/>
      <x/>
    </i>
    <i r="1" i="1">
      <x v="1"/>
    </i>
    <i>
      <x v="354"/>
      <x/>
    </i>
    <i r="1" i="1">
      <x v="1"/>
    </i>
    <i>
      <x v="355"/>
      <x/>
    </i>
    <i r="1" i="1">
      <x v="1"/>
    </i>
    <i>
      <x v="356"/>
      <x/>
    </i>
    <i r="1" i="1">
      <x v="1"/>
    </i>
    <i>
      <x v="357"/>
      <x/>
    </i>
    <i r="1" i="1">
      <x v="1"/>
    </i>
    <i>
      <x v="358"/>
      <x/>
    </i>
    <i r="1" i="1">
      <x v="1"/>
    </i>
    <i>
      <x v="359"/>
      <x/>
    </i>
    <i r="1" i="1">
      <x v="1"/>
    </i>
    <i>
      <x v="360"/>
      <x/>
    </i>
    <i r="1" i="1">
      <x v="1"/>
    </i>
    <i>
      <x v="361"/>
      <x/>
    </i>
    <i r="1" i="1">
      <x v="1"/>
    </i>
    <i>
      <x v="362"/>
      <x/>
    </i>
    <i r="1" i="1">
      <x v="1"/>
    </i>
    <i>
      <x v="363"/>
      <x/>
    </i>
    <i r="1" i="1">
      <x v="1"/>
    </i>
    <i>
      <x v="364"/>
      <x/>
    </i>
    <i r="1" i="1">
      <x v="1"/>
    </i>
    <i>
      <x v="365"/>
      <x/>
    </i>
    <i r="1" i="1">
      <x v="1"/>
    </i>
    <i>
      <x v="366"/>
      <x/>
    </i>
    <i r="1" i="1">
      <x v="1"/>
    </i>
    <i>
      <x v="367"/>
      <x/>
    </i>
    <i r="1" i="1">
      <x v="1"/>
    </i>
    <i>
      <x v="368"/>
      <x/>
    </i>
    <i r="1" i="1">
      <x v="1"/>
    </i>
    <i>
      <x v="369"/>
      <x/>
    </i>
    <i r="1" i="1">
      <x v="1"/>
    </i>
    <i>
      <x v="370"/>
      <x/>
    </i>
    <i r="1" i="1">
      <x v="1"/>
    </i>
    <i>
      <x v="371"/>
      <x/>
    </i>
    <i r="1" i="1">
      <x v="1"/>
    </i>
    <i>
      <x v="372"/>
      <x/>
    </i>
    <i r="1" i="1">
      <x v="1"/>
    </i>
    <i>
      <x v="373"/>
      <x/>
    </i>
    <i r="1" i="1">
      <x v="1"/>
    </i>
    <i>
      <x v="374"/>
      <x/>
    </i>
    <i r="1" i="1">
      <x v="1"/>
    </i>
    <i>
      <x v="375"/>
      <x/>
    </i>
    <i r="1" i="1">
      <x v="1"/>
    </i>
    <i>
      <x v="376"/>
      <x/>
    </i>
    <i r="1" i="1">
      <x v="1"/>
    </i>
    <i>
      <x v="377"/>
      <x/>
    </i>
    <i r="1" i="1">
      <x v="1"/>
    </i>
    <i>
      <x v="378"/>
      <x/>
    </i>
    <i r="1" i="1">
      <x v="1"/>
    </i>
    <i>
      <x v="379"/>
      <x/>
    </i>
    <i r="1" i="1">
      <x v="1"/>
    </i>
    <i>
      <x v="380"/>
      <x/>
    </i>
    <i r="1" i="1">
      <x v="1"/>
    </i>
    <i>
      <x v="381"/>
      <x/>
    </i>
    <i r="1" i="1">
      <x v="1"/>
    </i>
    <i>
      <x v="382"/>
      <x/>
    </i>
    <i r="1" i="1">
      <x v="1"/>
    </i>
    <i>
      <x v="383"/>
      <x/>
    </i>
    <i r="1" i="1">
      <x v="1"/>
    </i>
    <i>
      <x v="384"/>
      <x/>
    </i>
    <i r="1" i="1">
      <x v="1"/>
    </i>
    <i>
      <x v="385"/>
      <x/>
    </i>
    <i r="1" i="1">
      <x v="1"/>
    </i>
    <i>
      <x v="386"/>
      <x/>
    </i>
    <i r="1" i="1">
      <x v="1"/>
    </i>
    <i>
      <x v="387"/>
      <x/>
    </i>
    <i r="1" i="1">
      <x v="1"/>
    </i>
    <i>
      <x v="388"/>
      <x/>
    </i>
    <i r="1" i="1">
      <x v="1"/>
    </i>
    <i>
      <x v="389"/>
      <x/>
    </i>
    <i r="1" i="1">
      <x v="1"/>
    </i>
    <i>
      <x v="390"/>
      <x/>
    </i>
    <i r="1" i="1">
      <x v="1"/>
    </i>
    <i>
      <x v="391"/>
      <x/>
    </i>
    <i r="1" i="1">
      <x v="1"/>
    </i>
    <i>
      <x v="392"/>
      <x/>
    </i>
    <i r="1" i="1">
      <x v="1"/>
    </i>
    <i>
      <x v="393"/>
      <x/>
    </i>
    <i r="1" i="1">
      <x v="1"/>
    </i>
    <i>
      <x v="394"/>
      <x/>
    </i>
    <i r="1" i="1">
      <x v="1"/>
    </i>
    <i>
      <x v="395"/>
      <x/>
    </i>
    <i r="1" i="1">
      <x v="1"/>
    </i>
    <i>
      <x v="396"/>
      <x/>
    </i>
    <i r="1" i="1">
      <x v="1"/>
    </i>
    <i>
      <x v="397"/>
      <x/>
    </i>
    <i r="1" i="1">
      <x v="1"/>
    </i>
    <i>
      <x v="398"/>
      <x/>
    </i>
    <i r="1" i="1">
      <x v="1"/>
    </i>
    <i>
      <x v="399"/>
      <x/>
    </i>
    <i r="1" i="1">
      <x v="1"/>
    </i>
    <i>
      <x v="400"/>
      <x/>
    </i>
    <i r="1" i="1">
      <x v="1"/>
    </i>
    <i>
      <x v="401"/>
      <x/>
    </i>
    <i r="1" i="1">
      <x v="1"/>
    </i>
    <i>
      <x v="402"/>
      <x/>
    </i>
    <i r="1" i="1">
      <x v="1"/>
    </i>
    <i>
      <x v="403"/>
      <x/>
    </i>
    <i r="1" i="1">
      <x v="1"/>
    </i>
    <i>
      <x v="404"/>
      <x/>
    </i>
    <i r="1" i="1">
      <x v="1"/>
    </i>
    <i>
      <x v="405"/>
      <x/>
    </i>
    <i r="1" i="1">
      <x v="1"/>
    </i>
    <i>
      <x v="406"/>
      <x/>
    </i>
    <i r="1" i="1">
      <x v="1"/>
    </i>
    <i>
      <x v="407"/>
      <x/>
    </i>
    <i r="1" i="1">
      <x v="1"/>
    </i>
    <i>
      <x v="408"/>
      <x/>
    </i>
    <i r="1" i="1">
      <x v="1"/>
    </i>
    <i>
      <x v="409"/>
      <x/>
    </i>
    <i r="1" i="1">
      <x v="1"/>
    </i>
    <i>
      <x v="410"/>
      <x/>
    </i>
    <i r="1" i="1">
      <x v="1"/>
    </i>
    <i>
      <x v="411"/>
      <x/>
    </i>
    <i r="1" i="1">
      <x v="1"/>
    </i>
    <i>
      <x v="412"/>
      <x/>
    </i>
    <i r="1" i="1">
      <x v="1"/>
    </i>
    <i>
      <x v="413"/>
      <x/>
    </i>
    <i r="1" i="1">
      <x v="1"/>
    </i>
    <i>
      <x v="414"/>
      <x/>
    </i>
    <i r="1" i="1">
      <x v="1"/>
    </i>
    <i>
      <x v="415"/>
      <x/>
    </i>
    <i r="1" i="1">
      <x v="1"/>
    </i>
    <i>
      <x v="416"/>
      <x/>
    </i>
    <i r="1" i="1">
      <x v="1"/>
    </i>
    <i>
      <x v="417"/>
      <x/>
    </i>
    <i r="1" i="1">
      <x v="1"/>
    </i>
    <i>
      <x v="418"/>
      <x/>
    </i>
    <i r="1" i="1">
      <x v="1"/>
    </i>
    <i>
      <x v="419"/>
      <x/>
    </i>
    <i r="1" i="1">
      <x v="1"/>
    </i>
    <i>
      <x v="420"/>
      <x/>
    </i>
    <i r="1" i="1">
      <x v="1"/>
    </i>
    <i>
      <x v="421"/>
      <x/>
    </i>
    <i r="1" i="1">
      <x v="1"/>
    </i>
    <i>
      <x v="422"/>
      <x/>
    </i>
    <i r="1" i="1">
      <x v="1"/>
    </i>
    <i>
      <x v="423"/>
      <x/>
    </i>
    <i r="1" i="1">
      <x v="1"/>
    </i>
    <i>
      <x v="424"/>
      <x/>
    </i>
    <i r="1" i="1">
      <x v="1"/>
    </i>
    <i>
      <x v="425"/>
      <x/>
    </i>
    <i r="1" i="1">
      <x v="1"/>
    </i>
    <i>
      <x v="426"/>
      <x/>
    </i>
    <i r="1" i="1">
      <x v="1"/>
    </i>
    <i>
      <x v="427"/>
      <x/>
    </i>
    <i r="1" i="1">
      <x v="1"/>
    </i>
    <i>
      <x v="428"/>
      <x/>
    </i>
    <i r="1" i="1">
      <x v="1"/>
    </i>
    <i>
      <x v="429"/>
      <x/>
    </i>
    <i r="1" i="1">
      <x v="1"/>
    </i>
    <i>
      <x v="430"/>
      <x/>
    </i>
    <i r="1" i="1">
      <x v="1"/>
    </i>
    <i>
      <x v="431"/>
      <x/>
    </i>
    <i r="1" i="1">
      <x v="1"/>
    </i>
    <i>
      <x v="432"/>
      <x/>
    </i>
    <i r="1" i="1">
      <x v="1"/>
    </i>
    <i>
      <x v="433"/>
      <x/>
    </i>
    <i r="1" i="1">
      <x v="1"/>
    </i>
    <i>
      <x v="434"/>
      <x/>
    </i>
    <i r="1" i="1">
      <x v="1"/>
    </i>
    <i>
      <x v="435"/>
      <x/>
    </i>
    <i r="1" i="1">
      <x v="1"/>
    </i>
    <i>
      <x v="436"/>
      <x/>
    </i>
    <i r="1" i="1">
      <x v="1"/>
    </i>
    <i>
      <x v="437"/>
      <x/>
    </i>
    <i r="1" i="1">
      <x v="1"/>
    </i>
    <i>
      <x v="438"/>
      <x/>
    </i>
    <i r="1" i="1">
      <x v="1"/>
    </i>
    <i>
      <x v="439"/>
      <x/>
    </i>
    <i r="1" i="1">
      <x v="1"/>
    </i>
    <i>
      <x v="440"/>
      <x/>
    </i>
    <i r="1" i="1">
      <x v="1"/>
    </i>
    <i>
      <x v="441"/>
      <x/>
    </i>
    <i r="1" i="1">
      <x v="1"/>
    </i>
    <i>
      <x v="442"/>
      <x/>
    </i>
    <i r="1" i="1">
      <x v="1"/>
    </i>
    <i>
      <x v="443"/>
      <x/>
    </i>
    <i r="1" i="1">
      <x v="1"/>
    </i>
    <i>
      <x v="444"/>
      <x/>
    </i>
    <i r="1" i="1">
      <x v="1"/>
    </i>
    <i>
      <x v="445"/>
      <x/>
    </i>
    <i r="1" i="1">
      <x v="1"/>
    </i>
    <i>
      <x v="446"/>
      <x/>
    </i>
    <i r="1" i="1">
      <x v="1"/>
    </i>
    <i>
      <x v="447"/>
      <x/>
    </i>
    <i r="1" i="1">
      <x v="1"/>
    </i>
    <i>
      <x v="448"/>
      <x/>
    </i>
    <i r="1" i="1">
      <x v="1"/>
    </i>
    <i>
      <x v="449"/>
      <x/>
    </i>
    <i r="1" i="1">
      <x v="1"/>
    </i>
    <i>
      <x v="450"/>
      <x/>
    </i>
    <i r="1" i="1">
      <x v="1"/>
    </i>
    <i>
      <x v="451"/>
      <x/>
    </i>
    <i r="1" i="1">
      <x v="1"/>
    </i>
    <i>
      <x v="452"/>
      <x/>
    </i>
    <i r="1" i="1">
      <x v="1"/>
    </i>
    <i>
      <x v="453"/>
      <x/>
    </i>
    <i r="1" i="1">
      <x v="1"/>
    </i>
    <i>
      <x v="454"/>
      <x/>
    </i>
    <i r="1" i="1">
      <x v="1"/>
    </i>
    <i>
      <x v="455"/>
      <x/>
    </i>
    <i r="1" i="1">
      <x v="1"/>
    </i>
    <i>
      <x v="456"/>
      <x/>
    </i>
    <i r="1" i="1">
      <x v="1"/>
    </i>
    <i>
      <x v="457"/>
      <x/>
    </i>
    <i r="1" i="1">
      <x v="1"/>
    </i>
    <i>
      <x v="458"/>
      <x/>
    </i>
    <i r="1" i="1">
      <x v="1"/>
    </i>
    <i>
      <x v="459"/>
      <x/>
    </i>
    <i r="1" i="1">
      <x v="1"/>
    </i>
    <i>
      <x v="460"/>
      <x/>
    </i>
    <i r="1" i="1">
      <x v="1"/>
    </i>
    <i>
      <x v="461"/>
      <x/>
    </i>
    <i r="1" i="1">
      <x v="1"/>
    </i>
    <i>
      <x v="462"/>
      <x/>
    </i>
    <i r="1" i="1">
      <x v="1"/>
    </i>
    <i>
      <x v="463"/>
      <x/>
    </i>
    <i r="1" i="1">
      <x v="1"/>
    </i>
    <i>
      <x v="464"/>
      <x/>
    </i>
    <i r="1" i="1">
      <x v="1"/>
    </i>
    <i>
      <x v="465"/>
      <x/>
    </i>
    <i r="1" i="1">
      <x v="1"/>
    </i>
    <i>
      <x v="466"/>
      <x/>
    </i>
    <i r="1" i="1">
      <x v="1"/>
    </i>
    <i>
      <x v="467"/>
      <x/>
    </i>
    <i r="1" i="1">
      <x v="1"/>
    </i>
    <i>
      <x v="468"/>
      <x/>
    </i>
    <i r="1" i="1">
      <x v="1"/>
    </i>
    <i>
      <x v="469"/>
      <x/>
    </i>
    <i r="1" i="1">
      <x v="1"/>
    </i>
    <i>
      <x v="470"/>
      <x/>
    </i>
    <i r="1" i="1">
      <x v="1"/>
    </i>
    <i>
      <x v="471"/>
      <x/>
    </i>
    <i r="1" i="1">
      <x v="1"/>
    </i>
    <i>
      <x v="472"/>
      <x/>
    </i>
    <i r="1" i="1">
      <x v="1"/>
    </i>
    <i>
      <x v="473"/>
      <x/>
    </i>
    <i r="1" i="1">
      <x v="1"/>
    </i>
    <i>
      <x v="474"/>
      <x/>
    </i>
    <i r="1" i="1">
      <x v="1"/>
    </i>
    <i>
      <x v="475"/>
      <x/>
    </i>
    <i r="1" i="1">
      <x v="1"/>
    </i>
    <i>
      <x v="476"/>
      <x/>
    </i>
    <i r="1" i="1">
      <x v="1"/>
    </i>
    <i>
      <x v="477"/>
      <x/>
    </i>
    <i r="1" i="1">
      <x v="1"/>
    </i>
    <i>
      <x v="478"/>
      <x/>
    </i>
    <i r="1" i="1">
      <x v="1"/>
    </i>
    <i>
      <x v="479"/>
      <x/>
    </i>
    <i r="1" i="1">
      <x v="1"/>
    </i>
    <i>
      <x v="480"/>
      <x/>
    </i>
    <i r="1" i="1">
      <x v="1"/>
    </i>
    <i>
      <x v="481"/>
      <x/>
    </i>
    <i r="1" i="1">
      <x v="1"/>
    </i>
    <i>
      <x v="482"/>
      <x/>
    </i>
    <i r="1" i="1">
      <x v="1"/>
    </i>
    <i>
      <x v="483"/>
      <x/>
    </i>
    <i r="1" i="1">
      <x v="1"/>
    </i>
    <i>
      <x v="484"/>
      <x/>
    </i>
    <i r="1" i="1">
      <x v="1"/>
    </i>
    <i>
      <x v="485"/>
      <x/>
    </i>
    <i r="1" i="1">
      <x v="1"/>
    </i>
    <i>
      <x v="486"/>
      <x/>
    </i>
    <i r="1" i="1">
      <x v="1"/>
    </i>
    <i>
      <x v="487"/>
      <x/>
    </i>
    <i r="1" i="1">
      <x v="1"/>
    </i>
    <i>
      <x v="488"/>
      <x/>
    </i>
    <i r="1" i="1">
      <x v="1"/>
    </i>
    <i>
      <x v="489"/>
      <x/>
    </i>
    <i r="1" i="1">
      <x v="1"/>
    </i>
    <i>
      <x v="490"/>
      <x/>
    </i>
    <i r="1" i="1">
      <x v="1"/>
    </i>
    <i>
      <x v="491"/>
      <x/>
    </i>
    <i r="1" i="1">
      <x v="1"/>
    </i>
    <i>
      <x v="492"/>
      <x/>
    </i>
    <i r="1" i="1">
      <x v="1"/>
    </i>
    <i>
      <x v="493"/>
      <x/>
    </i>
    <i r="1" i="1">
      <x v="1"/>
    </i>
    <i>
      <x v="494"/>
      <x/>
    </i>
    <i r="1" i="1">
      <x v="1"/>
    </i>
    <i>
      <x v="495"/>
      <x/>
    </i>
    <i r="1" i="1">
      <x v="1"/>
    </i>
    <i>
      <x v="496"/>
      <x/>
    </i>
    <i r="1" i="1">
      <x v="1"/>
    </i>
    <i>
      <x v="497"/>
      <x/>
    </i>
    <i r="1" i="1">
      <x v="1"/>
    </i>
    <i>
      <x v="498"/>
      <x/>
    </i>
    <i r="1" i="1">
      <x v="1"/>
    </i>
    <i>
      <x v="499"/>
      <x/>
    </i>
    <i r="1" i="1">
      <x v="1"/>
    </i>
    <i>
      <x v="500"/>
      <x/>
    </i>
    <i r="1" i="1">
      <x v="1"/>
    </i>
    <i>
      <x v="501"/>
      <x/>
    </i>
    <i r="1" i="1">
      <x v="1"/>
    </i>
    <i>
      <x v="502"/>
      <x/>
    </i>
    <i r="1" i="1">
      <x v="1"/>
    </i>
    <i>
      <x v="503"/>
      <x/>
    </i>
    <i r="1" i="1">
      <x v="1"/>
    </i>
    <i>
      <x v="504"/>
      <x/>
    </i>
    <i r="1" i="1">
      <x v="1"/>
    </i>
    <i>
      <x v="505"/>
      <x/>
    </i>
    <i r="1" i="1">
      <x v="1"/>
    </i>
    <i>
      <x v="506"/>
      <x/>
    </i>
    <i r="1" i="1">
      <x v="1"/>
    </i>
    <i>
      <x v="507"/>
      <x/>
    </i>
    <i r="1" i="1">
      <x v="1"/>
    </i>
    <i>
      <x v="508"/>
      <x/>
    </i>
    <i r="1" i="1">
      <x v="1"/>
    </i>
    <i>
      <x v="509"/>
      <x/>
    </i>
    <i r="1" i="1">
      <x v="1"/>
    </i>
    <i>
      <x v="510"/>
      <x/>
    </i>
    <i r="1" i="1">
      <x v="1"/>
    </i>
    <i>
      <x v="511"/>
      <x/>
    </i>
    <i r="1" i="1">
      <x v="1"/>
    </i>
    <i>
      <x v="512"/>
      <x/>
    </i>
    <i r="1" i="1">
      <x v="1"/>
    </i>
    <i>
      <x v="513"/>
      <x/>
    </i>
    <i r="1" i="1">
      <x v="1"/>
    </i>
    <i>
      <x v="514"/>
      <x/>
    </i>
    <i r="1" i="1">
      <x v="1"/>
    </i>
    <i>
      <x v="515"/>
      <x/>
    </i>
    <i r="1" i="1">
      <x v="1"/>
    </i>
    <i>
      <x v="516"/>
      <x/>
    </i>
    <i r="1" i="1">
      <x v="1"/>
    </i>
    <i>
      <x v="517"/>
      <x/>
    </i>
    <i r="1" i="1">
      <x v="1"/>
    </i>
    <i>
      <x v="518"/>
      <x/>
    </i>
    <i r="1" i="1">
      <x v="1"/>
    </i>
    <i>
      <x v="519"/>
      <x/>
    </i>
    <i r="1" i="1">
      <x v="1"/>
    </i>
    <i>
      <x v="520"/>
      <x/>
    </i>
    <i r="1" i="1">
      <x v="1"/>
    </i>
    <i>
      <x v="521"/>
      <x/>
    </i>
    <i r="1" i="1">
      <x v="1"/>
    </i>
    <i>
      <x v="522"/>
      <x/>
    </i>
    <i r="1" i="1">
      <x v="1"/>
    </i>
    <i>
      <x v="523"/>
      <x/>
    </i>
    <i r="1" i="1">
      <x v="1"/>
    </i>
    <i>
      <x v="524"/>
      <x/>
    </i>
    <i r="1" i="1">
      <x v="1"/>
    </i>
    <i>
      <x v="525"/>
      <x/>
    </i>
    <i r="1" i="1">
      <x v="1"/>
    </i>
    <i>
      <x v="526"/>
      <x/>
    </i>
    <i r="1" i="1">
      <x v="1"/>
    </i>
    <i>
      <x v="527"/>
      <x/>
    </i>
    <i r="1" i="1">
      <x v="1"/>
    </i>
    <i>
      <x v="528"/>
      <x/>
    </i>
    <i r="1" i="1">
      <x v="1"/>
    </i>
    <i>
      <x v="529"/>
      <x/>
    </i>
    <i r="1" i="1">
      <x v="1"/>
    </i>
    <i>
      <x v="530"/>
      <x/>
    </i>
    <i r="1" i="1">
      <x v="1"/>
    </i>
    <i>
      <x v="531"/>
      <x/>
    </i>
    <i r="1" i="1">
      <x v="1"/>
    </i>
    <i t="grand">
      <x/>
    </i>
    <i t="grand" i="1">
      <x/>
    </i>
  </rowItems>
  <colItems count="1">
    <i/>
  </colItems>
  <pageFields count="1">
    <pageField fld="2" hier="0"/>
  </pageFields>
  <dataFields count="2">
    <dataField name="SUM of CANTIDAD COMPRADA" fld="5" baseField="0"/>
    <dataField name="SUM of BIENES EN STOCK" fld="8" baseField="0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CIERRE POR RUBRO" cacheId="5" applyNumberFormats="0" applyBorderFormats="0" applyFontFormats="0" applyPatternFormats="0" applyAlignmentFormats="0" applyWidthHeightFormats="0" dataCaption="" updatedVersion="6" showHeaders="0">
  <location ref="A3:C13" firstHeaderRow="1" firstDataRow="1" firstDataCol="2"/>
  <pivotFields count="10">
    <pivotField name="RUBRO" axis="axisRow" outline="0" multipleItemSelectionAllowed="1" showAll="0" sortType="ascending">
      <items count="11">
        <item sd="0" x="5"/>
        <item sd="0" x="2"/>
        <item sd="0" x="0"/>
        <item sd="0" x="4"/>
        <item sd="0" x="3"/>
        <item sd="0" x="1"/>
        <item sd="0" x="7"/>
        <item sd="0" x="8"/>
        <item sd="0" x="6"/>
        <item h="1" x="9"/>
        <item t="default"/>
      </items>
    </pivotField>
    <pivotField name="BIEN" axis="axisRow" outline="0" multipleItemSelectionAllowed="1" showAll="0" sortType="ascending">
      <items count="534">
        <item x="326"/>
        <item x="325"/>
        <item x="328"/>
        <item x="327"/>
        <item x="445"/>
        <item x="446"/>
        <item x="190"/>
        <item x="191"/>
        <item x="22"/>
        <item x="332"/>
        <item x="23"/>
        <item x="329"/>
        <item x="333"/>
        <item x="330"/>
        <item x="331"/>
        <item x="336"/>
        <item x="520"/>
        <item x="24"/>
        <item x="25"/>
        <item x="334"/>
        <item x="335"/>
        <item x="26"/>
        <item x="337"/>
        <item x="192"/>
        <item x="521"/>
        <item x="194"/>
        <item x="193"/>
        <item x="195"/>
        <item x="338"/>
        <item x="339"/>
        <item x="340"/>
        <item x="341"/>
        <item x="342"/>
        <item x="343"/>
        <item x="454"/>
        <item x="30"/>
        <item x="29"/>
        <item x="31"/>
        <item x="27"/>
        <item x="28"/>
        <item x="353"/>
        <item x="352"/>
        <item x="351"/>
        <item x="348"/>
        <item x="350"/>
        <item x="349"/>
        <item x="344"/>
        <item x="346"/>
        <item x="347"/>
        <item x="345"/>
        <item x="34"/>
        <item x="32"/>
        <item x="33"/>
        <item x="36"/>
        <item x="35"/>
        <item x="455"/>
        <item x="207"/>
        <item x="208"/>
        <item x="201"/>
        <item x="202"/>
        <item x="213"/>
        <item x="212"/>
        <item x="200"/>
        <item x="197"/>
        <item x="198"/>
        <item x="199"/>
        <item x="196"/>
        <item x="20"/>
        <item x="21"/>
        <item x="17"/>
        <item x="16"/>
        <item x="18"/>
        <item x="19"/>
        <item x="203"/>
        <item x="354"/>
        <item x="458"/>
        <item x="457"/>
        <item x="456"/>
        <item x="460"/>
        <item x="462"/>
        <item x="467"/>
        <item x="468"/>
        <item x="459"/>
        <item x="461"/>
        <item x="463"/>
        <item x="464"/>
        <item x="465"/>
        <item x="466"/>
        <item x="204"/>
        <item x="469"/>
        <item x="470"/>
        <item x="49"/>
        <item x="43"/>
        <item x="38"/>
        <item x="37"/>
        <item x="39"/>
        <item x="488"/>
        <item x="489"/>
        <item x="490"/>
        <item x="42"/>
        <item x="40"/>
        <item x="41"/>
        <item x="44"/>
        <item x="46"/>
        <item x="45"/>
        <item x="205"/>
        <item x="206"/>
        <item x="471"/>
        <item x="47"/>
        <item x="361"/>
        <item x="364"/>
        <item x="365"/>
        <item x="356"/>
        <item x="357"/>
        <item x="366"/>
        <item x="363"/>
        <item x="362"/>
        <item x="358"/>
        <item x="360"/>
        <item x="359"/>
        <item x="48"/>
        <item x="472"/>
        <item x="291"/>
        <item x="473"/>
        <item x="524"/>
        <item x="474"/>
        <item x="475"/>
        <item x="209"/>
        <item x="211"/>
        <item x="210"/>
        <item x="369"/>
        <item x="10"/>
        <item x="69"/>
        <item x="523"/>
        <item x="522"/>
        <item x="292"/>
        <item x="367"/>
        <item x="368"/>
        <item x="68"/>
        <item x="370"/>
        <item x="495"/>
        <item x="496"/>
        <item x="497"/>
        <item x="491"/>
        <item x="493"/>
        <item x="494"/>
        <item x="492"/>
        <item x="52"/>
        <item x="50"/>
        <item x="51"/>
        <item x="447"/>
        <item x="61"/>
        <item x="59"/>
        <item x="58"/>
        <item x="62"/>
        <item x="60"/>
        <item x="54"/>
        <item x="56"/>
        <item x="55"/>
        <item x="57"/>
        <item x="53"/>
        <item x="63"/>
        <item x="64"/>
        <item x="65"/>
        <item x="214"/>
        <item x="70"/>
        <item x="67"/>
        <item x="66"/>
        <item x="215"/>
        <item x="216"/>
        <item x="217"/>
        <item x="218"/>
        <item x="476"/>
        <item x="355"/>
        <item x="371"/>
        <item x="372"/>
        <item x="373"/>
        <item x="375"/>
        <item x="374"/>
        <item x="498"/>
        <item x="499"/>
        <item x="500"/>
        <item x="71"/>
        <item x="72"/>
        <item x="83"/>
        <item x="81"/>
        <item x="84"/>
        <item x="82"/>
        <item x="73"/>
        <item x="75"/>
        <item x="79"/>
        <item x="74"/>
        <item x="76"/>
        <item x="80"/>
        <item x="88"/>
        <item x="89"/>
        <item x="86"/>
        <item x="87"/>
        <item x="85"/>
        <item x="78"/>
        <item x="77"/>
        <item x="91"/>
        <item x="90"/>
        <item x="92"/>
        <item x="376"/>
        <item x="477"/>
        <item x="94"/>
        <item x="453"/>
        <item x="93"/>
        <item x="525"/>
        <item x="219"/>
        <item x="293"/>
        <item x="526"/>
        <item x="220"/>
        <item x="95"/>
        <item x="96"/>
        <item x="294"/>
        <item x="296"/>
        <item x="298"/>
        <item x="299"/>
        <item x="297"/>
        <item x="221"/>
        <item x="0"/>
        <item x="1"/>
        <item x="295"/>
        <item x="97"/>
        <item x="300"/>
        <item x="222"/>
        <item x="223"/>
        <item x="301"/>
        <item x="302"/>
        <item x="303"/>
        <item x="377"/>
        <item x="378"/>
        <item x="224"/>
        <item x="527"/>
        <item x="225"/>
        <item x="226"/>
        <item x="227"/>
        <item x="228"/>
        <item x="13"/>
        <item x="12"/>
        <item x="379"/>
        <item x="380"/>
        <item x="98"/>
        <item x="99"/>
        <item x="100"/>
        <item x="231"/>
        <item x="229"/>
        <item x="230"/>
        <item x="102"/>
        <item x="101"/>
        <item x="381"/>
        <item x="528"/>
        <item x="232"/>
        <item x="103"/>
        <item x="306"/>
        <item x="234"/>
        <item x="233"/>
        <item x="235"/>
        <item x="384"/>
        <item x="383"/>
        <item x="382"/>
        <item x="304"/>
        <item x="305"/>
        <item x="385"/>
        <item x="307"/>
        <item x="104"/>
        <item x="105"/>
        <item x="106"/>
        <item x="241"/>
        <item x="237"/>
        <item x="238"/>
        <item x="239"/>
        <item x="240"/>
        <item x="236"/>
        <item x="386"/>
        <item x="14"/>
        <item x="387"/>
        <item x="390"/>
        <item x="391"/>
        <item x="392"/>
        <item x="393"/>
        <item x="398"/>
        <item x="399"/>
        <item x="402"/>
        <item x="395"/>
        <item x="396"/>
        <item x="397"/>
        <item x="388"/>
        <item x="389"/>
        <item x="400"/>
        <item x="394"/>
        <item x="401"/>
        <item x="107"/>
        <item x="308"/>
        <item x="11"/>
        <item x="108"/>
        <item x="244"/>
        <item x="242"/>
        <item x="247"/>
        <item x="245"/>
        <item x="246"/>
        <item x="243"/>
        <item x="110"/>
        <item x="111"/>
        <item x="112"/>
        <item x="109"/>
        <item x="114"/>
        <item x="115"/>
        <item x="113"/>
        <item x="117"/>
        <item x="118"/>
        <item x="119"/>
        <item x="116"/>
        <item x="252"/>
        <item x="248"/>
        <item x="478"/>
        <item x="482"/>
        <item x="479"/>
        <item x="481"/>
        <item x="480"/>
        <item x="120"/>
        <item x="406"/>
        <item x="407"/>
        <item x="315"/>
        <item x="316"/>
        <item x="314"/>
        <item x="405"/>
        <item x="403"/>
        <item x="404"/>
        <item x="408"/>
        <item x="254"/>
        <item x="249"/>
        <item x="317"/>
        <item x="318"/>
        <item x="319"/>
        <item x="310"/>
        <item x="311"/>
        <item x="309"/>
        <item x="312"/>
        <item x="313"/>
        <item x="251"/>
        <item x="529"/>
        <item x="123"/>
        <item x="253"/>
        <item x="250"/>
        <item x="483"/>
        <item x="409"/>
        <item x="410"/>
        <item x="411"/>
        <item x="412"/>
        <item x="413"/>
        <item x="255"/>
        <item x="256"/>
        <item x="121"/>
        <item x="484"/>
        <item x="257"/>
        <item x="264"/>
        <item x="265"/>
        <item x="258"/>
        <item x="259"/>
        <item x="261"/>
        <item x="260"/>
        <item x="262"/>
        <item x="263"/>
        <item x="502"/>
        <item x="503"/>
        <item x="505"/>
        <item x="501"/>
        <item x="506"/>
        <item x="507"/>
        <item x="504"/>
        <item x="414"/>
        <item x="416"/>
        <item x="415"/>
        <item x="124"/>
        <item x="125"/>
        <item x="321"/>
        <item x="130"/>
        <item x="417"/>
        <item x="129"/>
        <item x="418"/>
        <item x="422"/>
        <item x="420"/>
        <item x="421"/>
        <item x="419"/>
        <item x="122"/>
        <item x="322"/>
        <item x="4"/>
        <item x="5"/>
        <item x="3"/>
        <item x="2"/>
        <item x="8"/>
        <item x="9"/>
        <item x="7"/>
        <item x="6"/>
        <item x="320"/>
        <item x="126"/>
        <item x="128"/>
        <item x="127"/>
        <item x="530"/>
        <item x="423"/>
        <item x="424"/>
        <item x="486"/>
        <item x="487"/>
        <item x="137"/>
        <item x="136"/>
        <item x="425"/>
        <item x="426"/>
        <item x="427"/>
        <item x="531"/>
        <item x="132"/>
        <item x="131"/>
        <item x="133"/>
        <item x="428"/>
        <item x="431"/>
        <item x="430"/>
        <item x="429"/>
        <item x="432"/>
        <item x="434"/>
        <item x="433"/>
        <item x="439"/>
        <item x="435"/>
        <item x="436"/>
        <item x="437"/>
        <item x="438"/>
        <item x="135"/>
        <item x="134"/>
        <item x="267"/>
        <item x="266"/>
        <item x="485"/>
        <item x="15"/>
        <item x="440"/>
        <item x="141"/>
        <item x="508"/>
        <item x="509"/>
        <item x="144"/>
        <item x="142"/>
        <item x="143"/>
        <item x="271"/>
        <item x="272"/>
        <item x="268"/>
        <item x="269"/>
        <item x="270"/>
        <item x="140"/>
        <item x="287"/>
        <item x="139"/>
        <item x="510"/>
        <item x="146"/>
        <item x="145"/>
        <item x="147"/>
        <item x="151"/>
        <item x="274"/>
        <item x="275"/>
        <item x="273"/>
        <item x="277"/>
        <item x="276"/>
        <item x="150"/>
        <item x="148"/>
        <item x="149"/>
        <item x="152"/>
        <item x="153"/>
        <item x="163"/>
        <item x="162"/>
        <item x="161"/>
        <item x="158"/>
        <item x="159"/>
        <item x="160"/>
        <item x="154"/>
        <item x="155"/>
        <item x="156"/>
        <item x="157"/>
        <item x="164"/>
        <item x="165"/>
        <item x="442"/>
        <item x="441"/>
        <item x="444"/>
        <item x="443"/>
        <item x="450"/>
        <item x="452"/>
        <item x="449"/>
        <item x="451"/>
        <item x="448"/>
        <item x="169"/>
        <item x="280"/>
        <item x="138"/>
        <item x="278"/>
        <item x="279"/>
        <item x="166"/>
        <item x="167"/>
        <item x="168"/>
        <item x="281"/>
        <item x="170"/>
        <item x="171"/>
        <item x="172"/>
        <item x="286"/>
        <item x="285"/>
        <item x="282"/>
        <item x="283"/>
        <item x="284"/>
        <item x="173"/>
        <item x="517"/>
        <item x="518"/>
        <item x="519"/>
        <item x="176"/>
        <item x="177"/>
        <item x="174"/>
        <item x="175"/>
        <item x="514"/>
        <item x="515"/>
        <item x="516"/>
        <item x="511"/>
        <item x="512"/>
        <item x="513"/>
        <item x="186"/>
        <item x="188"/>
        <item x="178"/>
        <item x="184"/>
        <item x="182"/>
        <item x="183"/>
        <item x="180"/>
        <item x="179"/>
        <item x="181"/>
        <item x="185"/>
        <item x="189"/>
        <item x="187"/>
        <item x="323"/>
        <item x="324"/>
        <item x="290"/>
        <item x="288"/>
        <item x="289"/>
        <item x="532"/>
        <item t="default"/>
      </items>
    </pivotField>
    <pivotField name="ORDEN DE COMPRA" outline="0" multipleItemSelectionAllowed="1" showAll="0"/>
    <pivotField name="CATALOGO" outline="0" multipleItemSelectionAllowed="1" showAll="0"/>
    <pivotField name="RENGLÓN" outline="0" multipleItemSelectionAllowed="1" showAll="0"/>
    <pivotField name="CANTIDAD COMPRADA" outline="0" multipleItemSelectionAllowed="1" showAll="0"/>
    <pivotField name="PRECIO UNITARIO" numFmtId="164" outline="0" multipleItemSelectionAllowed="1" showAll="0"/>
    <pivotField name="PRECIO TOTAL" numFmtId="164" outline="0" multipleItemSelectionAllowed="1" showAll="0"/>
    <pivotField name="BIENES EN STOCK" dataField="1" outline="0" multipleItemSelectionAllowed="1" showAll="0"/>
    <pivotField showAll="0" includeNewItemsInFilter="1" defaultSubtotal="0"/>
  </pivotFields>
  <rowFields count="2">
    <field x="0"/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BIENES EN STOCK" fld="8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4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12.6328125" defaultRowHeight="15" customHeight="1"/>
  <cols>
    <col min="1" max="1" width="14" bestFit="1" customWidth="1"/>
    <col min="2" max="2" width="112" bestFit="1" customWidth="1"/>
    <col min="3" max="3" width="22.08984375" bestFit="1" customWidth="1"/>
    <col min="4" max="4" width="14.6328125" bestFit="1" customWidth="1"/>
    <col min="5" max="5" width="13.453125" bestFit="1" customWidth="1"/>
    <col min="6" max="6" width="24.6328125" bestFit="1" customWidth="1"/>
    <col min="7" max="7" width="20.1796875" bestFit="1" customWidth="1"/>
    <col min="8" max="8" width="17.26953125" bestFit="1" customWidth="1"/>
    <col min="9" max="9" width="19.7265625" bestFit="1" customWidth="1"/>
    <col min="10" max="10" width="15.7265625" bestFit="1" customWidth="1"/>
  </cols>
  <sheetData>
    <row r="1" spans="1:10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ht="15.75" customHeight="1">
      <c r="A2" s="5" t="s">
        <v>10</v>
      </c>
      <c r="B2" s="6" t="s">
        <v>11</v>
      </c>
      <c r="C2" s="5" t="s">
        <v>12</v>
      </c>
      <c r="D2" s="7" t="s">
        <v>13</v>
      </c>
      <c r="E2" s="5">
        <v>1</v>
      </c>
      <c r="F2" s="8">
        <v>13</v>
      </c>
      <c r="G2" s="9">
        <v>907100</v>
      </c>
      <c r="H2" s="10">
        <f t="shared" ref="H2:H625" si="0">F2*G2</f>
        <v>11792300</v>
      </c>
      <c r="I2" s="5">
        <f>F2-SUMIFS(Pedidos!G:G, Pedidos!D:D, C2, Pedidos!E:E, E2, Pedidos!F:F, B2)</f>
        <v>8</v>
      </c>
      <c r="J2" s="10">
        <f t="shared" ref="J2:J625" si="1">I2*G2</f>
        <v>7256800</v>
      </c>
    </row>
    <row r="3" spans="1:10" ht="15.75" customHeight="1">
      <c r="A3" s="5" t="s">
        <v>10</v>
      </c>
      <c r="B3" s="6" t="s">
        <v>14</v>
      </c>
      <c r="C3" s="5" t="s">
        <v>15</v>
      </c>
      <c r="D3" s="5" t="s">
        <v>16</v>
      </c>
      <c r="E3" s="5">
        <v>2</v>
      </c>
      <c r="F3" s="8">
        <v>11</v>
      </c>
      <c r="G3" s="9">
        <v>1413000</v>
      </c>
      <c r="H3" s="10">
        <f t="shared" si="0"/>
        <v>15543000</v>
      </c>
      <c r="I3" s="5">
        <f>F3-SUMIFS(Pedidos!G:G, Pedidos!D:D, C3, Pedidos!E:E, E3, Pedidos!F:F, B3)</f>
        <v>4</v>
      </c>
      <c r="J3" s="10">
        <f t="shared" si="1"/>
        <v>5652000</v>
      </c>
    </row>
    <row r="4" spans="1:10" ht="15.75" customHeight="1">
      <c r="A4" s="5" t="s">
        <v>10</v>
      </c>
      <c r="B4" s="6" t="s">
        <v>17</v>
      </c>
      <c r="C4" s="5" t="s">
        <v>18</v>
      </c>
      <c r="D4" s="5" t="s">
        <v>19</v>
      </c>
      <c r="E4" s="5">
        <v>3</v>
      </c>
      <c r="F4" s="8">
        <v>4</v>
      </c>
      <c r="G4" s="9">
        <v>201000</v>
      </c>
      <c r="H4" s="10">
        <f t="shared" si="0"/>
        <v>804000</v>
      </c>
      <c r="I4" s="5">
        <f>F4-SUMIFS(Pedidos!G:G, Pedidos!D:D, C4, Pedidos!E:E, E4, Pedidos!F:F, B4)</f>
        <v>2</v>
      </c>
      <c r="J4" s="10">
        <f t="shared" si="1"/>
        <v>402000</v>
      </c>
    </row>
    <row r="5" spans="1:10" ht="15.75" customHeight="1">
      <c r="A5" s="5" t="s">
        <v>10</v>
      </c>
      <c r="B5" s="6" t="s">
        <v>20</v>
      </c>
      <c r="C5" s="5" t="s">
        <v>18</v>
      </c>
      <c r="D5" s="5" t="s">
        <v>21</v>
      </c>
      <c r="E5" s="5">
        <v>4</v>
      </c>
      <c r="F5" s="8">
        <v>4</v>
      </c>
      <c r="G5" s="9">
        <v>112000</v>
      </c>
      <c r="H5" s="10">
        <f t="shared" si="0"/>
        <v>448000</v>
      </c>
      <c r="I5" s="5">
        <f>F5-SUMIFS(Pedidos!G:G, Pedidos!D:D, C5, Pedidos!E:E, E5, Pedidos!F:F, B5)</f>
        <v>4</v>
      </c>
      <c r="J5" s="10">
        <f t="shared" si="1"/>
        <v>448000</v>
      </c>
    </row>
    <row r="6" spans="1:10" ht="15.75" customHeight="1">
      <c r="A6" s="5" t="s">
        <v>10</v>
      </c>
      <c r="B6" s="6" t="s">
        <v>22</v>
      </c>
      <c r="C6" s="5" t="s">
        <v>18</v>
      </c>
      <c r="D6" s="5" t="s">
        <v>23</v>
      </c>
      <c r="E6" s="5">
        <v>5</v>
      </c>
      <c r="F6" s="8">
        <v>5</v>
      </c>
      <c r="G6" s="9">
        <v>157000</v>
      </c>
      <c r="H6" s="10">
        <f t="shared" si="0"/>
        <v>785000</v>
      </c>
      <c r="I6" s="5">
        <f>F6-SUMIFS(Pedidos!G:G, Pedidos!D:D, C6, Pedidos!E:E, E6, Pedidos!F:F, B6)</f>
        <v>2</v>
      </c>
      <c r="J6" s="10">
        <f t="shared" si="1"/>
        <v>314000</v>
      </c>
    </row>
    <row r="7" spans="1:10" ht="15.75" customHeight="1">
      <c r="A7" s="5" t="s">
        <v>10</v>
      </c>
      <c r="B7" s="6" t="s">
        <v>24</v>
      </c>
      <c r="C7" s="5" t="s">
        <v>18</v>
      </c>
      <c r="D7" s="5" t="s">
        <v>25</v>
      </c>
      <c r="E7" s="5">
        <v>6</v>
      </c>
      <c r="F7" s="8">
        <v>5</v>
      </c>
      <c r="G7" s="9">
        <v>73000</v>
      </c>
      <c r="H7" s="10">
        <f t="shared" si="0"/>
        <v>365000</v>
      </c>
      <c r="I7" s="5">
        <f>F7-SUMIFS(Pedidos!G:G, Pedidos!D:D, C7, Pedidos!E:E, E7, Pedidos!F:F, B7)</f>
        <v>0</v>
      </c>
      <c r="J7" s="10">
        <f t="shared" si="1"/>
        <v>0</v>
      </c>
    </row>
    <row r="8" spans="1:10" ht="15.75" customHeight="1">
      <c r="A8" s="5" t="s">
        <v>10</v>
      </c>
      <c r="B8" s="6" t="s">
        <v>26</v>
      </c>
      <c r="C8" s="5" t="s">
        <v>18</v>
      </c>
      <c r="D8" s="5" t="s">
        <v>27</v>
      </c>
      <c r="E8" s="5">
        <v>7</v>
      </c>
      <c r="F8" s="8">
        <v>33</v>
      </c>
      <c r="G8" s="9">
        <v>2990</v>
      </c>
      <c r="H8" s="10">
        <f t="shared" si="0"/>
        <v>98670</v>
      </c>
      <c r="I8" s="5">
        <f>F8-SUMIFS(Pedidos!G:G, Pedidos!D:D, C8, Pedidos!E:E, E8, Pedidos!F:F, B8)</f>
        <v>17</v>
      </c>
      <c r="J8" s="10">
        <f t="shared" si="1"/>
        <v>50830</v>
      </c>
    </row>
    <row r="9" spans="1:10" ht="15.75" customHeight="1">
      <c r="A9" s="5" t="s">
        <v>10</v>
      </c>
      <c r="B9" s="6" t="s">
        <v>28</v>
      </c>
      <c r="C9" s="5" t="s">
        <v>18</v>
      </c>
      <c r="D9" s="5" t="s">
        <v>29</v>
      </c>
      <c r="E9" s="5">
        <v>8</v>
      </c>
      <c r="F9" s="8">
        <v>33</v>
      </c>
      <c r="G9" s="9">
        <v>2300</v>
      </c>
      <c r="H9" s="10">
        <f t="shared" si="0"/>
        <v>75900</v>
      </c>
      <c r="I9" s="5">
        <f>F9-SUMIFS(Pedidos!G:G, Pedidos!D:D, C9, Pedidos!E:E, E9, Pedidos!F:F, B9)</f>
        <v>24</v>
      </c>
      <c r="J9" s="10">
        <f t="shared" si="1"/>
        <v>55200</v>
      </c>
    </row>
    <row r="10" spans="1:10" ht="15.75" customHeight="1">
      <c r="A10" s="5" t="s">
        <v>10</v>
      </c>
      <c r="B10" s="6" t="s">
        <v>30</v>
      </c>
      <c r="C10" s="5" t="s">
        <v>18</v>
      </c>
      <c r="D10" s="5" t="s">
        <v>31</v>
      </c>
      <c r="E10" s="5">
        <v>9</v>
      </c>
      <c r="F10" s="8">
        <v>42</v>
      </c>
      <c r="G10" s="9">
        <v>2590</v>
      </c>
      <c r="H10" s="10">
        <f t="shared" si="0"/>
        <v>108780</v>
      </c>
      <c r="I10" s="5">
        <f>F10-SUMIFS(Pedidos!G:G, Pedidos!D:D, C10, Pedidos!E:E, E10, Pedidos!F:F, B10)</f>
        <v>22</v>
      </c>
      <c r="J10" s="10">
        <f t="shared" si="1"/>
        <v>56980</v>
      </c>
    </row>
    <row r="11" spans="1:10" ht="15.75" customHeight="1">
      <c r="A11" s="5" t="s">
        <v>10</v>
      </c>
      <c r="B11" s="6" t="s">
        <v>32</v>
      </c>
      <c r="C11" s="5" t="s">
        <v>18</v>
      </c>
      <c r="D11" s="5" t="s">
        <v>33</v>
      </c>
      <c r="E11" s="5">
        <v>10</v>
      </c>
      <c r="F11" s="8">
        <v>42</v>
      </c>
      <c r="G11" s="9">
        <v>1630</v>
      </c>
      <c r="H11" s="10">
        <f t="shared" si="0"/>
        <v>68460</v>
      </c>
      <c r="I11" s="5">
        <f>F11-SUMIFS(Pedidos!G:G, Pedidos!D:D, C11, Pedidos!E:E, E11, Pedidos!F:F, B11)</f>
        <v>13</v>
      </c>
      <c r="J11" s="10">
        <f t="shared" si="1"/>
        <v>21190</v>
      </c>
    </row>
    <row r="12" spans="1:10" ht="15.75" customHeight="1">
      <c r="A12" s="5" t="s">
        <v>10</v>
      </c>
      <c r="B12" s="6" t="s">
        <v>34</v>
      </c>
      <c r="C12" s="5" t="s">
        <v>18</v>
      </c>
      <c r="D12" s="5" t="s">
        <v>35</v>
      </c>
      <c r="E12" s="5">
        <v>11</v>
      </c>
      <c r="F12" s="8">
        <v>24</v>
      </c>
      <c r="G12" s="9">
        <v>4000</v>
      </c>
      <c r="H12" s="10">
        <f t="shared" si="0"/>
        <v>96000</v>
      </c>
      <c r="I12" s="5">
        <f>F12-SUMIFS(Pedidos!G:G, Pedidos!D:D, C12, Pedidos!E:E, E12, Pedidos!F:F, B12)</f>
        <v>5</v>
      </c>
      <c r="J12" s="10">
        <f t="shared" si="1"/>
        <v>20000</v>
      </c>
    </row>
    <row r="13" spans="1:10" ht="15.75" customHeight="1">
      <c r="A13" s="5" t="s">
        <v>10</v>
      </c>
      <c r="B13" s="6" t="s">
        <v>36</v>
      </c>
      <c r="C13" s="5" t="s">
        <v>18</v>
      </c>
      <c r="D13" s="5" t="s">
        <v>37</v>
      </c>
      <c r="E13" s="5">
        <v>13</v>
      </c>
      <c r="F13" s="8">
        <v>24</v>
      </c>
      <c r="G13" s="9">
        <v>19200</v>
      </c>
      <c r="H13" s="10">
        <f t="shared" si="0"/>
        <v>460800</v>
      </c>
      <c r="I13" s="5">
        <f>F13-SUMIFS(Pedidos!G:G, Pedidos!D:D, C13, Pedidos!E:E, E13, Pedidos!F:F, B13)</f>
        <v>21</v>
      </c>
      <c r="J13" s="10">
        <f t="shared" si="1"/>
        <v>403200</v>
      </c>
    </row>
    <row r="14" spans="1:10" ht="15.75" customHeight="1">
      <c r="A14" s="5" t="s">
        <v>10</v>
      </c>
      <c r="B14" s="6" t="s">
        <v>38</v>
      </c>
      <c r="C14" s="5" t="s">
        <v>18</v>
      </c>
      <c r="D14" s="5" t="s">
        <v>39</v>
      </c>
      <c r="E14" s="5">
        <v>14</v>
      </c>
      <c r="F14" s="8">
        <v>6</v>
      </c>
      <c r="G14" s="9">
        <v>252000</v>
      </c>
      <c r="H14" s="10">
        <f t="shared" si="0"/>
        <v>1512000</v>
      </c>
      <c r="I14" s="5">
        <f>F14-SUMIFS(Pedidos!G:G, Pedidos!D:D, C14, Pedidos!E:E, E14, Pedidos!F:F, B14)</f>
        <v>5</v>
      </c>
      <c r="J14" s="10">
        <f t="shared" si="1"/>
        <v>1260000</v>
      </c>
    </row>
    <row r="15" spans="1:10" ht="15.75" customHeight="1">
      <c r="A15" s="5" t="s">
        <v>10</v>
      </c>
      <c r="B15" s="6" t="s">
        <v>40</v>
      </c>
      <c r="C15" s="5" t="s">
        <v>18</v>
      </c>
      <c r="D15" s="5" t="s">
        <v>41</v>
      </c>
      <c r="E15" s="5">
        <v>15</v>
      </c>
      <c r="F15" s="8">
        <v>6</v>
      </c>
      <c r="G15" s="9">
        <v>440235</v>
      </c>
      <c r="H15" s="10">
        <f t="shared" si="0"/>
        <v>2641410</v>
      </c>
      <c r="I15" s="5">
        <f>F15-SUMIFS(Pedidos!G:G, Pedidos!D:D, C15, Pedidos!E:E, E15, Pedidos!F:F, B15)</f>
        <v>5</v>
      </c>
      <c r="J15" s="10">
        <f t="shared" si="1"/>
        <v>2201175</v>
      </c>
    </row>
    <row r="16" spans="1:10" ht="15.75" customHeight="1">
      <c r="A16" s="5" t="s">
        <v>10</v>
      </c>
      <c r="B16" s="6" t="s">
        <v>42</v>
      </c>
      <c r="C16" s="5" t="s">
        <v>18</v>
      </c>
      <c r="D16" s="5" t="s">
        <v>43</v>
      </c>
      <c r="E16" s="5">
        <v>16</v>
      </c>
      <c r="F16" s="8">
        <v>150</v>
      </c>
      <c r="G16" s="9">
        <f>62000/50</f>
        <v>1240</v>
      </c>
      <c r="H16" s="10">
        <f t="shared" si="0"/>
        <v>186000</v>
      </c>
      <c r="I16" s="5">
        <f>F16-SUMIFS(Pedidos!G:G, Pedidos!D:D, C16, Pedidos!E:E, E16, Pedidos!F:F, B16)</f>
        <v>125</v>
      </c>
      <c r="J16" s="10">
        <f t="shared" si="1"/>
        <v>155000</v>
      </c>
    </row>
    <row r="17" spans="1:10" ht="15.75" customHeight="1">
      <c r="A17" s="5" t="s">
        <v>10</v>
      </c>
      <c r="B17" s="6" t="s">
        <v>44</v>
      </c>
      <c r="C17" s="5" t="s">
        <v>18</v>
      </c>
      <c r="D17" s="5" t="s">
        <v>45</v>
      </c>
      <c r="E17" s="5">
        <v>17</v>
      </c>
      <c r="F17" s="8">
        <v>24</v>
      </c>
      <c r="G17" s="9">
        <v>2850</v>
      </c>
      <c r="H17" s="10">
        <f t="shared" si="0"/>
        <v>68400</v>
      </c>
      <c r="I17" s="5">
        <f>F17-SUMIFS(Pedidos!G:G, Pedidos!D:D, C17, Pedidos!E:E, E17, Pedidos!F:F, B17)</f>
        <v>13</v>
      </c>
      <c r="J17" s="10">
        <f t="shared" si="1"/>
        <v>37050</v>
      </c>
    </row>
    <row r="18" spans="1:10" ht="15.75" customHeight="1">
      <c r="A18" s="5" t="s">
        <v>10</v>
      </c>
      <c r="B18" s="6" t="s">
        <v>46</v>
      </c>
      <c r="C18" s="5" t="s">
        <v>18</v>
      </c>
      <c r="D18" s="5" t="s">
        <v>47</v>
      </c>
      <c r="E18" s="5">
        <v>18</v>
      </c>
      <c r="F18" s="8">
        <f t="shared" ref="F18:F19" si="2">7*200</f>
        <v>1400</v>
      </c>
      <c r="G18" s="9">
        <f>6400/200</f>
        <v>32</v>
      </c>
      <c r="H18" s="10">
        <f t="shared" si="0"/>
        <v>44800</v>
      </c>
      <c r="I18" s="5">
        <f>F18-SUMIFS(Pedidos!G:G, Pedidos!D:D, C18, Pedidos!E:E, E18, Pedidos!F:F, B18)</f>
        <v>1160</v>
      </c>
      <c r="J18" s="10">
        <f t="shared" si="1"/>
        <v>37120</v>
      </c>
    </row>
    <row r="19" spans="1:10" ht="15.75" customHeight="1">
      <c r="A19" s="5" t="s">
        <v>10</v>
      </c>
      <c r="B19" s="6" t="s">
        <v>48</v>
      </c>
      <c r="C19" s="5" t="s">
        <v>18</v>
      </c>
      <c r="D19" s="5" t="s">
        <v>47</v>
      </c>
      <c r="E19" s="5">
        <v>19</v>
      </c>
      <c r="F19" s="8">
        <f t="shared" si="2"/>
        <v>1400</v>
      </c>
      <c r="G19" s="9">
        <f>13500/200</f>
        <v>67.5</v>
      </c>
      <c r="H19" s="10">
        <f t="shared" si="0"/>
        <v>94500</v>
      </c>
      <c r="I19" s="5">
        <f>F19-SUMIFS(Pedidos!G:G, Pedidos!D:D, C19, Pedidos!E:E, E19, Pedidos!F:F, B19)</f>
        <v>1224</v>
      </c>
      <c r="J19" s="10">
        <f t="shared" si="1"/>
        <v>82620</v>
      </c>
    </row>
    <row r="20" spans="1:10" ht="15.75" customHeight="1">
      <c r="A20" s="5" t="s">
        <v>10</v>
      </c>
      <c r="B20" s="6" t="s">
        <v>49</v>
      </c>
      <c r="C20" s="5" t="s">
        <v>18</v>
      </c>
      <c r="D20" s="5" t="s">
        <v>50</v>
      </c>
      <c r="E20" s="5">
        <v>20</v>
      </c>
      <c r="F20" s="8">
        <v>1400</v>
      </c>
      <c r="G20" s="9">
        <f>23350/200</f>
        <v>116.75</v>
      </c>
      <c r="H20" s="10">
        <f t="shared" si="0"/>
        <v>163450</v>
      </c>
      <c r="I20" s="5">
        <f>F20-SUMIFS(Pedidos!G:G, Pedidos!D:D, C20, Pedidos!E:E, E20, Pedidos!F:F, B20)</f>
        <v>1224</v>
      </c>
      <c r="J20" s="10">
        <f t="shared" si="1"/>
        <v>142902</v>
      </c>
    </row>
    <row r="21" spans="1:10" ht="15.75" customHeight="1">
      <c r="A21" s="5" t="s">
        <v>10</v>
      </c>
      <c r="B21" s="6" t="s">
        <v>51</v>
      </c>
      <c r="C21" s="5" t="s">
        <v>18</v>
      </c>
      <c r="D21" s="5" t="s">
        <v>52</v>
      </c>
      <c r="E21" s="5">
        <v>21</v>
      </c>
      <c r="F21" s="8">
        <v>1400</v>
      </c>
      <c r="G21" s="9">
        <f>15400/200</f>
        <v>77</v>
      </c>
      <c r="H21" s="10">
        <f t="shared" si="0"/>
        <v>107800</v>
      </c>
      <c r="I21" s="5">
        <f>F21-SUMIFS(Pedidos!G:G, Pedidos!D:D, C21, Pedidos!E:E, E21, Pedidos!F:F, B21)</f>
        <v>1160</v>
      </c>
      <c r="J21" s="10">
        <f t="shared" si="1"/>
        <v>89320</v>
      </c>
    </row>
    <row r="22" spans="1:10" ht="15.75" customHeight="1">
      <c r="A22" s="5" t="s">
        <v>10</v>
      </c>
      <c r="B22" s="6" t="s">
        <v>53</v>
      </c>
      <c r="C22" s="5" t="s">
        <v>18</v>
      </c>
      <c r="D22" s="5" t="s">
        <v>54</v>
      </c>
      <c r="E22" s="5">
        <v>22</v>
      </c>
      <c r="F22" s="8">
        <f t="shared" ref="F22:F23" si="3">7*200</f>
        <v>1400</v>
      </c>
      <c r="G22" s="9">
        <f>8900/200</f>
        <v>44.5</v>
      </c>
      <c r="H22" s="10">
        <f t="shared" si="0"/>
        <v>62300</v>
      </c>
      <c r="I22" s="5">
        <f>F22-SUMIFS(Pedidos!G:G, Pedidos!D:D, C22, Pedidos!E:E, E22, Pedidos!F:F, B22)</f>
        <v>1224</v>
      </c>
      <c r="J22" s="10">
        <f t="shared" si="1"/>
        <v>54468</v>
      </c>
    </row>
    <row r="23" spans="1:10" ht="15.75" customHeight="1">
      <c r="A23" s="5" t="s">
        <v>10</v>
      </c>
      <c r="B23" s="6" t="s">
        <v>55</v>
      </c>
      <c r="C23" s="5" t="s">
        <v>18</v>
      </c>
      <c r="D23" s="5" t="s">
        <v>56</v>
      </c>
      <c r="E23" s="5">
        <v>23</v>
      </c>
      <c r="F23" s="8">
        <f t="shared" si="3"/>
        <v>1400</v>
      </c>
      <c r="G23" s="9">
        <f>6000/200</f>
        <v>30</v>
      </c>
      <c r="H23" s="10">
        <f t="shared" si="0"/>
        <v>42000</v>
      </c>
      <c r="I23" s="5">
        <f>F23-SUMIFS(Pedidos!G:G, Pedidos!D:D, C23, Pedidos!E:E, E23, Pedidos!F:F, B23)</f>
        <v>1160</v>
      </c>
      <c r="J23" s="10">
        <f t="shared" si="1"/>
        <v>34800</v>
      </c>
    </row>
    <row r="24" spans="1:10" ht="15.75" customHeight="1">
      <c r="A24" s="5" t="s">
        <v>57</v>
      </c>
      <c r="B24" s="6" t="s">
        <v>58</v>
      </c>
      <c r="C24" s="5" t="s">
        <v>59</v>
      </c>
      <c r="D24" s="5" t="s">
        <v>60</v>
      </c>
      <c r="E24" s="5">
        <v>19</v>
      </c>
      <c r="F24" s="8">
        <v>10</v>
      </c>
      <c r="G24" s="9">
        <v>10500</v>
      </c>
      <c r="H24" s="10">
        <f t="shared" si="0"/>
        <v>105000</v>
      </c>
      <c r="I24" s="5">
        <f>F24-SUMIFS(Pedidos!G:G, Pedidos!D:D, C24, Pedidos!E:E, E24, Pedidos!F:F, B24)</f>
        <v>6</v>
      </c>
      <c r="J24" s="10">
        <f t="shared" si="1"/>
        <v>63000</v>
      </c>
    </row>
    <row r="25" spans="1:10" ht="15.75" customHeight="1">
      <c r="A25" s="5" t="s">
        <v>57</v>
      </c>
      <c r="B25" s="6" t="s">
        <v>61</v>
      </c>
      <c r="C25" s="11" t="s">
        <v>62</v>
      </c>
      <c r="D25" s="5"/>
      <c r="E25" s="12" t="s">
        <v>63</v>
      </c>
      <c r="F25" s="8">
        <v>1</v>
      </c>
      <c r="G25" s="9">
        <v>73</v>
      </c>
      <c r="H25" s="10">
        <f t="shared" si="0"/>
        <v>73</v>
      </c>
      <c r="I25" s="5">
        <f>F25-SUMIFS(Pedidos!G:G, Pedidos!D:D, C25, Pedidos!E:E, E25, Pedidos!F:F, B25)</f>
        <v>1</v>
      </c>
      <c r="J25" s="10">
        <f t="shared" si="1"/>
        <v>73</v>
      </c>
    </row>
    <row r="26" spans="1:10" ht="15.75" customHeight="1">
      <c r="A26" s="5" t="s">
        <v>57</v>
      </c>
      <c r="B26" s="6" t="s">
        <v>64</v>
      </c>
      <c r="C26" s="11" t="s">
        <v>62</v>
      </c>
      <c r="D26" s="5" t="s">
        <v>65</v>
      </c>
      <c r="E26" s="12" t="s">
        <v>63</v>
      </c>
      <c r="F26" s="8">
        <v>27</v>
      </c>
      <c r="G26" s="9">
        <v>1.2</v>
      </c>
      <c r="H26" s="10">
        <f t="shared" si="0"/>
        <v>32.4</v>
      </c>
      <c r="I26" s="5">
        <f>F26-SUMIFS(Pedidos!G:G, Pedidos!D:D, C26, Pedidos!E:E, E26, Pedidos!F:F, B26)</f>
        <v>27</v>
      </c>
      <c r="J26" s="10">
        <f t="shared" si="1"/>
        <v>32.4</v>
      </c>
    </row>
    <row r="27" spans="1:10" ht="15.75" customHeight="1">
      <c r="A27" s="5" t="s">
        <v>57</v>
      </c>
      <c r="B27" s="6" t="s">
        <v>66</v>
      </c>
      <c r="C27" s="11" t="s">
        <v>62</v>
      </c>
      <c r="D27" s="5" t="s">
        <v>67</v>
      </c>
      <c r="E27" s="12" t="s">
        <v>63</v>
      </c>
      <c r="F27" s="8">
        <v>9</v>
      </c>
      <c r="G27" s="9">
        <v>0.5</v>
      </c>
      <c r="H27" s="10">
        <f t="shared" si="0"/>
        <v>4.5</v>
      </c>
      <c r="I27" s="5">
        <f>F27-SUMIFS(Pedidos!G:G, Pedidos!D:D, C27, Pedidos!E:E, E27, Pedidos!F:F, B27)</f>
        <v>9</v>
      </c>
      <c r="J27" s="10">
        <f t="shared" si="1"/>
        <v>4.5</v>
      </c>
    </row>
    <row r="28" spans="1:10" ht="15.75" customHeight="1">
      <c r="A28" s="5" t="s">
        <v>57</v>
      </c>
      <c r="B28" s="6" t="s">
        <v>66</v>
      </c>
      <c r="C28" s="11" t="s">
        <v>68</v>
      </c>
      <c r="D28" s="5" t="s">
        <v>67</v>
      </c>
      <c r="E28" s="12" t="s">
        <v>63</v>
      </c>
      <c r="F28" s="8">
        <v>52</v>
      </c>
      <c r="G28" s="9">
        <v>1.5</v>
      </c>
      <c r="H28" s="10">
        <f t="shared" si="0"/>
        <v>78</v>
      </c>
      <c r="I28" s="5">
        <f>F28-SUMIFS(Pedidos!G:G, Pedidos!D:D, C28, Pedidos!E:E, E28, Pedidos!F:F, B28)</f>
        <v>52</v>
      </c>
      <c r="J28" s="10">
        <f t="shared" si="1"/>
        <v>78</v>
      </c>
    </row>
    <row r="29" spans="1:10" ht="15.75" customHeight="1">
      <c r="A29" s="5" t="s">
        <v>57</v>
      </c>
      <c r="B29" s="6" t="s">
        <v>69</v>
      </c>
      <c r="C29" s="5" t="s">
        <v>70</v>
      </c>
      <c r="D29" s="7" t="s">
        <v>71</v>
      </c>
      <c r="E29" s="5">
        <v>8</v>
      </c>
      <c r="F29" s="8">
        <v>100</v>
      </c>
      <c r="G29" s="9">
        <v>1234.2</v>
      </c>
      <c r="H29" s="10">
        <f t="shared" si="0"/>
        <v>123420</v>
      </c>
      <c r="I29" s="5">
        <f>F29-SUMIFS(Pedidos!G:G, Pedidos!D:D, C29, Pedidos!E:E, E29, Pedidos!F:F, B29)</f>
        <v>100</v>
      </c>
      <c r="J29" s="10">
        <f t="shared" si="1"/>
        <v>123420</v>
      </c>
    </row>
    <row r="30" spans="1:10" ht="15.75" customHeight="1">
      <c r="A30" s="5" t="s">
        <v>57</v>
      </c>
      <c r="B30" s="6" t="s">
        <v>72</v>
      </c>
      <c r="C30" s="5" t="s">
        <v>70</v>
      </c>
      <c r="D30" s="5" t="s">
        <v>73</v>
      </c>
      <c r="E30" s="5">
        <v>5</v>
      </c>
      <c r="F30" s="8">
        <v>50</v>
      </c>
      <c r="G30" s="9">
        <v>2912.71</v>
      </c>
      <c r="H30" s="10">
        <f t="shared" si="0"/>
        <v>145635.5</v>
      </c>
      <c r="I30" s="5">
        <f>F30-SUMIFS(Pedidos!G:G, Pedidos!D:D, C30, Pedidos!E:E, E30, Pedidos!F:F, B30)</f>
        <v>46</v>
      </c>
      <c r="J30" s="10">
        <f t="shared" si="1"/>
        <v>133984.66</v>
      </c>
    </row>
    <row r="31" spans="1:10" ht="15.75" customHeight="1">
      <c r="A31" s="5" t="s">
        <v>57</v>
      </c>
      <c r="B31" s="6" t="s">
        <v>74</v>
      </c>
      <c r="C31" s="11" t="s">
        <v>62</v>
      </c>
      <c r="D31" s="13" t="s">
        <v>75</v>
      </c>
      <c r="E31" s="12" t="s">
        <v>63</v>
      </c>
      <c r="F31" s="8">
        <v>5</v>
      </c>
      <c r="G31" s="9">
        <v>11</v>
      </c>
      <c r="H31" s="10">
        <f t="shared" si="0"/>
        <v>55</v>
      </c>
      <c r="I31" s="5">
        <f>F31-SUMIFS(Pedidos!G:G, Pedidos!D:D, C31, Pedidos!E:E, E31, Pedidos!F:F, B31)</f>
        <v>5</v>
      </c>
      <c r="J31" s="10">
        <f t="shared" si="1"/>
        <v>55</v>
      </c>
    </row>
    <row r="32" spans="1:10" ht="15.75" customHeight="1">
      <c r="A32" s="5" t="s">
        <v>57</v>
      </c>
      <c r="B32" s="6" t="s">
        <v>74</v>
      </c>
      <c r="C32" s="11" t="s">
        <v>68</v>
      </c>
      <c r="D32" s="13" t="s">
        <v>75</v>
      </c>
      <c r="E32" s="12" t="s">
        <v>63</v>
      </c>
      <c r="F32" s="8">
        <v>14</v>
      </c>
      <c r="G32" s="9">
        <v>22.02</v>
      </c>
      <c r="H32" s="10">
        <f t="shared" si="0"/>
        <v>308.27999999999997</v>
      </c>
      <c r="I32" s="5">
        <f>F32-SUMIFS(Pedidos!G:G, Pedidos!D:D, C32, Pedidos!E:E, E32, Pedidos!F:F, B32)</f>
        <v>14</v>
      </c>
      <c r="J32" s="10">
        <f t="shared" si="1"/>
        <v>308.27999999999997</v>
      </c>
    </row>
    <row r="33" spans="1:10" ht="15.75" customHeight="1">
      <c r="A33" s="5" t="s">
        <v>57</v>
      </c>
      <c r="B33" s="6" t="s">
        <v>76</v>
      </c>
      <c r="C33" s="11" t="s">
        <v>62</v>
      </c>
      <c r="D33" s="5"/>
      <c r="E33" s="12" t="s">
        <v>63</v>
      </c>
      <c r="F33" s="8">
        <v>11</v>
      </c>
      <c r="G33" s="9">
        <v>66</v>
      </c>
      <c r="H33" s="10">
        <f t="shared" si="0"/>
        <v>726</v>
      </c>
      <c r="I33" s="5">
        <f>F33-SUMIFS(Pedidos!G:G, Pedidos!D:D, C33, Pedidos!E:E, E33, Pedidos!F:F, B33)</f>
        <v>11</v>
      </c>
      <c r="J33" s="10">
        <f t="shared" si="1"/>
        <v>726</v>
      </c>
    </row>
    <row r="34" spans="1:10" ht="15.75" customHeight="1">
      <c r="A34" s="5" t="s">
        <v>57</v>
      </c>
      <c r="B34" s="6" t="s">
        <v>77</v>
      </c>
      <c r="C34" s="11" t="s">
        <v>62</v>
      </c>
      <c r="D34" s="5"/>
      <c r="E34" s="12" t="s">
        <v>63</v>
      </c>
      <c r="F34" s="8">
        <v>12</v>
      </c>
      <c r="G34" s="9">
        <v>198</v>
      </c>
      <c r="H34" s="10">
        <f t="shared" si="0"/>
        <v>2376</v>
      </c>
      <c r="I34" s="5">
        <f>F34-SUMIFS(Pedidos!G:G, Pedidos!D:D, C34, Pedidos!E:E, E34, Pedidos!F:F, B34)</f>
        <v>12</v>
      </c>
      <c r="J34" s="10">
        <f t="shared" si="1"/>
        <v>2376</v>
      </c>
    </row>
    <row r="35" spans="1:10" ht="15.75" customHeight="1">
      <c r="A35" s="5" t="s">
        <v>57</v>
      </c>
      <c r="B35" s="6" t="s">
        <v>78</v>
      </c>
      <c r="C35" s="11" t="s">
        <v>62</v>
      </c>
      <c r="D35" s="5"/>
      <c r="E35" s="12" t="s">
        <v>63</v>
      </c>
      <c r="F35" s="8">
        <v>9</v>
      </c>
      <c r="G35" s="9">
        <v>57</v>
      </c>
      <c r="H35" s="10">
        <f t="shared" si="0"/>
        <v>513</v>
      </c>
      <c r="I35" s="5">
        <f>F35-SUMIFS(Pedidos!G:G, Pedidos!D:D, C35, Pedidos!E:E, E35, Pedidos!F:F, B35)</f>
        <v>9</v>
      </c>
      <c r="J35" s="10">
        <f t="shared" si="1"/>
        <v>513</v>
      </c>
    </row>
    <row r="36" spans="1:10" ht="15.75" customHeight="1">
      <c r="A36" s="5" t="s">
        <v>57</v>
      </c>
      <c r="B36" s="6" t="s">
        <v>79</v>
      </c>
      <c r="C36" s="11" t="s">
        <v>62</v>
      </c>
      <c r="D36" s="13" t="s">
        <v>80</v>
      </c>
      <c r="E36" s="12" t="s">
        <v>63</v>
      </c>
      <c r="F36" s="8">
        <v>21</v>
      </c>
      <c r="G36" s="9">
        <v>0.43</v>
      </c>
      <c r="H36" s="10">
        <f t="shared" si="0"/>
        <v>9.0299999999999994</v>
      </c>
      <c r="I36" s="5">
        <f>F36-SUMIFS(Pedidos!G:G, Pedidos!D:D, C36, Pedidos!E:E, E36, Pedidos!F:F, B36)</f>
        <v>21</v>
      </c>
      <c r="J36" s="10">
        <f t="shared" si="1"/>
        <v>9.0299999999999994</v>
      </c>
    </row>
    <row r="37" spans="1:10" ht="15.75" customHeight="1">
      <c r="A37" s="5" t="s">
        <v>57</v>
      </c>
      <c r="B37" s="6" t="s">
        <v>81</v>
      </c>
      <c r="C37" s="11" t="s">
        <v>62</v>
      </c>
      <c r="D37" s="13" t="s">
        <v>82</v>
      </c>
      <c r="E37" s="12" t="s">
        <v>63</v>
      </c>
      <c r="F37" s="8">
        <v>22</v>
      </c>
      <c r="G37" s="9">
        <v>0.6</v>
      </c>
      <c r="H37" s="10">
        <f t="shared" si="0"/>
        <v>13.2</v>
      </c>
      <c r="I37" s="5">
        <f>F37-SUMIFS(Pedidos!G:G, Pedidos!D:D, C37, Pedidos!E:E, E37, Pedidos!F:F, B37)</f>
        <v>22</v>
      </c>
      <c r="J37" s="10">
        <f t="shared" si="1"/>
        <v>13.2</v>
      </c>
    </row>
    <row r="38" spans="1:10" ht="15.75" customHeight="1">
      <c r="A38" s="5" t="s">
        <v>57</v>
      </c>
      <c r="B38" s="6" t="s">
        <v>83</v>
      </c>
      <c r="C38" s="11" t="s">
        <v>62</v>
      </c>
      <c r="D38" s="13" t="s">
        <v>82</v>
      </c>
      <c r="E38" s="12" t="s">
        <v>63</v>
      </c>
      <c r="F38" s="8">
        <v>20</v>
      </c>
      <c r="G38" s="9">
        <v>0.85</v>
      </c>
      <c r="H38" s="10">
        <f t="shared" si="0"/>
        <v>17</v>
      </c>
      <c r="I38" s="5">
        <f>F38-SUMIFS(Pedidos!G:G, Pedidos!D:D, C38, Pedidos!E:E, E38, Pedidos!F:F, B38)</f>
        <v>20</v>
      </c>
      <c r="J38" s="10">
        <f t="shared" si="1"/>
        <v>17</v>
      </c>
    </row>
    <row r="39" spans="1:10" ht="15.75" customHeight="1">
      <c r="A39" s="5" t="s">
        <v>57</v>
      </c>
      <c r="B39" s="6" t="s">
        <v>84</v>
      </c>
      <c r="C39" s="11" t="s">
        <v>62</v>
      </c>
      <c r="D39" s="13" t="s">
        <v>85</v>
      </c>
      <c r="E39" s="12" t="s">
        <v>63</v>
      </c>
      <c r="F39" s="8">
        <v>3</v>
      </c>
      <c r="G39" s="9">
        <v>0.73</v>
      </c>
      <c r="H39" s="10">
        <f t="shared" si="0"/>
        <v>2.19</v>
      </c>
      <c r="I39" s="5">
        <f>F39-SUMIFS(Pedidos!G:G, Pedidos!D:D, C39, Pedidos!E:E, E39, Pedidos!F:F, B39)</f>
        <v>3</v>
      </c>
      <c r="J39" s="10">
        <f t="shared" si="1"/>
        <v>2.19</v>
      </c>
    </row>
    <row r="40" spans="1:10" ht="15.75" customHeight="1">
      <c r="A40" s="5" t="s">
        <v>57</v>
      </c>
      <c r="B40" s="6" t="s">
        <v>86</v>
      </c>
      <c r="C40" s="11" t="s">
        <v>62</v>
      </c>
      <c r="D40" s="13" t="s">
        <v>87</v>
      </c>
      <c r="E40" s="12" t="s">
        <v>63</v>
      </c>
      <c r="F40" s="8">
        <v>19</v>
      </c>
      <c r="G40" s="9">
        <v>1.37</v>
      </c>
      <c r="H40" s="10">
        <f t="shared" si="0"/>
        <v>26.03</v>
      </c>
      <c r="I40" s="5">
        <f>F40-SUMIFS(Pedidos!G:G, Pedidos!D:D, C40, Pedidos!E:E, E40, Pedidos!F:F, B40)</f>
        <v>19</v>
      </c>
      <c r="J40" s="10">
        <f t="shared" si="1"/>
        <v>26.03</v>
      </c>
    </row>
    <row r="41" spans="1:10" ht="15.75" customHeight="1">
      <c r="A41" s="5" t="s">
        <v>57</v>
      </c>
      <c r="B41" s="6" t="s">
        <v>88</v>
      </c>
      <c r="C41" s="11" t="s">
        <v>62</v>
      </c>
      <c r="D41" s="5"/>
      <c r="E41" s="12" t="s">
        <v>63</v>
      </c>
      <c r="F41" s="8">
        <v>10</v>
      </c>
      <c r="G41" s="9">
        <v>7.1</v>
      </c>
      <c r="H41" s="10">
        <f t="shared" si="0"/>
        <v>71</v>
      </c>
      <c r="I41" s="5">
        <f>F41-SUMIFS(Pedidos!G:G, Pedidos!D:D, C41, Pedidos!E:E, E41, Pedidos!F:F, B41)</f>
        <v>10</v>
      </c>
      <c r="J41" s="10">
        <f t="shared" si="1"/>
        <v>71</v>
      </c>
    </row>
    <row r="42" spans="1:10" ht="15.75" customHeight="1">
      <c r="A42" s="5" t="s">
        <v>57</v>
      </c>
      <c r="B42" s="6" t="s">
        <v>89</v>
      </c>
      <c r="C42" s="11" t="s">
        <v>62</v>
      </c>
      <c r="D42" s="5"/>
      <c r="E42" s="12" t="s">
        <v>63</v>
      </c>
      <c r="F42" s="8">
        <v>4</v>
      </c>
      <c r="G42" s="9">
        <v>2.1800000000000002</v>
      </c>
      <c r="H42" s="10">
        <f t="shared" si="0"/>
        <v>8.7200000000000006</v>
      </c>
      <c r="I42" s="5">
        <f>F42-SUMIFS(Pedidos!G:G, Pedidos!D:D, C42, Pedidos!E:E, E42, Pedidos!F:F, B42)</f>
        <v>4</v>
      </c>
      <c r="J42" s="10">
        <f t="shared" si="1"/>
        <v>8.7200000000000006</v>
      </c>
    </row>
    <row r="43" spans="1:10" ht="15.75" customHeight="1">
      <c r="A43" s="5" t="s">
        <v>57</v>
      </c>
      <c r="B43" s="6" t="s">
        <v>90</v>
      </c>
      <c r="C43" s="11" t="s">
        <v>62</v>
      </c>
      <c r="D43" s="5"/>
      <c r="E43" s="12" t="s">
        <v>63</v>
      </c>
      <c r="F43" s="8">
        <v>1</v>
      </c>
      <c r="G43" s="9">
        <v>165</v>
      </c>
      <c r="H43" s="10">
        <f t="shared" si="0"/>
        <v>165</v>
      </c>
      <c r="I43" s="5">
        <f>F43-SUMIFS(Pedidos!G:G, Pedidos!D:D, C43, Pedidos!E:E, E43, Pedidos!F:F, B43)</f>
        <v>1</v>
      </c>
      <c r="J43" s="10">
        <f t="shared" si="1"/>
        <v>165</v>
      </c>
    </row>
    <row r="44" spans="1:10" ht="15.75" customHeight="1">
      <c r="A44" s="5" t="s">
        <v>57</v>
      </c>
      <c r="B44" s="6" t="s">
        <v>91</v>
      </c>
      <c r="C44" s="11" t="s">
        <v>62</v>
      </c>
      <c r="D44" s="13" t="s">
        <v>92</v>
      </c>
      <c r="E44" s="12" t="s">
        <v>63</v>
      </c>
      <c r="F44" s="8">
        <v>10</v>
      </c>
      <c r="G44" s="9">
        <v>13.85</v>
      </c>
      <c r="H44" s="10">
        <f t="shared" si="0"/>
        <v>138.5</v>
      </c>
      <c r="I44" s="5">
        <f>F44-SUMIFS(Pedidos!G:G, Pedidos!D:D, C44, Pedidos!E:E, E44, Pedidos!F:F, B44)</f>
        <v>10</v>
      </c>
      <c r="J44" s="10">
        <f t="shared" si="1"/>
        <v>138.5</v>
      </c>
    </row>
    <row r="45" spans="1:10" ht="15.75" customHeight="1">
      <c r="A45" s="5" t="s">
        <v>57</v>
      </c>
      <c r="B45" s="6" t="s">
        <v>91</v>
      </c>
      <c r="C45" s="11" t="s">
        <v>68</v>
      </c>
      <c r="D45" s="13" t="s">
        <v>92</v>
      </c>
      <c r="E45" s="12" t="s">
        <v>63</v>
      </c>
      <c r="F45" s="8">
        <v>10</v>
      </c>
      <c r="G45" s="9">
        <v>32.67</v>
      </c>
      <c r="H45" s="10">
        <f t="shared" si="0"/>
        <v>326.70000000000005</v>
      </c>
      <c r="I45" s="5">
        <f>F45-SUMIFS(Pedidos!G:G, Pedidos!D:D, C45, Pedidos!E:E, E45, Pedidos!F:F, B45)</f>
        <v>10</v>
      </c>
      <c r="J45" s="10">
        <f t="shared" si="1"/>
        <v>326.70000000000005</v>
      </c>
    </row>
    <row r="46" spans="1:10" ht="15.75" customHeight="1">
      <c r="A46" s="5" t="s">
        <v>57</v>
      </c>
      <c r="B46" s="6" t="s">
        <v>93</v>
      </c>
      <c r="C46" s="11" t="s">
        <v>62</v>
      </c>
      <c r="D46" s="13" t="s">
        <v>94</v>
      </c>
      <c r="E46" s="12" t="s">
        <v>63</v>
      </c>
      <c r="F46" s="8">
        <v>10</v>
      </c>
      <c r="G46" s="9">
        <v>45.76</v>
      </c>
      <c r="H46" s="10">
        <f t="shared" si="0"/>
        <v>457.59999999999997</v>
      </c>
      <c r="I46" s="5">
        <f>F46-SUMIFS(Pedidos!G:G, Pedidos!D:D, C46, Pedidos!E:E, E46, Pedidos!F:F, B46)</f>
        <v>10</v>
      </c>
      <c r="J46" s="10">
        <f t="shared" si="1"/>
        <v>457.59999999999997</v>
      </c>
    </row>
    <row r="47" spans="1:10" ht="15.75" customHeight="1">
      <c r="A47" s="5" t="s">
        <v>57</v>
      </c>
      <c r="B47" s="6" t="s">
        <v>95</v>
      </c>
      <c r="C47" s="11" t="s">
        <v>62</v>
      </c>
      <c r="D47" s="5" t="s">
        <v>96</v>
      </c>
      <c r="E47" s="12" t="s">
        <v>63</v>
      </c>
      <c r="F47" s="8">
        <v>5</v>
      </c>
      <c r="G47" s="9">
        <v>69.27</v>
      </c>
      <c r="H47" s="10">
        <f t="shared" si="0"/>
        <v>346.34999999999997</v>
      </c>
      <c r="I47" s="5">
        <f>F47-SUMIFS(Pedidos!G:G, Pedidos!D:D, C47, Pedidos!E:E, E47, Pedidos!F:F, B47)</f>
        <v>5</v>
      </c>
      <c r="J47" s="10">
        <f t="shared" si="1"/>
        <v>346.34999999999997</v>
      </c>
    </row>
    <row r="48" spans="1:10" ht="15.75" customHeight="1">
      <c r="A48" s="5" t="s">
        <v>57</v>
      </c>
      <c r="B48" s="6" t="s">
        <v>97</v>
      </c>
      <c r="C48" s="11" t="s">
        <v>62</v>
      </c>
      <c r="D48" s="13" t="s">
        <v>98</v>
      </c>
      <c r="E48" s="12" t="s">
        <v>63</v>
      </c>
      <c r="F48" s="8">
        <v>5</v>
      </c>
      <c r="G48" s="9">
        <v>34.08</v>
      </c>
      <c r="H48" s="10">
        <f t="shared" si="0"/>
        <v>170.39999999999998</v>
      </c>
      <c r="I48" s="5">
        <f>F48-SUMIFS(Pedidos!G:G, Pedidos!D:D, C48, Pedidos!E:E, E48, Pedidos!F:F, B48)</f>
        <v>4</v>
      </c>
      <c r="J48" s="10">
        <f t="shared" si="1"/>
        <v>136.32</v>
      </c>
    </row>
    <row r="49" spans="1:10" ht="15.75" customHeight="1">
      <c r="A49" s="5" t="s">
        <v>57</v>
      </c>
      <c r="B49" s="6" t="s">
        <v>97</v>
      </c>
      <c r="C49" s="11" t="s">
        <v>68</v>
      </c>
      <c r="D49" s="13" t="s">
        <v>98</v>
      </c>
      <c r="E49" s="12" t="s">
        <v>63</v>
      </c>
      <c r="F49" s="8">
        <v>6</v>
      </c>
      <c r="G49" s="9">
        <v>94.8</v>
      </c>
      <c r="H49" s="10">
        <f t="shared" si="0"/>
        <v>568.79999999999995</v>
      </c>
      <c r="I49" s="5">
        <f>F49-SUMIFS(Pedidos!G:G, Pedidos!D:D, C49, Pedidos!E:E, E49, Pedidos!F:F, B49)</f>
        <v>6</v>
      </c>
      <c r="J49" s="10">
        <f t="shared" si="1"/>
        <v>568.79999999999995</v>
      </c>
    </row>
    <row r="50" spans="1:10" ht="15.75" customHeight="1">
      <c r="A50" s="5" t="s">
        <v>57</v>
      </c>
      <c r="B50" s="6" t="s">
        <v>99</v>
      </c>
      <c r="C50" s="11" t="s">
        <v>62</v>
      </c>
      <c r="D50" s="13" t="s">
        <v>100</v>
      </c>
      <c r="E50" s="12" t="s">
        <v>63</v>
      </c>
      <c r="F50" s="8">
        <v>9</v>
      </c>
      <c r="G50" s="9">
        <v>26.3</v>
      </c>
      <c r="H50" s="10">
        <f t="shared" si="0"/>
        <v>236.70000000000002</v>
      </c>
      <c r="I50" s="5">
        <f>F50-SUMIFS(Pedidos!G:G, Pedidos!D:D, C50, Pedidos!E:E, E50, Pedidos!F:F, B50)</f>
        <v>9</v>
      </c>
      <c r="J50" s="10">
        <f t="shared" si="1"/>
        <v>236.70000000000002</v>
      </c>
    </row>
    <row r="51" spans="1:10" ht="15.75" customHeight="1">
      <c r="A51" s="5" t="s">
        <v>57</v>
      </c>
      <c r="B51" s="6" t="s">
        <v>101</v>
      </c>
      <c r="C51" s="11" t="s">
        <v>62</v>
      </c>
      <c r="D51" s="13" t="s">
        <v>102</v>
      </c>
      <c r="E51" s="12" t="s">
        <v>63</v>
      </c>
      <c r="F51" s="8">
        <v>1</v>
      </c>
      <c r="G51" s="9">
        <v>159.06</v>
      </c>
      <c r="H51" s="10">
        <f t="shared" si="0"/>
        <v>159.06</v>
      </c>
      <c r="I51" s="5">
        <f>F51-SUMIFS(Pedidos!G:G, Pedidos!D:D, C51, Pedidos!E:E, E51, Pedidos!F:F, B51)</f>
        <v>1</v>
      </c>
      <c r="J51" s="10">
        <f t="shared" si="1"/>
        <v>159.06</v>
      </c>
    </row>
    <row r="52" spans="1:10" ht="15.75" customHeight="1">
      <c r="A52" s="5" t="s">
        <v>57</v>
      </c>
      <c r="B52" s="6" t="s">
        <v>103</v>
      </c>
      <c r="C52" s="11" t="s">
        <v>62</v>
      </c>
      <c r="D52" s="13" t="s">
        <v>104</v>
      </c>
      <c r="E52" s="12" t="s">
        <v>63</v>
      </c>
      <c r="F52" s="8">
        <v>6</v>
      </c>
      <c r="G52" s="9">
        <v>556</v>
      </c>
      <c r="H52" s="10">
        <f t="shared" si="0"/>
        <v>3336</v>
      </c>
      <c r="I52" s="5">
        <f>F52-SUMIFS(Pedidos!G:G, Pedidos!D:D, C52, Pedidos!E:E, E52, Pedidos!F:F, B52)</f>
        <v>6</v>
      </c>
      <c r="J52" s="10">
        <f t="shared" si="1"/>
        <v>3336</v>
      </c>
    </row>
    <row r="53" spans="1:10" ht="15.75" customHeight="1">
      <c r="A53" s="5" t="s">
        <v>57</v>
      </c>
      <c r="B53" s="6" t="s">
        <v>105</v>
      </c>
      <c r="C53" s="5" t="s">
        <v>106</v>
      </c>
      <c r="D53" s="7" t="s">
        <v>107</v>
      </c>
      <c r="E53" s="5">
        <v>27</v>
      </c>
      <c r="F53" s="8">
        <v>50</v>
      </c>
      <c r="G53" s="9">
        <v>10375</v>
      </c>
      <c r="H53" s="10">
        <f t="shared" si="0"/>
        <v>518750</v>
      </c>
      <c r="I53" s="5">
        <f>F53-SUMIFS(Pedidos!G:G, Pedidos!D:D, C53, Pedidos!E:E, E53, Pedidos!F:F, B53)</f>
        <v>47</v>
      </c>
      <c r="J53" s="10">
        <f t="shared" si="1"/>
        <v>487625</v>
      </c>
    </row>
    <row r="54" spans="1:10" ht="15.75" customHeight="1">
      <c r="A54" s="5" t="s">
        <v>57</v>
      </c>
      <c r="B54" s="6" t="s">
        <v>108</v>
      </c>
      <c r="C54" s="5" t="s">
        <v>109</v>
      </c>
      <c r="D54" s="5" t="s">
        <v>110</v>
      </c>
      <c r="E54" s="5">
        <v>17</v>
      </c>
      <c r="F54" s="8">
        <v>10</v>
      </c>
      <c r="G54" s="9">
        <v>34200</v>
      </c>
      <c r="H54" s="10">
        <f t="shared" si="0"/>
        <v>342000</v>
      </c>
      <c r="I54" s="5">
        <f>F54-SUMIFS(Pedidos!G:G, Pedidos!D:D, C54, Pedidos!E:E, E54, Pedidos!F:F, B54)</f>
        <v>10</v>
      </c>
      <c r="J54" s="10">
        <f t="shared" si="1"/>
        <v>342000</v>
      </c>
    </row>
    <row r="55" spans="1:10" ht="15.75" customHeight="1">
      <c r="A55" s="5" t="s">
        <v>57</v>
      </c>
      <c r="B55" s="6" t="s">
        <v>111</v>
      </c>
      <c r="C55" s="5" t="s">
        <v>59</v>
      </c>
      <c r="D55" s="5" t="s">
        <v>112</v>
      </c>
      <c r="E55" s="5">
        <v>15</v>
      </c>
      <c r="F55" s="8">
        <v>20</v>
      </c>
      <c r="G55" s="9">
        <v>29300</v>
      </c>
      <c r="H55" s="10">
        <f t="shared" si="0"/>
        <v>586000</v>
      </c>
      <c r="I55" s="5">
        <f>F55-SUMIFS(Pedidos!G:G, Pedidos!D:D, C55, Pedidos!E:E, E55, Pedidos!F:F, B55)</f>
        <v>10</v>
      </c>
      <c r="J55" s="10">
        <f t="shared" si="1"/>
        <v>293000</v>
      </c>
    </row>
    <row r="56" spans="1:10" ht="15.75" customHeight="1">
      <c r="A56" s="5" t="s">
        <v>57</v>
      </c>
      <c r="B56" s="6" t="s">
        <v>113</v>
      </c>
      <c r="C56" s="11" t="s">
        <v>62</v>
      </c>
      <c r="D56" s="13" t="s">
        <v>114</v>
      </c>
      <c r="E56" s="12" t="s">
        <v>63</v>
      </c>
      <c r="F56" s="8">
        <v>3</v>
      </c>
      <c r="G56" s="9">
        <v>1.92</v>
      </c>
      <c r="H56" s="10">
        <f t="shared" si="0"/>
        <v>5.76</v>
      </c>
      <c r="I56" s="5">
        <f>F56-SUMIFS(Pedidos!G:G, Pedidos!D:D, C56, Pedidos!E:E, E56, Pedidos!F:F, B56)</f>
        <v>3</v>
      </c>
      <c r="J56" s="10">
        <f t="shared" si="1"/>
        <v>5.76</v>
      </c>
    </row>
    <row r="57" spans="1:10" ht="15.75" customHeight="1">
      <c r="A57" s="5" t="s">
        <v>57</v>
      </c>
      <c r="B57" s="6" t="s">
        <v>115</v>
      </c>
      <c r="C57" s="11" t="s">
        <v>62</v>
      </c>
      <c r="D57" s="13" t="s">
        <v>114</v>
      </c>
      <c r="E57" s="12" t="s">
        <v>63</v>
      </c>
      <c r="F57" s="8">
        <v>3</v>
      </c>
      <c r="G57" s="9">
        <v>2.68</v>
      </c>
      <c r="H57" s="10">
        <f t="shared" si="0"/>
        <v>8.0400000000000009</v>
      </c>
      <c r="I57" s="5">
        <f>F57-SUMIFS(Pedidos!G:G, Pedidos!D:D, C57, Pedidos!E:E, E57, Pedidos!F:F, B57)</f>
        <v>3</v>
      </c>
      <c r="J57" s="10">
        <f t="shared" si="1"/>
        <v>8.0400000000000009</v>
      </c>
    </row>
    <row r="58" spans="1:10" ht="15.75" customHeight="1">
      <c r="A58" s="5" t="s">
        <v>57</v>
      </c>
      <c r="B58" s="6" t="s">
        <v>116</v>
      </c>
      <c r="C58" s="11" t="s">
        <v>62</v>
      </c>
      <c r="D58" s="13" t="s">
        <v>114</v>
      </c>
      <c r="E58" s="12" t="s">
        <v>63</v>
      </c>
      <c r="F58" s="8">
        <v>2</v>
      </c>
      <c r="G58" s="9">
        <v>4.1900000000000004</v>
      </c>
      <c r="H58" s="10">
        <f t="shared" si="0"/>
        <v>8.3800000000000008</v>
      </c>
      <c r="I58" s="5">
        <f>F58-SUMIFS(Pedidos!G:G, Pedidos!D:D, C58, Pedidos!E:E, E58, Pedidos!F:F, B58)</f>
        <v>2</v>
      </c>
      <c r="J58" s="10">
        <f t="shared" si="1"/>
        <v>8.3800000000000008</v>
      </c>
    </row>
    <row r="59" spans="1:10" ht="15.75" customHeight="1">
      <c r="A59" s="5" t="s">
        <v>57</v>
      </c>
      <c r="B59" s="6" t="s">
        <v>117</v>
      </c>
      <c r="C59" s="11" t="s">
        <v>62</v>
      </c>
      <c r="D59" s="13" t="s">
        <v>118</v>
      </c>
      <c r="E59" s="12" t="s">
        <v>63</v>
      </c>
      <c r="F59" s="8">
        <v>23</v>
      </c>
      <c r="G59" s="9">
        <v>1.37</v>
      </c>
      <c r="H59" s="10">
        <f t="shared" si="0"/>
        <v>31.51</v>
      </c>
      <c r="I59" s="5">
        <f>F59-SUMIFS(Pedidos!G:G, Pedidos!D:D, C59, Pedidos!E:E, E59, Pedidos!F:F, B59)</f>
        <v>23</v>
      </c>
      <c r="J59" s="10">
        <f t="shared" si="1"/>
        <v>31.51</v>
      </c>
    </row>
    <row r="60" spans="1:10" ht="15.75" customHeight="1">
      <c r="A60" s="5" t="s">
        <v>57</v>
      </c>
      <c r="B60" s="6" t="s">
        <v>119</v>
      </c>
      <c r="C60" s="11" t="s">
        <v>62</v>
      </c>
      <c r="D60" s="13" t="s">
        <v>118</v>
      </c>
      <c r="E60" s="12" t="s">
        <v>63</v>
      </c>
      <c r="F60" s="8">
        <v>50</v>
      </c>
      <c r="G60" s="9">
        <v>1.06</v>
      </c>
      <c r="H60" s="10">
        <f t="shared" si="0"/>
        <v>53</v>
      </c>
      <c r="I60" s="5">
        <f>F60-SUMIFS(Pedidos!G:G, Pedidos!D:D, C60, Pedidos!E:E, E60, Pedidos!F:F, B60)</f>
        <v>50</v>
      </c>
      <c r="J60" s="10">
        <f t="shared" si="1"/>
        <v>53</v>
      </c>
    </row>
    <row r="61" spans="1:10" ht="15.75" customHeight="1">
      <c r="A61" s="5" t="s">
        <v>57</v>
      </c>
      <c r="B61" s="6" t="s">
        <v>119</v>
      </c>
      <c r="C61" s="11" t="s">
        <v>68</v>
      </c>
      <c r="D61" s="13" t="s">
        <v>118</v>
      </c>
      <c r="E61" s="12" t="s">
        <v>63</v>
      </c>
      <c r="F61" s="8">
        <v>50</v>
      </c>
      <c r="G61" s="9">
        <v>1.72</v>
      </c>
      <c r="H61" s="10">
        <f t="shared" si="0"/>
        <v>86</v>
      </c>
      <c r="I61" s="5">
        <f>F61-SUMIFS(Pedidos!G:G, Pedidos!D:D, C61, Pedidos!E:E, E61, Pedidos!F:F, B61)</f>
        <v>50</v>
      </c>
      <c r="J61" s="10">
        <f t="shared" si="1"/>
        <v>86</v>
      </c>
    </row>
    <row r="62" spans="1:10" ht="15.75" customHeight="1">
      <c r="A62" s="5" t="s">
        <v>57</v>
      </c>
      <c r="B62" s="6" t="s">
        <v>119</v>
      </c>
      <c r="C62" s="11" t="s">
        <v>120</v>
      </c>
      <c r="D62" s="13" t="s">
        <v>118</v>
      </c>
      <c r="E62" s="12" t="s">
        <v>63</v>
      </c>
      <c r="F62" s="8">
        <v>45</v>
      </c>
      <c r="G62" s="9">
        <v>0.65</v>
      </c>
      <c r="H62" s="10">
        <f t="shared" si="0"/>
        <v>29.25</v>
      </c>
      <c r="I62" s="5">
        <f>F62-SUMIFS(Pedidos!G:G, Pedidos!D:D, C62, Pedidos!E:E, E62, Pedidos!F:F, B62)</f>
        <v>45</v>
      </c>
      <c r="J62" s="10">
        <f t="shared" si="1"/>
        <v>29.25</v>
      </c>
    </row>
    <row r="63" spans="1:10" ht="15.75" customHeight="1">
      <c r="A63" s="5" t="s">
        <v>57</v>
      </c>
      <c r="B63" s="6" t="s">
        <v>121</v>
      </c>
      <c r="C63" s="11" t="s">
        <v>62</v>
      </c>
      <c r="D63" s="13" t="s">
        <v>122</v>
      </c>
      <c r="E63" s="12" t="s">
        <v>63</v>
      </c>
      <c r="F63" s="8">
        <v>145</v>
      </c>
      <c r="G63" s="9">
        <v>3.74</v>
      </c>
      <c r="H63" s="10">
        <f t="shared" si="0"/>
        <v>542.30000000000007</v>
      </c>
      <c r="I63" s="5">
        <f>F63-SUMIFS(Pedidos!G:G, Pedidos!D:D, C63, Pedidos!E:E, E63, Pedidos!F:F, B63)</f>
        <v>145</v>
      </c>
      <c r="J63" s="10">
        <f t="shared" si="1"/>
        <v>542.30000000000007</v>
      </c>
    </row>
    <row r="64" spans="1:10" ht="15.75" customHeight="1">
      <c r="A64" s="5" t="s">
        <v>57</v>
      </c>
      <c r="B64" s="6" t="s">
        <v>123</v>
      </c>
      <c r="C64" s="11" t="s">
        <v>62</v>
      </c>
      <c r="D64" s="5" t="s">
        <v>122</v>
      </c>
      <c r="E64" s="12" t="s">
        <v>63</v>
      </c>
      <c r="F64" s="8">
        <v>20</v>
      </c>
      <c r="G64" s="9">
        <v>1.63</v>
      </c>
      <c r="H64" s="10">
        <f t="shared" si="0"/>
        <v>32.599999999999994</v>
      </c>
      <c r="I64" s="5">
        <f>F64-SUMIFS(Pedidos!G:G, Pedidos!D:D, C64, Pedidos!E:E, E64, Pedidos!F:F, B64)</f>
        <v>20</v>
      </c>
      <c r="J64" s="10">
        <f t="shared" si="1"/>
        <v>32.599999999999994</v>
      </c>
    </row>
    <row r="65" spans="1:10" ht="15.75" customHeight="1">
      <c r="A65" s="5" t="s">
        <v>57</v>
      </c>
      <c r="B65" s="6" t="s">
        <v>124</v>
      </c>
      <c r="C65" s="11" t="s">
        <v>62</v>
      </c>
      <c r="D65" s="5" t="s">
        <v>125</v>
      </c>
      <c r="E65" s="12" t="s">
        <v>63</v>
      </c>
      <c r="F65" s="8">
        <v>29</v>
      </c>
      <c r="G65" s="9">
        <v>2.76</v>
      </c>
      <c r="H65" s="10">
        <f t="shared" si="0"/>
        <v>80.039999999999992</v>
      </c>
      <c r="I65" s="5">
        <f>F65-SUMIFS(Pedidos!G:G, Pedidos!D:D, C65, Pedidos!E:E, E65, Pedidos!F:F, B65)</f>
        <v>29</v>
      </c>
      <c r="J65" s="10">
        <f t="shared" si="1"/>
        <v>80.039999999999992</v>
      </c>
    </row>
    <row r="66" spans="1:10" ht="15.75" customHeight="1">
      <c r="A66" s="5" t="s">
        <v>57</v>
      </c>
      <c r="B66" s="6" t="s">
        <v>124</v>
      </c>
      <c r="C66" s="11" t="s">
        <v>68</v>
      </c>
      <c r="D66" s="5" t="s">
        <v>125</v>
      </c>
      <c r="E66" s="12" t="s">
        <v>63</v>
      </c>
      <c r="F66" s="8">
        <v>9</v>
      </c>
      <c r="G66" s="9">
        <v>2.19</v>
      </c>
      <c r="H66" s="10">
        <f t="shared" si="0"/>
        <v>19.71</v>
      </c>
      <c r="I66" s="5">
        <f>F66-SUMIFS(Pedidos!G:G, Pedidos!D:D, C66, Pedidos!E:E, E66, Pedidos!F:F, B66)</f>
        <v>9</v>
      </c>
      <c r="J66" s="10">
        <f t="shared" si="1"/>
        <v>19.71</v>
      </c>
    </row>
    <row r="67" spans="1:10" ht="15.75" customHeight="1">
      <c r="A67" s="5" t="s">
        <v>57</v>
      </c>
      <c r="B67" s="6" t="s">
        <v>126</v>
      </c>
      <c r="C67" s="11" t="s">
        <v>62</v>
      </c>
      <c r="D67" s="13" t="s">
        <v>127</v>
      </c>
      <c r="E67" s="12" t="s">
        <v>63</v>
      </c>
      <c r="F67" s="8">
        <v>12</v>
      </c>
      <c r="G67" s="9">
        <v>1.0900000000000001</v>
      </c>
      <c r="H67" s="10">
        <f t="shared" si="0"/>
        <v>13.080000000000002</v>
      </c>
      <c r="I67" s="5">
        <f>F67-SUMIFS(Pedidos!G:G, Pedidos!D:D, C67, Pedidos!E:E, E67, Pedidos!F:F, B67)</f>
        <v>12</v>
      </c>
      <c r="J67" s="10">
        <f t="shared" si="1"/>
        <v>13.080000000000002</v>
      </c>
    </row>
    <row r="68" spans="1:10" ht="15.75" customHeight="1">
      <c r="A68" s="5" t="s">
        <v>57</v>
      </c>
      <c r="B68" s="6" t="s">
        <v>128</v>
      </c>
      <c r="C68" s="11" t="s">
        <v>62</v>
      </c>
      <c r="D68" s="13" t="s">
        <v>129</v>
      </c>
      <c r="E68" s="12" t="s">
        <v>63</v>
      </c>
      <c r="F68" s="8">
        <v>10</v>
      </c>
      <c r="G68" s="9">
        <v>0.95</v>
      </c>
      <c r="H68" s="10">
        <f t="shared" si="0"/>
        <v>9.5</v>
      </c>
      <c r="I68" s="5">
        <f>F68-SUMIFS(Pedidos!G:G, Pedidos!D:D, C68, Pedidos!E:E, E68, Pedidos!F:F, B68)</f>
        <v>10</v>
      </c>
      <c r="J68" s="10">
        <f t="shared" si="1"/>
        <v>9.5</v>
      </c>
    </row>
    <row r="69" spans="1:10" ht="15.75" customHeight="1">
      <c r="A69" s="5" t="s">
        <v>57</v>
      </c>
      <c r="B69" s="6" t="s">
        <v>130</v>
      </c>
      <c r="C69" s="11" t="s">
        <v>62</v>
      </c>
      <c r="D69" s="13" t="s">
        <v>131</v>
      </c>
      <c r="E69" s="12" t="s">
        <v>63</v>
      </c>
      <c r="F69" s="8">
        <v>18</v>
      </c>
      <c r="G69" s="9">
        <v>1.17</v>
      </c>
      <c r="H69" s="10">
        <f t="shared" si="0"/>
        <v>21.06</v>
      </c>
      <c r="I69" s="5">
        <f>F69-SUMIFS(Pedidos!G:G, Pedidos!D:D, C69, Pedidos!E:E, E69, Pedidos!F:F, B69)</f>
        <v>18</v>
      </c>
      <c r="J69" s="10">
        <f t="shared" si="1"/>
        <v>21.06</v>
      </c>
    </row>
    <row r="70" spans="1:10" ht="15.75" customHeight="1">
      <c r="A70" s="5" t="s">
        <v>57</v>
      </c>
      <c r="B70" s="6" t="s">
        <v>132</v>
      </c>
      <c r="C70" s="11" t="s">
        <v>62</v>
      </c>
      <c r="D70" s="13" t="s">
        <v>133</v>
      </c>
      <c r="E70" s="12" t="s">
        <v>63</v>
      </c>
      <c r="F70" s="8">
        <v>3</v>
      </c>
      <c r="G70" s="9">
        <v>2.12</v>
      </c>
      <c r="H70" s="10">
        <f t="shared" si="0"/>
        <v>6.36</v>
      </c>
      <c r="I70" s="5">
        <f>F70-SUMIFS(Pedidos!G:G, Pedidos!D:D, C70, Pedidos!E:E, E70, Pedidos!F:F, B70)</f>
        <v>3</v>
      </c>
      <c r="J70" s="10">
        <f t="shared" si="1"/>
        <v>6.36</v>
      </c>
    </row>
    <row r="71" spans="1:10" ht="15.75" customHeight="1">
      <c r="A71" s="5" t="s">
        <v>57</v>
      </c>
      <c r="B71" s="6" t="s">
        <v>134</v>
      </c>
      <c r="C71" s="11" t="s">
        <v>62</v>
      </c>
      <c r="D71" s="13" t="s">
        <v>133</v>
      </c>
      <c r="E71" s="12" t="s">
        <v>63</v>
      </c>
      <c r="F71" s="8">
        <v>4</v>
      </c>
      <c r="G71" s="9">
        <v>2.12</v>
      </c>
      <c r="H71" s="10">
        <f t="shared" si="0"/>
        <v>8.48</v>
      </c>
      <c r="I71" s="5">
        <f>F71-SUMIFS(Pedidos!G:G, Pedidos!D:D, C71, Pedidos!E:E, E71, Pedidos!F:F, B71)</f>
        <v>4</v>
      </c>
      <c r="J71" s="10">
        <f t="shared" si="1"/>
        <v>8.48</v>
      </c>
    </row>
    <row r="72" spans="1:10" ht="15.75" customHeight="1">
      <c r="A72" s="5" t="s">
        <v>57</v>
      </c>
      <c r="B72" s="6" t="s">
        <v>135</v>
      </c>
      <c r="C72" s="11" t="s">
        <v>62</v>
      </c>
      <c r="D72" s="13" t="s">
        <v>136</v>
      </c>
      <c r="E72" s="12" t="s">
        <v>63</v>
      </c>
      <c r="F72" s="8">
        <v>2</v>
      </c>
      <c r="G72" s="9">
        <v>31</v>
      </c>
      <c r="H72" s="10">
        <f t="shared" si="0"/>
        <v>62</v>
      </c>
      <c r="I72" s="5">
        <f>F72-SUMIFS(Pedidos!G:G, Pedidos!D:D, C72, Pedidos!E:E, E72, Pedidos!F:F, B72)</f>
        <v>2</v>
      </c>
      <c r="J72" s="10">
        <f t="shared" si="1"/>
        <v>62</v>
      </c>
    </row>
    <row r="73" spans="1:10" ht="15.75" customHeight="1">
      <c r="A73" s="5" t="s">
        <v>57</v>
      </c>
      <c r="B73" s="6" t="s">
        <v>137</v>
      </c>
      <c r="C73" s="11" t="s">
        <v>62</v>
      </c>
      <c r="D73" s="13" t="s">
        <v>138</v>
      </c>
      <c r="E73" s="12" t="s">
        <v>63</v>
      </c>
      <c r="F73" s="8">
        <v>4</v>
      </c>
      <c r="G73" s="9">
        <v>80.3</v>
      </c>
      <c r="H73" s="10">
        <f t="shared" si="0"/>
        <v>321.2</v>
      </c>
      <c r="I73" s="5">
        <f>F73-SUMIFS(Pedidos!G:G, Pedidos!D:D, C73, Pedidos!E:E, E73, Pedidos!F:F, B73)</f>
        <v>4</v>
      </c>
      <c r="J73" s="10">
        <f t="shared" si="1"/>
        <v>321.2</v>
      </c>
    </row>
    <row r="74" spans="1:10" ht="15.75" customHeight="1">
      <c r="A74" s="5" t="s">
        <v>57</v>
      </c>
      <c r="B74" s="6" t="s">
        <v>139</v>
      </c>
      <c r="C74" s="11" t="s">
        <v>62</v>
      </c>
      <c r="D74" s="13" t="s">
        <v>140</v>
      </c>
      <c r="E74" s="12" t="s">
        <v>63</v>
      </c>
      <c r="F74" s="8">
        <v>2</v>
      </c>
      <c r="G74" s="9">
        <v>80.3</v>
      </c>
      <c r="H74" s="10">
        <f t="shared" si="0"/>
        <v>160.6</v>
      </c>
      <c r="I74" s="5">
        <f>F74-SUMIFS(Pedidos!G:G, Pedidos!D:D, C74, Pedidos!E:E, E74, Pedidos!F:F, B74)</f>
        <v>2</v>
      </c>
      <c r="J74" s="10">
        <f t="shared" si="1"/>
        <v>160.6</v>
      </c>
    </row>
    <row r="75" spans="1:10" ht="15.75" customHeight="1">
      <c r="A75" s="5" t="s">
        <v>57</v>
      </c>
      <c r="B75" s="6" t="s">
        <v>141</v>
      </c>
      <c r="C75" s="5" t="s">
        <v>70</v>
      </c>
      <c r="D75" s="7" t="s">
        <v>142</v>
      </c>
      <c r="E75" s="5">
        <v>1</v>
      </c>
      <c r="F75" s="8">
        <v>50</v>
      </c>
      <c r="G75" s="9">
        <v>3447.06</v>
      </c>
      <c r="H75" s="10">
        <f t="shared" si="0"/>
        <v>172353</v>
      </c>
      <c r="I75" s="5">
        <f>F75-SUMIFS(Pedidos!G:G, Pedidos!D:D, C75, Pedidos!E:E, E75, Pedidos!F:F, B75)</f>
        <v>22</v>
      </c>
      <c r="J75" s="10">
        <f t="shared" si="1"/>
        <v>75835.319999999992</v>
      </c>
    </row>
    <row r="76" spans="1:10" ht="15.75" customHeight="1">
      <c r="A76" s="5" t="s">
        <v>57</v>
      </c>
      <c r="B76" s="6" t="s">
        <v>143</v>
      </c>
      <c r="C76" s="5" t="s">
        <v>70</v>
      </c>
      <c r="D76" s="5" t="s">
        <v>144</v>
      </c>
      <c r="E76" s="5">
        <v>2</v>
      </c>
      <c r="F76" s="8">
        <v>50</v>
      </c>
      <c r="G76" s="9">
        <v>3292.08</v>
      </c>
      <c r="H76" s="10">
        <f t="shared" si="0"/>
        <v>164604</v>
      </c>
      <c r="I76" s="5">
        <f>F76-SUMIFS(Pedidos!G:G, Pedidos!D:D, C76, Pedidos!E:E, E76, Pedidos!F:F, B76)</f>
        <v>45</v>
      </c>
      <c r="J76" s="10">
        <f t="shared" si="1"/>
        <v>148143.6</v>
      </c>
    </row>
    <row r="77" spans="1:10" ht="15.75" customHeight="1">
      <c r="A77" s="5" t="s">
        <v>57</v>
      </c>
      <c r="B77" s="6" t="s">
        <v>145</v>
      </c>
      <c r="C77" s="5" t="s">
        <v>106</v>
      </c>
      <c r="D77" s="5" t="s">
        <v>146</v>
      </c>
      <c r="E77" s="5">
        <v>3</v>
      </c>
      <c r="F77" s="8">
        <v>2</v>
      </c>
      <c r="G77" s="9">
        <v>12076</v>
      </c>
      <c r="H77" s="10">
        <f t="shared" si="0"/>
        <v>24152</v>
      </c>
      <c r="I77" s="5">
        <f>F77-SUMIFS(Pedidos!G:G, Pedidos!D:D, C77, Pedidos!E:E, E77, Pedidos!F:F, B77)</f>
        <v>2</v>
      </c>
      <c r="J77" s="10">
        <f t="shared" si="1"/>
        <v>24152</v>
      </c>
    </row>
    <row r="78" spans="1:10" ht="15.75" customHeight="1">
      <c r="A78" s="5" t="s">
        <v>57</v>
      </c>
      <c r="B78" s="6" t="s">
        <v>147</v>
      </c>
      <c r="C78" s="5" t="s">
        <v>148</v>
      </c>
      <c r="D78" s="5" t="s">
        <v>149</v>
      </c>
      <c r="E78" s="5">
        <v>11</v>
      </c>
      <c r="F78" s="8">
        <v>50</v>
      </c>
      <c r="G78" s="9">
        <v>1146.44</v>
      </c>
      <c r="H78" s="10">
        <f t="shared" si="0"/>
        <v>57322</v>
      </c>
      <c r="I78" s="5">
        <f>F78-SUMIFS(Pedidos!G:G, Pedidos!D:D, C78, Pedidos!E:E, E78, Pedidos!F:F, B78)</f>
        <v>50</v>
      </c>
      <c r="J78" s="10">
        <f t="shared" si="1"/>
        <v>57322</v>
      </c>
    </row>
    <row r="79" spans="1:10" ht="15.75" customHeight="1">
      <c r="A79" s="5" t="s">
        <v>57</v>
      </c>
      <c r="B79" s="6" t="s">
        <v>147</v>
      </c>
      <c r="C79" s="5" t="s">
        <v>62</v>
      </c>
      <c r="D79" s="5" t="s">
        <v>149</v>
      </c>
      <c r="E79" s="5" t="s">
        <v>63</v>
      </c>
      <c r="F79" s="8">
        <v>15</v>
      </c>
      <c r="G79" s="9">
        <v>21.9</v>
      </c>
      <c r="H79" s="10">
        <f t="shared" si="0"/>
        <v>328.5</v>
      </c>
      <c r="I79" s="5">
        <f>F79-SUMIFS(Pedidos!G:G, Pedidos!D:D, C79, Pedidos!E:E, E79, Pedidos!F:F, B79)</f>
        <v>15</v>
      </c>
      <c r="J79" s="10">
        <f t="shared" si="1"/>
        <v>328.5</v>
      </c>
    </row>
    <row r="80" spans="1:10" ht="15.75" customHeight="1">
      <c r="A80" s="5" t="s">
        <v>57</v>
      </c>
      <c r="B80" s="6" t="s">
        <v>147</v>
      </c>
      <c r="C80" s="5" t="s">
        <v>68</v>
      </c>
      <c r="D80" s="5" t="s">
        <v>149</v>
      </c>
      <c r="E80" s="5" t="s">
        <v>63</v>
      </c>
      <c r="F80" s="8">
        <v>14</v>
      </c>
      <c r="G80" s="9">
        <v>6.29</v>
      </c>
      <c r="H80" s="10">
        <f t="shared" si="0"/>
        <v>88.06</v>
      </c>
      <c r="I80" s="5">
        <f>F80-SUMIFS(Pedidos!G:G, Pedidos!D:D, C80, Pedidos!E:E, E80, Pedidos!F:F, B80)</f>
        <v>14</v>
      </c>
      <c r="J80" s="10">
        <f t="shared" si="1"/>
        <v>88.06</v>
      </c>
    </row>
    <row r="81" spans="1:10" ht="15.75" customHeight="1">
      <c r="A81" s="5" t="s">
        <v>57</v>
      </c>
      <c r="B81" s="6" t="s">
        <v>150</v>
      </c>
      <c r="C81" s="11" t="s">
        <v>62</v>
      </c>
      <c r="D81" s="5"/>
      <c r="E81" s="12" t="s">
        <v>63</v>
      </c>
      <c r="F81" s="8">
        <v>19</v>
      </c>
      <c r="G81" s="9">
        <v>340</v>
      </c>
      <c r="H81" s="10">
        <f t="shared" si="0"/>
        <v>6460</v>
      </c>
      <c r="I81" s="5">
        <f>F81-SUMIFS(Pedidos!G:G, Pedidos!D:D, C81, Pedidos!E:E, E81, Pedidos!F:F, B81)</f>
        <v>19</v>
      </c>
      <c r="J81" s="10">
        <f t="shared" si="1"/>
        <v>6460</v>
      </c>
    </row>
    <row r="82" spans="1:10" ht="15.75" customHeight="1">
      <c r="A82" s="5" t="s">
        <v>57</v>
      </c>
      <c r="B82" s="6" t="s">
        <v>151</v>
      </c>
      <c r="C82" s="11" t="s">
        <v>62</v>
      </c>
      <c r="D82" s="5"/>
      <c r="E82" s="12" t="s">
        <v>63</v>
      </c>
      <c r="F82" s="8">
        <v>7</v>
      </c>
      <c r="G82" s="9">
        <v>1.7</v>
      </c>
      <c r="H82" s="10">
        <f t="shared" si="0"/>
        <v>11.9</v>
      </c>
      <c r="I82" s="5">
        <f>F82-SUMIFS(Pedidos!G:G, Pedidos!D:D, C82, Pedidos!E:E, E82, Pedidos!F:F, B82)</f>
        <v>7</v>
      </c>
      <c r="J82" s="10">
        <f t="shared" si="1"/>
        <v>11.9</v>
      </c>
    </row>
    <row r="83" spans="1:10" ht="15.75" customHeight="1">
      <c r="A83" s="5" t="s">
        <v>57</v>
      </c>
      <c r="B83" s="6" t="s">
        <v>152</v>
      </c>
      <c r="C83" s="11" t="s">
        <v>62</v>
      </c>
      <c r="D83" s="5"/>
      <c r="E83" s="12" t="s">
        <v>63</v>
      </c>
      <c r="F83" s="8">
        <v>13</v>
      </c>
      <c r="G83" s="9">
        <v>1.1499999999999999</v>
      </c>
      <c r="H83" s="10">
        <f t="shared" si="0"/>
        <v>14.95</v>
      </c>
      <c r="I83" s="5">
        <f>F83-SUMIFS(Pedidos!G:G, Pedidos!D:D, C83, Pedidos!E:E, E83, Pedidos!F:F, B83)</f>
        <v>13</v>
      </c>
      <c r="J83" s="10">
        <f t="shared" si="1"/>
        <v>14.95</v>
      </c>
    </row>
    <row r="84" spans="1:10" ht="15.75" customHeight="1">
      <c r="A84" s="5" t="s">
        <v>57</v>
      </c>
      <c r="B84" s="6" t="s">
        <v>153</v>
      </c>
      <c r="C84" s="11" t="s">
        <v>62</v>
      </c>
      <c r="D84" s="5"/>
      <c r="E84" s="12" t="s">
        <v>63</v>
      </c>
      <c r="F84" s="8">
        <v>3</v>
      </c>
      <c r="G84" s="9">
        <v>0.84</v>
      </c>
      <c r="H84" s="10">
        <f t="shared" si="0"/>
        <v>2.52</v>
      </c>
      <c r="I84" s="5">
        <f>F84-SUMIFS(Pedidos!G:G, Pedidos!D:D, C84, Pedidos!E:E, E84, Pedidos!F:F, B84)</f>
        <v>3</v>
      </c>
      <c r="J84" s="10">
        <f t="shared" si="1"/>
        <v>2.52</v>
      </c>
    </row>
    <row r="85" spans="1:10" ht="15.75" customHeight="1">
      <c r="A85" s="5" t="s">
        <v>57</v>
      </c>
      <c r="B85" s="6" t="s">
        <v>153</v>
      </c>
      <c r="C85" s="11" t="s">
        <v>68</v>
      </c>
      <c r="D85" s="5"/>
      <c r="E85" s="12" t="s">
        <v>63</v>
      </c>
      <c r="F85" s="8">
        <v>30</v>
      </c>
      <c r="G85" s="9">
        <v>1.82</v>
      </c>
      <c r="H85" s="10">
        <f t="shared" si="0"/>
        <v>54.6</v>
      </c>
      <c r="I85" s="5">
        <f>F85-SUMIFS(Pedidos!G:G, Pedidos!D:D, C85, Pedidos!E:E, E85, Pedidos!F:F, B85)</f>
        <v>30</v>
      </c>
      <c r="J85" s="10">
        <f t="shared" si="1"/>
        <v>54.6</v>
      </c>
    </row>
    <row r="86" spans="1:10" ht="15.75" customHeight="1">
      <c r="A86" s="5" t="s">
        <v>57</v>
      </c>
      <c r="B86" s="6" t="s">
        <v>154</v>
      </c>
      <c r="C86" s="11" t="s">
        <v>62</v>
      </c>
      <c r="D86" s="5"/>
      <c r="E86" s="12" t="s">
        <v>63</v>
      </c>
      <c r="F86" s="8">
        <v>20</v>
      </c>
      <c r="G86" s="9">
        <v>0.84</v>
      </c>
      <c r="H86" s="10">
        <f t="shared" si="0"/>
        <v>16.8</v>
      </c>
      <c r="I86" s="5">
        <f>F86-SUMIFS(Pedidos!G:G, Pedidos!D:D, C86, Pedidos!E:E, E86, Pedidos!F:F, B86)</f>
        <v>20</v>
      </c>
      <c r="J86" s="10">
        <f t="shared" si="1"/>
        <v>16.8</v>
      </c>
    </row>
    <row r="87" spans="1:10" ht="15.75" customHeight="1">
      <c r="A87" s="5" t="s">
        <v>57</v>
      </c>
      <c r="B87" s="6" t="s">
        <v>155</v>
      </c>
      <c r="C87" s="11" t="s">
        <v>62</v>
      </c>
      <c r="D87" s="5"/>
      <c r="E87" s="12" t="s">
        <v>63</v>
      </c>
      <c r="F87" s="8">
        <v>9</v>
      </c>
      <c r="G87" s="9">
        <v>1.32</v>
      </c>
      <c r="H87" s="10">
        <f t="shared" si="0"/>
        <v>11.88</v>
      </c>
      <c r="I87" s="5">
        <f>F87-SUMIFS(Pedidos!G:G, Pedidos!D:D, C87, Pedidos!E:E, E87, Pedidos!F:F, B87)</f>
        <v>9</v>
      </c>
      <c r="J87" s="10">
        <f t="shared" si="1"/>
        <v>11.88</v>
      </c>
    </row>
    <row r="88" spans="1:10" ht="15.75" customHeight="1">
      <c r="A88" s="5" t="s">
        <v>57</v>
      </c>
      <c r="B88" s="6" t="s">
        <v>155</v>
      </c>
      <c r="C88" s="11" t="s">
        <v>68</v>
      </c>
      <c r="D88" s="5"/>
      <c r="E88" s="12" t="s">
        <v>63</v>
      </c>
      <c r="F88" s="8">
        <v>30</v>
      </c>
      <c r="G88" s="9">
        <v>2.4500000000000002</v>
      </c>
      <c r="H88" s="10">
        <f t="shared" si="0"/>
        <v>73.5</v>
      </c>
      <c r="I88" s="5">
        <f>F88-SUMIFS(Pedidos!G:G, Pedidos!D:D, C88, Pedidos!E:E, E88, Pedidos!F:F, B88)</f>
        <v>30</v>
      </c>
      <c r="J88" s="10">
        <f t="shared" si="1"/>
        <v>73.5</v>
      </c>
    </row>
    <row r="89" spans="1:10" ht="15.75" customHeight="1">
      <c r="A89" s="5" t="s">
        <v>57</v>
      </c>
      <c r="B89" s="6" t="s">
        <v>156</v>
      </c>
      <c r="C89" s="11" t="s">
        <v>62</v>
      </c>
      <c r="D89" s="5"/>
      <c r="E89" s="12" t="s">
        <v>63</v>
      </c>
      <c r="F89" s="8">
        <v>10</v>
      </c>
      <c r="G89" s="9">
        <v>0.83</v>
      </c>
      <c r="H89" s="10">
        <f t="shared" si="0"/>
        <v>8.2999999999999989</v>
      </c>
      <c r="I89" s="5">
        <f>F89-SUMIFS(Pedidos!G:G, Pedidos!D:D, C89, Pedidos!E:E, E89, Pedidos!F:F, B89)</f>
        <v>10</v>
      </c>
      <c r="J89" s="10">
        <f t="shared" si="1"/>
        <v>8.2999999999999989</v>
      </c>
    </row>
    <row r="90" spans="1:10" ht="15.75" customHeight="1">
      <c r="A90" s="5" t="s">
        <v>57</v>
      </c>
      <c r="B90" s="6" t="s">
        <v>156</v>
      </c>
      <c r="C90" s="11" t="s">
        <v>68</v>
      </c>
      <c r="D90" s="5"/>
      <c r="E90" s="12" t="s">
        <v>63</v>
      </c>
      <c r="F90" s="8">
        <v>20</v>
      </c>
      <c r="G90" s="9">
        <v>1.36</v>
      </c>
      <c r="H90" s="10">
        <f t="shared" si="0"/>
        <v>27.200000000000003</v>
      </c>
      <c r="I90" s="5">
        <f>F90-SUMIFS(Pedidos!G:G, Pedidos!D:D, C90, Pedidos!E:E, E90, Pedidos!F:F, B90)</f>
        <v>20</v>
      </c>
      <c r="J90" s="10">
        <f t="shared" si="1"/>
        <v>27.200000000000003</v>
      </c>
    </row>
    <row r="91" spans="1:10" ht="15.75" customHeight="1">
      <c r="A91" s="5" t="s">
        <v>57</v>
      </c>
      <c r="B91" s="6" t="s">
        <v>157</v>
      </c>
      <c r="C91" s="11" t="s">
        <v>62</v>
      </c>
      <c r="D91" s="5"/>
      <c r="E91" s="12" t="s">
        <v>63</v>
      </c>
      <c r="F91" s="8">
        <v>52</v>
      </c>
      <c r="G91" s="9">
        <v>0.65</v>
      </c>
      <c r="H91" s="10">
        <f t="shared" si="0"/>
        <v>33.800000000000004</v>
      </c>
      <c r="I91" s="5">
        <f>F91-SUMIFS(Pedidos!G:G, Pedidos!D:D, C91, Pedidos!E:E, E91, Pedidos!F:F, B91)</f>
        <v>52</v>
      </c>
      <c r="J91" s="10">
        <f t="shared" si="1"/>
        <v>33.800000000000004</v>
      </c>
    </row>
    <row r="92" spans="1:10" ht="15.75" customHeight="1">
      <c r="A92" s="5" t="s">
        <v>57</v>
      </c>
      <c r="B92" s="6" t="s">
        <v>157</v>
      </c>
      <c r="C92" s="11" t="s">
        <v>68</v>
      </c>
      <c r="D92" s="5"/>
      <c r="E92" s="12" t="s">
        <v>63</v>
      </c>
      <c r="F92" s="8">
        <v>20</v>
      </c>
      <c r="G92" s="9">
        <v>1.32</v>
      </c>
      <c r="H92" s="10">
        <f t="shared" si="0"/>
        <v>26.400000000000002</v>
      </c>
      <c r="I92" s="5">
        <f>F92-SUMIFS(Pedidos!G:G, Pedidos!D:D, C92, Pedidos!E:E, E92, Pedidos!F:F, B92)</f>
        <v>20</v>
      </c>
      <c r="J92" s="10">
        <f t="shared" si="1"/>
        <v>26.400000000000002</v>
      </c>
    </row>
    <row r="93" spans="1:10" ht="15.75" customHeight="1">
      <c r="A93" s="5" t="s">
        <v>57</v>
      </c>
      <c r="B93" s="6" t="s">
        <v>158</v>
      </c>
      <c r="C93" s="11" t="s">
        <v>62</v>
      </c>
      <c r="D93" s="5"/>
      <c r="E93" s="12" t="s">
        <v>63</v>
      </c>
      <c r="F93" s="8">
        <v>4</v>
      </c>
      <c r="G93" s="9">
        <v>5.76</v>
      </c>
      <c r="H93" s="10">
        <f t="shared" si="0"/>
        <v>23.04</v>
      </c>
      <c r="I93" s="5">
        <f>F93-SUMIFS(Pedidos!G:G, Pedidos!D:D, C93, Pedidos!E:E, E93, Pedidos!F:F, B93)</f>
        <v>4</v>
      </c>
      <c r="J93" s="10">
        <f t="shared" si="1"/>
        <v>23.04</v>
      </c>
    </row>
    <row r="94" spans="1:10" ht="15.75" customHeight="1">
      <c r="A94" s="5" t="s">
        <v>57</v>
      </c>
      <c r="B94" s="6" t="s">
        <v>158</v>
      </c>
      <c r="C94" s="11" t="s">
        <v>68</v>
      </c>
      <c r="D94" s="5"/>
      <c r="E94" s="12" t="s">
        <v>63</v>
      </c>
      <c r="F94" s="8">
        <v>20</v>
      </c>
      <c r="G94" s="9">
        <v>2.2999999999999998</v>
      </c>
      <c r="H94" s="10">
        <f t="shared" si="0"/>
        <v>46</v>
      </c>
      <c r="I94" s="5">
        <f>F94-SUMIFS(Pedidos!G:G, Pedidos!D:D, C94, Pedidos!E:E, E94, Pedidos!F:F, B94)</f>
        <v>20</v>
      </c>
      <c r="J94" s="10">
        <f t="shared" si="1"/>
        <v>46</v>
      </c>
    </row>
    <row r="95" spans="1:10" ht="15.75" customHeight="1">
      <c r="A95" s="5" t="s">
        <v>57</v>
      </c>
      <c r="B95" s="6" t="s">
        <v>159</v>
      </c>
      <c r="C95" s="11" t="s">
        <v>62</v>
      </c>
      <c r="D95" s="5"/>
      <c r="E95" s="12" t="s">
        <v>63</v>
      </c>
      <c r="F95" s="8">
        <v>10</v>
      </c>
      <c r="G95" s="9">
        <v>2.16</v>
      </c>
      <c r="H95" s="10">
        <f t="shared" si="0"/>
        <v>21.6</v>
      </c>
      <c r="I95" s="5">
        <f>F95-SUMIFS(Pedidos!G:G, Pedidos!D:D, C95, Pedidos!E:E, E95, Pedidos!F:F, B95)</f>
        <v>10</v>
      </c>
      <c r="J95" s="10">
        <f t="shared" si="1"/>
        <v>21.6</v>
      </c>
    </row>
    <row r="96" spans="1:10" ht="15.75" customHeight="1">
      <c r="A96" s="5" t="s">
        <v>57</v>
      </c>
      <c r="B96" s="6" t="s">
        <v>160</v>
      </c>
      <c r="C96" s="11" t="s">
        <v>62</v>
      </c>
      <c r="D96" s="5"/>
      <c r="E96" s="12" t="s">
        <v>63</v>
      </c>
      <c r="F96" s="8">
        <v>10</v>
      </c>
      <c r="G96" s="9">
        <v>2.16</v>
      </c>
      <c r="H96" s="10">
        <f t="shared" si="0"/>
        <v>21.6</v>
      </c>
      <c r="I96" s="5">
        <f>F96-SUMIFS(Pedidos!G:G, Pedidos!D:D, C96, Pedidos!E:E, E96, Pedidos!F:F, B96)</f>
        <v>10</v>
      </c>
      <c r="J96" s="10">
        <f t="shared" si="1"/>
        <v>21.6</v>
      </c>
    </row>
    <row r="97" spans="1:10" ht="15.75" customHeight="1">
      <c r="A97" s="5" t="s">
        <v>57</v>
      </c>
      <c r="B97" s="6" t="s">
        <v>161</v>
      </c>
      <c r="C97" s="11" t="s">
        <v>62</v>
      </c>
      <c r="D97" s="5"/>
      <c r="E97" s="12" t="s">
        <v>63</v>
      </c>
      <c r="F97" s="8">
        <v>1</v>
      </c>
      <c r="G97" s="9">
        <v>0.79</v>
      </c>
      <c r="H97" s="10">
        <f t="shared" si="0"/>
        <v>0.79</v>
      </c>
      <c r="I97" s="5">
        <f>F97-SUMIFS(Pedidos!G:G, Pedidos!D:D, C97, Pedidos!E:E, E97, Pedidos!F:F, B97)</f>
        <v>1</v>
      </c>
      <c r="J97" s="10">
        <f t="shared" si="1"/>
        <v>0.79</v>
      </c>
    </row>
    <row r="98" spans="1:10" ht="15.75" customHeight="1">
      <c r="A98" s="5" t="s">
        <v>57</v>
      </c>
      <c r="B98" s="6" t="s">
        <v>162</v>
      </c>
      <c r="C98" s="11" t="s">
        <v>62</v>
      </c>
      <c r="D98" s="5"/>
      <c r="E98" s="12" t="s">
        <v>63</v>
      </c>
      <c r="F98" s="8">
        <v>17</v>
      </c>
      <c r="G98" s="9">
        <v>0.88</v>
      </c>
      <c r="H98" s="10">
        <f t="shared" si="0"/>
        <v>14.96</v>
      </c>
      <c r="I98" s="5">
        <f>F98-SUMIFS(Pedidos!G:G, Pedidos!D:D, C98, Pedidos!E:E, E98, Pedidos!F:F, B98)</f>
        <v>17</v>
      </c>
      <c r="J98" s="10">
        <f t="shared" si="1"/>
        <v>14.96</v>
      </c>
    </row>
    <row r="99" spans="1:10" ht="15.75" customHeight="1">
      <c r="A99" s="5" t="s">
        <v>57</v>
      </c>
      <c r="B99" s="6" t="s">
        <v>163</v>
      </c>
      <c r="C99" s="11" t="s">
        <v>62</v>
      </c>
      <c r="D99" s="5"/>
      <c r="E99" s="12" t="s">
        <v>63</v>
      </c>
      <c r="F99" s="8">
        <v>18</v>
      </c>
      <c r="G99" s="9">
        <v>1.42</v>
      </c>
      <c r="H99" s="10">
        <f t="shared" si="0"/>
        <v>25.56</v>
      </c>
      <c r="I99" s="5">
        <f>F99-SUMIFS(Pedidos!G:G, Pedidos!D:D, C99, Pedidos!E:E, E99, Pedidos!F:F, B99)</f>
        <v>18</v>
      </c>
      <c r="J99" s="10">
        <f t="shared" si="1"/>
        <v>25.56</v>
      </c>
    </row>
    <row r="100" spans="1:10" ht="15.75" customHeight="1">
      <c r="A100" s="5" t="s">
        <v>57</v>
      </c>
      <c r="B100" s="6" t="s">
        <v>164</v>
      </c>
      <c r="C100" s="11" t="s">
        <v>62</v>
      </c>
      <c r="D100" s="5"/>
      <c r="E100" s="12" t="s">
        <v>63</v>
      </c>
      <c r="F100" s="8">
        <v>19</v>
      </c>
      <c r="G100" s="9">
        <v>0.79</v>
      </c>
      <c r="H100" s="10">
        <f t="shared" si="0"/>
        <v>15.010000000000002</v>
      </c>
      <c r="I100" s="5">
        <f>F100-SUMIFS(Pedidos!G:G, Pedidos!D:D, C100, Pedidos!E:E, E100, Pedidos!F:F, B100)</f>
        <v>19</v>
      </c>
      <c r="J100" s="10">
        <f t="shared" si="1"/>
        <v>15.010000000000002</v>
      </c>
    </row>
    <row r="101" spans="1:10" ht="15.75" customHeight="1">
      <c r="A101" s="5" t="s">
        <v>57</v>
      </c>
      <c r="B101" s="6" t="s">
        <v>165</v>
      </c>
      <c r="C101" s="11" t="s">
        <v>62</v>
      </c>
      <c r="D101" s="5"/>
      <c r="E101" s="12" t="s">
        <v>63</v>
      </c>
      <c r="F101" s="8">
        <v>11</v>
      </c>
      <c r="G101" s="9">
        <v>2.17</v>
      </c>
      <c r="H101" s="10">
        <f t="shared" si="0"/>
        <v>23.869999999999997</v>
      </c>
      <c r="I101" s="5">
        <f>F101-SUMIFS(Pedidos!G:G, Pedidos!D:D, C101, Pedidos!E:E, E101, Pedidos!F:F, B101)</f>
        <v>11</v>
      </c>
      <c r="J101" s="10">
        <f t="shared" si="1"/>
        <v>23.869999999999997</v>
      </c>
    </row>
    <row r="102" spans="1:10" ht="15.75" customHeight="1">
      <c r="A102" s="5" t="s">
        <v>57</v>
      </c>
      <c r="B102" s="6" t="s">
        <v>166</v>
      </c>
      <c r="C102" s="11" t="s">
        <v>62</v>
      </c>
      <c r="D102" s="5"/>
      <c r="E102" s="12" t="s">
        <v>63</v>
      </c>
      <c r="F102" s="8">
        <v>2</v>
      </c>
      <c r="G102" s="9">
        <v>5.5</v>
      </c>
      <c r="H102" s="10">
        <f t="shared" si="0"/>
        <v>11</v>
      </c>
      <c r="I102" s="5">
        <f>F102-SUMIFS(Pedidos!G:G, Pedidos!D:D, C102, Pedidos!E:E, E102, Pedidos!F:F, B102)</f>
        <v>2</v>
      </c>
      <c r="J102" s="10">
        <f t="shared" si="1"/>
        <v>11</v>
      </c>
    </row>
    <row r="103" spans="1:10" ht="15.75" customHeight="1">
      <c r="A103" s="5" t="s">
        <v>57</v>
      </c>
      <c r="B103" s="6" t="s">
        <v>167</v>
      </c>
      <c r="C103" s="11" t="s">
        <v>62</v>
      </c>
      <c r="D103" s="5"/>
      <c r="E103" s="12" t="s">
        <v>63</v>
      </c>
      <c r="F103" s="8">
        <v>6</v>
      </c>
      <c r="G103" s="9">
        <v>12.1</v>
      </c>
      <c r="H103" s="10">
        <f t="shared" si="0"/>
        <v>72.599999999999994</v>
      </c>
      <c r="I103" s="5">
        <f>F103-SUMIFS(Pedidos!G:G, Pedidos!D:D, C103, Pedidos!E:E, E103, Pedidos!F:F, B103)</f>
        <v>6</v>
      </c>
      <c r="J103" s="10">
        <f t="shared" si="1"/>
        <v>72.599999999999994</v>
      </c>
    </row>
    <row r="104" spans="1:10" ht="15.75" customHeight="1">
      <c r="A104" s="5" t="s">
        <v>57</v>
      </c>
      <c r="B104" s="6" t="s">
        <v>168</v>
      </c>
      <c r="C104" s="11" t="s">
        <v>62</v>
      </c>
      <c r="D104" s="5"/>
      <c r="E104" s="12" t="s">
        <v>63</v>
      </c>
      <c r="F104" s="8">
        <v>3</v>
      </c>
      <c r="G104" s="9">
        <v>24.2</v>
      </c>
      <c r="H104" s="10">
        <f t="shared" si="0"/>
        <v>72.599999999999994</v>
      </c>
      <c r="I104" s="5">
        <f>F104-SUMIFS(Pedidos!G:G, Pedidos!D:D, C104, Pedidos!E:E, E104, Pedidos!F:F, B104)</f>
        <v>3</v>
      </c>
      <c r="J104" s="10">
        <f t="shared" si="1"/>
        <v>72.599999999999994</v>
      </c>
    </row>
    <row r="105" spans="1:10" ht="15.75" customHeight="1">
      <c r="A105" s="5" t="s">
        <v>57</v>
      </c>
      <c r="B105" s="6" t="s">
        <v>169</v>
      </c>
      <c r="C105" s="11" t="s">
        <v>62</v>
      </c>
      <c r="D105" s="5"/>
      <c r="E105" s="12" t="s">
        <v>63</v>
      </c>
      <c r="F105" s="8">
        <v>8</v>
      </c>
      <c r="G105" s="9">
        <v>95</v>
      </c>
      <c r="H105" s="10">
        <f t="shared" si="0"/>
        <v>760</v>
      </c>
      <c r="I105" s="5">
        <f>F105-SUMIFS(Pedidos!G:G, Pedidos!D:D, C105, Pedidos!E:E, E105, Pedidos!F:F, B105)</f>
        <v>8</v>
      </c>
      <c r="J105" s="10">
        <f t="shared" si="1"/>
        <v>760</v>
      </c>
    </row>
    <row r="106" spans="1:10" ht="15.75" customHeight="1">
      <c r="A106" s="5" t="s">
        <v>57</v>
      </c>
      <c r="B106" s="6" t="s">
        <v>170</v>
      </c>
      <c r="C106" s="11" t="s">
        <v>62</v>
      </c>
      <c r="D106" s="5"/>
      <c r="E106" s="12" t="s">
        <v>63</v>
      </c>
      <c r="F106" s="8">
        <v>4</v>
      </c>
      <c r="G106" s="9">
        <v>196</v>
      </c>
      <c r="H106" s="10">
        <f t="shared" si="0"/>
        <v>784</v>
      </c>
      <c r="I106" s="5">
        <f>F106-SUMIFS(Pedidos!G:G, Pedidos!D:D, C106, Pedidos!E:E, E106, Pedidos!F:F, B106)</f>
        <v>4</v>
      </c>
      <c r="J106" s="10">
        <f t="shared" si="1"/>
        <v>784</v>
      </c>
    </row>
    <row r="107" spans="1:10" ht="15.75" customHeight="1">
      <c r="A107" s="5" t="s">
        <v>57</v>
      </c>
      <c r="B107" s="6" t="s">
        <v>171</v>
      </c>
      <c r="C107" s="11" t="s">
        <v>62</v>
      </c>
      <c r="D107" s="5"/>
      <c r="E107" s="12" t="s">
        <v>63</v>
      </c>
      <c r="F107" s="8">
        <v>4</v>
      </c>
      <c r="G107" s="9">
        <v>58.3</v>
      </c>
      <c r="H107" s="10">
        <f t="shared" si="0"/>
        <v>233.2</v>
      </c>
      <c r="I107" s="5">
        <f>F107-SUMIFS(Pedidos!G:G, Pedidos!D:D, C107, Pedidos!E:E, E107, Pedidos!F:F, B107)</f>
        <v>4</v>
      </c>
      <c r="J107" s="10">
        <f t="shared" si="1"/>
        <v>233.2</v>
      </c>
    </row>
    <row r="108" spans="1:10" ht="15.75" customHeight="1">
      <c r="A108" s="5" t="s">
        <v>57</v>
      </c>
      <c r="B108" s="6" t="s">
        <v>172</v>
      </c>
      <c r="C108" s="11" t="s">
        <v>62</v>
      </c>
      <c r="D108" s="5"/>
      <c r="E108" s="12" t="s">
        <v>63</v>
      </c>
      <c r="F108" s="8">
        <v>4</v>
      </c>
      <c r="G108" s="9">
        <v>196</v>
      </c>
      <c r="H108" s="10">
        <f t="shared" si="0"/>
        <v>784</v>
      </c>
      <c r="I108" s="5">
        <f>F108-SUMIFS(Pedidos!G:G, Pedidos!D:D, C108, Pedidos!E:E, E108, Pedidos!F:F, B108)</f>
        <v>4</v>
      </c>
      <c r="J108" s="10">
        <f t="shared" si="1"/>
        <v>784</v>
      </c>
    </row>
    <row r="109" spans="1:10" ht="15.75" customHeight="1">
      <c r="A109" s="5" t="s">
        <v>57</v>
      </c>
      <c r="B109" s="6" t="s">
        <v>173</v>
      </c>
      <c r="C109" s="5" t="s">
        <v>109</v>
      </c>
      <c r="D109" s="7" t="s">
        <v>174</v>
      </c>
      <c r="E109" s="5">
        <v>31</v>
      </c>
      <c r="F109" s="8">
        <v>20</v>
      </c>
      <c r="G109" s="9">
        <v>11650</v>
      </c>
      <c r="H109" s="10">
        <f t="shared" si="0"/>
        <v>233000</v>
      </c>
      <c r="I109" s="5">
        <f>F109-SUMIFS(Pedidos!G:G, Pedidos!D:D, C109, Pedidos!E:E, E109, Pedidos!F:F, B109)</f>
        <v>13</v>
      </c>
      <c r="J109" s="10">
        <f t="shared" si="1"/>
        <v>151450</v>
      </c>
    </row>
    <row r="110" spans="1:10" ht="15.75" customHeight="1">
      <c r="A110" s="5" t="s">
        <v>57</v>
      </c>
      <c r="B110" s="6" t="s">
        <v>175</v>
      </c>
      <c r="C110" s="11" t="s">
        <v>62</v>
      </c>
      <c r="D110" s="5"/>
      <c r="E110" s="12" t="s">
        <v>63</v>
      </c>
      <c r="F110" s="8">
        <v>5</v>
      </c>
      <c r="G110" s="9">
        <v>21.9</v>
      </c>
      <c r="H110" s="10">
        <f t="shared" si="0"/>
        <v>109.5</v>
      </c>
      <c r="I110" s="5">
        <f>F110-SUMIFS(Pedidos!G:G, Pedidos!D:D, C110, Pedidos!E:E, E110, Pedidos!F:F, B110)</f>
        <v>5</v>
      </c>
      <c r="J110" s="10">
        <f t="shared" si="1"/>
        <v>109.5</v>
      </c>
    </row>
    <row r="111" spans="1:10" ht="15.75" customHeight="1">
      <c r="A111" s="5" t="s">
        <v>57</v>
      </c>
      <c r="B111" s="6" t="s">
        <v>176</v>
      </c>
      <c r="C111" s="11" t="s">
        <v>62</v>
      </c>
      <c r="D111" s="5"/>
      <c r="E111" s="12" t="s">
        <v>63</v>
      </c>
      <c r="F111" s="8">
        <v>2878</v>
      </c>
      <c r="G111" s="9">
        <v>1.36</v>
      </c>
      <c r="H111" s="10">
        <f t="shared" si="0"/>
        <v>3914.0800000000004</v>
      </c>
      <c r="I111" s="5">
        <f>F111-SUMIFS(Pedidos!G:G, Pedidos!D:D, C111, Pedidos!E:E, E111, Pedidos!F:F, B111)</f>
        <v>2793</v>
      </c>
      <c r="J111" s="10">
        <f t="shared" si="1"/>
        <v>3798.4800000000005</v>
      </c>
    </row>
    <row r="112" spans="1:10" ht="15.75" customHeight="1">
      <c r="A112" s="5" t="s">
        <v>57</v>
      </c>
      <c r="B112" s="6" t="s">
        <v>177</v>
      </c>
      <c r="C112" s="11" t="s">
        <v>62</v>
      </c>
      <c r="D112" s="5"/>
      <c r="E112" s="12" t="s">
        <v>63</v>
      </c>
      <c r="F112" s="8">
        <v>1519</v>
      </c>
      <c r="G112" s="9">
        <v>1.81</v>
      </c>
      <c r="H112" s="10">
        <f t="shared" si="0"/>
        <v>2749.39</v>
      </c>
      <c r="I112" s="5">
        <f>F112-SUMIFS(Pedidos!G:G, Pedidos!D:D, C112, Pedidos!E:E, E112, Pedidos!F:F, B112)</f>
        <v>1434</v>
      </c>
      <c r="J112" s="10">
        <f t="shared" si="1"/>
        <v>2595.54</v>
      </c>
    </row>
    <row r="113" spans="1:10" ht="15.75" customHeight="1">
      <c r="A113" s="5" t="s">
        <v>57</v>
      </c>
      <c r="B113" s="6" t="s">
        <v>178</v>
      </c>
      <c r="C113" s="11" t="s">
        <v>62</v>
      </c>
      <c r="D113" s="5"/>
      <c r="E113" s="12" t="s">
        <v>63</v>
      </c>
      <c r="F113" s="8">
        <v>52</v>
      </c>
      <c r="G113" s="9">
        <v>2.2000000000000002</v>
      </c>
      <c r="H113" s="10">
        <f t="shared" si="0"/>
        <v>114.4</v>
      </c>
      <c r="I113" s="5">
        <f>F113-SUMIFS(Pedidos!G:G, Pedidos!D:D, C113, Pedidos!E:E, E113, Pedidos!F:F, B113)</f>
        <v>52</v>
      </c>
      <c r="J113" s="10">
        <f t="shared" si="1"/>
        <v>114.4</v>
      </c>
    </row>
    <row r="114" spans="1:10" ht="15.75" customHeight="1">
      <c r="A114" s="5" t="s">
        <v>57</v>
      </c>
      <c r="B114" s="6" t="s">
        <v>179</v>
      </c>
      <c r="C114" s="11" t="s">
        <v>62</v>
      </c>
      <c r="D114" s="5"/>
      <c r="E114" s="12" t="s">
        <v>63</v>
      </c>
      <c r="F114" s="8">
        <v>4</v>
      </c>
      <c r="G114" s="9">
        <v>31</v>
      </c>
      <c r="H114" s="10">
        <f t="shared" si="0"/>
        <v>124</v>
      </c>
      <c r="I114" s="5">
        <f>F114-SUMIFS(Pedidos!G:G, Pedidos!D:D, C114, Pedidos!E:E, E114, Pedidos!F:F, B114)</f>
        <v>0</v>
      </c>
      <c r="J114" s="10">
        <f t="shared" si="1"/>
        <v>0</v>
      </c>
    </row>
    <row r="115" spans="1:10" ht="15.75" customHeight="1">
      <c r="A115" s="5" t="s">
        <v>57</v>
      </c>
      <c r="B115" s="6" t="s">
        <v>180</v>
      </c>
      <c r="C115" s="5" t="s">
        <v>70</v>
      </c>
      <c r="D115" s="7" t="s">
        <v>181</v>
      </c>
      <c r="E115" s="5">
        <v>7</v>
      </c>
      <c r="F115" s="8">
        <v>50</v>
      </c>
      <c r="G115" s="9">
        <v>2262.6999999999998</v>
      </c>
      <c r="H115" s="10">
        <f t="shared" si="0"/>
        <v>113134.99999999999</v>
      </c>
      <c r="I115" s="5">
        <f>F115-SUMIFS(Pedidos!G:G, Pedidos!D:D, C115, Pedidos!E:E, E115, Pedidos!F:F, B115)</f>
        <v>50</v>
      </c>
      <c r="J115" s="10">
        <f t="shared" si="1"/>
        <v>113134.99999999999</v>
      </c>
    </row>
    <row r="116" spans="1:10" ht="15.75" customHeight="1">
      <c r="A116" s="5" t="s">
        <v>57</v>
      </c>
      <c r="B116" s="6" t="s">
        <v>180</v>
      </c>
      <c r="C116" s="5" t="s">
        <v>62</v>
      </c>
      <c r="D116" s="5" t="s">
        <v>181</v>
      </c>
      <c r="E116" s="5" t="s">
        <v>63</v>
      </c>
      <c r="F116" s="8">
        <v>20</v>
      </c>
      <c r="G116" s="9">
        <v>37</v>
      </c>
      <c r="H116" s="10">
        <f t="shared" si="0"/>
        <v>740</v>
      </c>
      <c r="I116" s="5">
        <f>F116-SUMIFS(Pedidos!G:G, Pedidos!D:D, C116, Pedidos!E:E, E116, Pedidos!F:F, B116)</f>
        <v>16</v>
      </c>
      <c r="J116" s="10">
        <f t="shared" si="1"/>
        <v>592</v>
      </c>
    </row>
    <row r="117" spans="1:10" ht="15.75" customHeight="1">
      <c r="A117" s="5" t="s">
        <v>57</v>
      </c>
      <c r="B117" s="6" t="s">
        <v>182</v>
      </c>
      <c r="C117" s="11" t="s">
        <v>62</v>
      </c>
      <c r="D117" s="5"/>
      <c r="E117" s="12" t="s">
        <v>63</v>
      </c>
      <c r="F117" s="8">
        <v>20</v>
      </c>
      <c r="G117" s="9">
        <v>2.81</v>
      </c>
      <c r="H117" s="10">
        <f t="shared" si="0"/>
        <v>56.2</v>
      </c>
      <c r="I117" s="5">
        <f>F117-SUMIFS(Pedidos!G:G, Pedidos!D:D, C117, Pedidos!E:E, E117, Pedidos!F:F, B117)</f>
        <v>20</v>
      </c>
      <c r="J117" s="10">
        <f t="shared" si="1"/>
        <v>56.2</v>
      </c>
    </row>
    <row r="118" spans="1:10" ht="15.75" customHeight="1">
      <c r="A118" s="5" t="s">
        <v>57</v>
      </c>
      <c r="B118" s="6" t="s">
        <v>183</v>
      </c>
      <c r="C118" s="11" t="s">
        <v>62</v>
      </c>
      <c r="D118" s="5"/>
      <c r="E118" s="12" t="s">
        <v>63</v>
      </c>
      <c r="F118" s="8">
        <v>24</v>
      </c>
      <c r="G118" s="9">
        <v>13.86</v>
      </c>
      <c r="H118" s="10">
        <f t="shared" si="0"/>
        <v>332.64</v>
      </c>
      <c r="I118" s="5">
        <f>F118-SUMIFS(Pedidos!G:G, Pedidos!D:D, C118, Pedidos!E:E, E118, Pedidos!F:F, B118)</f>
        <v>24</v>
      </c>
      <c r="J118" s="10">
        <f t="shared" si="1"/>
        <v>332.64</v>
      </c>
    </row>
    <row r="119" spans="1:10" ht="15.75" customHeight="1">
      <c r="A119" s="5" t="s">
        <v>57</v>
      </c>
      <c r="B119" s="6" t="s">
        <v>183</v>
      </c>
      <c r="C119" s="11" t="s">
        <v>68</v>
      </c>
      <c r="D119" s="5"/>
      <c r="E119" s="12" t="s">
        <v>63</v>
      </c>
      <c r="F119" s="8">
        <v>10</v>
      </c>
      <c r="G119" s="9">
        <v>21.3</v>
      </c>
      <c r="H119" s="10">
        <f t="shared" si="0"/>
        <v>213</v>
      </c>
      <c r="I119" s="5">
        <f>F119-SUMIFS(Pedidos!G:G, Pedidos!D:D, C119, Pedidos!E:E, E119, Pedidos!F:F, B119)</f>
        <v>10</v>
      </c>
      <c r="J119" s="10">
        <f t="shared" si="1"/>
        <v>213</v>
      </c>
    </row>
    <row r="120" spans="1:10" ht="15.75" customHeight="1">
      <c r="A120" s="5" t="s">
        <v>57</v>
      </c>
      <c r="B120" s="6" t="s">
        <v>184</v>
      </c>
      <c r="C120" s="11" t="s">
        <v>62</v>
      </c>
      <c r="D120" s="5"/>
      <c r="E120" s="12" t="s">
        <v>63</v>
      </c>
      <c r="F120" s="8">
        <v>1</v>
      </c>
      <c r="G120" s="9">
        <v>186</v>
      </c>
      <c r="H120" s="10">
        <f t="shared" si="0"/>
        <v>186</v>
      </c>
      <c r="I120" s="5">
        <f>F120-SUMIFS(Pedidos!G:G, Pedidos!D:D, C120, Pedidos!E:E, E120, Pedidos!F:F, B120)</f>
        <v>1</v>
      </c>
      <c r="J120" s="10">
        <f t="shared" si="1"/>
        <v>186</v>
      </c>
    </row>
    <row r="121" spans="1:10" ht="15.75" customHeight="1">
      <c r="A121" s="5" t="s">
        <v>57</v>
      </c>
      <c r="B121" s="6" t="s">
        <v>185</v>
      </c>
      <c r="C121" s="5" t="s">
        <v>109</v>
      </c>
      <c r="D121" s="7" t="s">
        <v>186</v>
      </c>
      <c r="E121" s="5">
        <v>18</v>
      </c>
      <c r="F121" s="8">
        <v>10</v>
      </c>
      <c r="G121" s="9">
        <v>11800</v>
      </c>
      <c r="H121" s="10">
        <f t="shared" si="0"/>
        <v>118000</v>
      </c>
      <c r="I121" s="5">
        <f>F121-SUMIFS(Pedidos!G:G, Pedidos!D:D, C121, Pedidos!E:E, E121, Pedidos!F:F, B121)</f>
        <v>9</v>
      </c>
      <c r="J121" s="10">
        <f t="shared" si="1"/>
        <v>106200</v>
      </c>
    </row>
    <row r="122" spans="1:10" ht="15.75" customHeight="1">
      <c r="A122" s="5" t="s">
        <v>57</v>
      </c>
      <c r="B122" s="6" t="s">
        <v>187</v>
      </c>
      <c r="C122" s="11" t="s">
        <v>62</v>
      </c>
      <c r="D122" s="5"/>
      <c r="E122" s="12" t="s">
        <v>63</v>
      </c>
      <c r="F122" s="8">
        <v>24</v>
      </c>
      <c r="G122" s="9">
        <v>6</v>
      </c>
      <c r="H122" s="10">
        <f t="shared" si="0"/>
        <v>144</v>
      </c>
      <c r="I122" s="5">
        <f>F122-SUMIFS(Pedidos!G:G, Pedidos!D:D, C122, Pedidos!E:E, E122, Pedidos!F:F, B122)</f>
        <v>24</v>
      </c>
      <c r="J122" s="10">
        <f t="shared" si="1"/>
        <v>144</v>
      </c>
    </row>
    <row r="123" spans="1:10" ht="15.75" customHeight="1">
      <c r="A123" s="5" t="s">
        <v>57</v>
      </c>
      <c r="B123" s="6" t="s">
        <v>188</v>
      </c>
      <c r="C123" s="11" t="s">
        <v>62</v>
      </c>
      <c r="D123" s="5"/>
      <c r="E123" s="12" t="s">
        <v>63</v>
      </c>
      <c r="F123" s="8">
        <v>10</v>
      </c>
      <c r="G123" s="9">
        <v>38.18</v>
      </c>
      <c r="H123" s="10">
        <f t="shared" si="0"/>
        <v>381.8</v>
      </c>
      <c r="I123" s="5">
        <f>F123-SUMIFS(Pedidos!G:G, Pedidos!D:D, C123, Pedidos!E:E, E123, Pedidos!F:F, B123)</f>
        <v>10</v>
      </c>
      <c r="J123" s="10">
        <f t="shared" si="1"/>
        <v>381.8</v>
      </c>
    </row>
    <row r="124" spans="1:10" ht="15.75" customHeight="1">
      <c r="A124" s="5" t="s">
        <v>57</v>
      </c>
      <c r="B124" s="6" t="s">
        <v>189</v>
      </c>
      <c r="C124" s="11" t="s">
        <v>62</v>
      </c>
      <c r="D124" s="5"/>
      <c r="E124" s="12" t="s">
        <v>63</v>
      </c>
      <c r="F124" s="8">
        <v>11</v>
      </c>
      <c r="G124" s="9">
        <v>16.600000000000001</v>
      </c>
      <c r="H124" s="10">
        <f t="shared" si="0"/>
        <v>182.60000000000002</v>
      </c>
      <c r="I124" s="5">
        <f>F124-SUMIFS(Pedidos!G:G, Pedidos!D:D, C124, Pedidos!E:E, E124, Pedidos!F:F, B124)</f>
        <v>11</v>
      </c>
      <c r="J124" s="10">
        <f t="shared" si="1"/>
        <v>182.60000000000002</v>
      </c>
    </row>
    <row r="125" spans="1:10" ht="15.75" customHeight="1">
      <c r="A125" s="5" t="s">
        <v>57</v>
      </c>
      <c r="B125" s="6" t="s">
        <v>190</v>
      </c>
      <c r="C125" s="5" t="s">
        <v>109</v>
      </c>
      <c r="D125" s="7" t="s">
        <v>191</v>
      </c>
      <c r="E125" s="5">
        <v>9</v>
      </c>
      <c r="F125" s="8">
        <v>20</v>
      </c>
      <c r="G125" s="9">
        <v>11500</v>
      </c>
      <c r="H125" s="10">
        <f t="shared" si="0"/>
        <v>230000</v>
      </c>
      <c r="I125" s="5">
        <f>F125-SUMIFS(Pedidos!G:G, Pedidos!D:D, C125, Pedidos!E:E, E125, Pedidos!F:F, B125)</f>
        <v>13</v>
      </c>
      <c r="J125" s="10">
        <f t="shared" si="1"/>
        <v>149500</v>
      </c>
    </row>
    <row r="126" spans="1:10" ht="15.75" customHeight="1">
      <c r="A126" s="5" t="s">
        <v>57</v>
      </c>
      <c r="B126" s="6" t="s">
        <v>192</v>
      </c>
      <c r="C126" s="11" t="s">
        <v>62</v>
      </c>
      <c r="D126" s="5"/>
      <c r="E126" s="12" t="s">
        <v>63</v>
      </c>
      <c r="F126" s="8">
        <v>7</v>
      </c>
      <c r="G126" s="9">
        <v>81.94</v>
      </c>
      <c r="H126" s="10">
        <f t="shared" si="0"/>
        <v>573.57999999999993</v>
      </c>
      <c r="I126" s="5">
        <f>F126-SUMIFS(Pedidos!G:G, Pedidos!D:D, C126, Pedidos!E:E, E126, Pedidos!F:F, B126)</f>
        <v>7</v>
      </c>
      <c r="J126" s="10">
        <f t="shared" si="1"/>
        <v>573.57999999999993</v>
      </c>
    </row>
    <row r="127" spans="1:10" ht="15.75" customHeight="1">
      <c r="A127" s="5" t="s">
        <v>57</v>
      </c>
      <c r="B127" s="6" t="s">
        <v>193</v>
      </c>
      <c r="C127" s="11" t="s">
        <v>62</v>
      </c>
      <c r="D127" s="5"/>
      <c r="E127" s="12" t="s">
        <v>63</v>
      </c>
      <c r="F127" s="8">
        <v>13</v>
      </c>
      <c r="G127" s="9">
        <v>2.6</v>
      </c>
      <c r="H127" s="10">
        <f t="shared" si="0"/>
        <v>33.800000000000004</v>
      </c>
      <c r="I127" s="5">
        <f>F127-SUMIFS(Pedidos!G:G, Pedidos!D:D, C127, Pedidos!E:E, E127, Pedidos!F:F, B127)</f>
        <v>13</v>
      </c>
      <c r="J127" s="10">
        <f t="shared" si="1"/>
        <v>33.800000000000004</v>
      </c>
    </row>
    <row r="128" spans="1:10" ht="15.75" customHeight="1">
      <c r="A128" s="5" t="s">
        <v>57</v>
      </c>
      <c r="B128" s="6" t="s">
        <v>194</v>
      </c>
      <c r="C128" s="11" t="s">
        <v>62</v>
      </c>
      <c r="D128" s="5"/>
      <c r="E128" s="12" t="s">
        <v>63</v>
      </c>
      <c r="F128" s="8">
        <v>6</v>
      </c>
      <c r="G128" s="9">
        <v>3.5</v>
      </c>
      <c r="H128" s="10">
        <f t="shared" si="0"/>
        <v>21</v>
      </c>
      <c r="I128" s="5">
        <f>F128-SUMIFS(Pedidos!G:G, Pedidos!D:D, C128, Pedidos!E:E, E128, Pedidos!F:F, B128)</f>
        <v>6</v>
      </c>
      <c r="J128" s="10">
        <f t="shared" si="1"/>
        <v>21</v>
      </c>
    </row>
    <row r="129" spans="1:10" ht="15.75" customHeight="1">
      <c r="A129" s="5" t="s">
        <v>57</v>
      </c>
      <c r="B129" s="6" t="s">
        <v>195</v>
      </c>
      <c r="C129" s="11" t="s">
        <v>62</v>
      </c>
      <c r="D129" s="5"/>
      <c r="E129" s="12" t="s">
        <v>63</v>
      </c>
      <c r="F129" s="8">
        <v>2</v>
      </c>
      <c r="G129" s="9">
        <v>2.4</v>
      </c>
      <c r="H129" s="10">
        <f t="shared" si="0"/>
        <v>4.8</v>
      </c>
      <c r="I129" s="5">
        <f>F129-SUMIFS(Pedidos!G:G, Pedidos!D:D, C129, Pedidos!E:E, E129, Pedidos!F:F, B129)</f>
        <v>2</v>
      </c>
      <c r="J129" s="10">
        <f t="shared" si="1"/>
        <v>4.8</v>
      </c>
    </row>
    <row r="130" spans="1:10" ht="15.75" customHeight="1">
      <c r="A130" s="5" t="s">
        <v>57</v>
      </c>
      <c r="B130" s="6" t="s">
        <v>196</v>
      </c>
      <c r="C130" s="11" t="s">
        <v>62</v>
      </c>
      <c r="D130" s="5"/>
      <c r="E130" s="12" t="s">
        <v>63</v>
      </c>
      <c r="F130" s="8">
        <v>6</v>
      </c>
      <c r="G130" s="9">
        <v>5.3</v>
      </c>
      <c r="H130" s="10">
        <f t="shared" si="0"/>
        <v>31.799999999999997</v>
      </c>
      <c r="I130" s="5">
        <f>F130-SUMIFS(Pedidos!G:G, Pedidos!D:D, C130, Pedidos!E:E, E130, Pedidos!F:F, B130)</f>
        <v>6</v>
      </c>
      <c r="J130" s="10">
        <f t="shared" si="1"/>
        <v>31.799999999999997</v>
      </c>
    </row>
    <row r="131" spans="1:10" ht="15.75" customHeight="1">
      <c r="A131" s="5" t="s">
        <v>57</v>
      </c>
      <c r="B131" s="6" t="s">
        <v>197</v>
      </c>
      <c r="C131" s="11" t="s">
        <v>62</v>
      </c>
      <c r="D131" s="5"/>
      <c r="E131" s="12" t="s">
        <v>63</v>
      </c>
      <c r="F131" s="8">
        <v>8</v>
      </c>
      <c r="G131" s="9">
        <v>0.82</v>
      </c>
      <c r="H131" s="10">
        <f t="shared" si="0"/>
        <v>6.56</v>
      </c>
      <c r="I131" s="5">
        <f>F131-SUMIFS(Pedidos!G:G, Pedidos!D:D, C131, Pedidos!E:E, E131, Pedidos!F:F, B131)</f>
        <v>8</v>
      </c>
      <c r="J131" s="10">
        <f t="shared" si="1"/>
        <v>6.56</v>
      </c>
    </row>
    <row r="132" spans="1:10" ht="15.75" customHeight="1">
      <c r="A132" s="5" t="s">
        <v>57</v>
      </c>
      <c r="B132" s="6" t="s">
        <v>198</v>
      </c>
      <c r="C132" s="11" t="s">
        <v>62</v>
      </c>
      <c r="D132" s="5"/>
      <c r="E132" s="12" t="s">
        <v>63</v>
      </c>
      <c r="F132" s="8">
        <v>8</v>
      </c>
      <c r="G132" s="9">
        <v>1.04</v>
      </c>
      <c r="H132" s="10">
        <f t="shared" si="0"/>
        <v>8.32</v>
      </c>
      <c r="I132" s="5">
        <f>F132-SUMIFS(Pedidos!G:G, Pedidos!D:D, C132, Pedidos!E:E, E132, Pedidos!F:F, B132)</f>
        <v>8</v>
      </c>
      <c r="J132" s="10">
        <f t="shared" si="1"/>
        <v>8.32</v>
      </c>
    </row>
    <row r="133" spans="1:10" ht="15.75" customHeight="1">
      <c r="A133" s="5" t="s">
        <v>57</v>
      </c>
      <c r="B133" s="6" t="s">
        <v>199</v>
      </c>
      <c r="C133" s="11" t="s">
        <v>62</v>
      </c>
      <c r="D133" s="5"/>
      <c r="E133" s="12" t="s">
        <v>63</v>
      </c>
      <c r="F133" s="8">
        <v>18</v>
      </c>
      <c r="G133" s="9">
        <v>1.17</v>
      </c>
      <c r="H133" s="10">
        <f t="shared" si="0"/>
        <v>21.06</v>
      </c>
      <c r="I133" s="5">
        <f>F133-SUMIFS(Pedidos!G:G, Pedidos!D:D, C133, Pedidos!E:E, E133, Pedidos!F:F, B133)</f>
        <v>18</v>
      </c>
      <c r="J133" s="10">
        <f t="shared" si="1"/>
        <v>21.06</v>
      </c>
    </row>
    <row r="134" spans="1:10" ht="15.75" customHeight="1">
      <c r="A134" s="5" t="s">
        <v>57</v>
      </c>
      <c r="B134" s="6" t="s">
        <v>200</v>
      </c>
      <c r="C134" s="11" t="s">
        <v>62</v>
      </c>
      <c r="D134" s="5"/>
      <c r="E134" s="12" t="s">
        <v>63</v>
      </c>
      <c r="F134" s="8">
        <v>17</v>
      </c>
      <c r="G134" s="9">
        <v>0.95</v>
      </c>
      <c r="H134" s="10">
        <f t="shared" si="0"/>
        <v>16.149999999999999</v>
      </c>
      <c r="I134" s="5">
        <f>F134-SUMIFS(Pedidos!G:G, Pedidos!D:D, C134, Pedidos!E:E, E134, Pedidos!F:F, B134)</f>
        <v>17</v>
      </c>
      <c r="J134" s="10">
        <f t="shared" si="1"/>
        <v>16.149999999999999</v>
      </c>
    </row>
    <row r="135" spans="1:10" ht="15.75" customHeight="1">
      <c r="A135" s="5" t="s">
        <v>57</v>
      </c>
      <c r="B135" s="6" t="s">
        <v>201</v>
      </c>
      <c r="C135" s="11" t="s">
        <v>62</v>
      </c>
      <c r="D135" s="5"/>
      <c r="E135" s="12" t="s">
        <v>63</v>
      </c>
      <c r="F135" s="8">
        <v>28</v>
      </c>
      <c r="G135" s="9">
        <v>1.17</v>
      </c>
      <c r="H135" s="10">
        <f t="shared" si="0"/>
        <v>32.76</v>
      </c>
      <c r="I135" s="5">
        <f>F135-SUMIFS(Pedidos!G:G, Pedidos!D:D, C135, Pedidos!E:E, E135, Pedidos!F:F, B135)</f>
        <v>28</v>
      </c>
      <c r="J135" s="10">
        <f t="shared" si="1"/>
        <v>32.76</v>
      </c>
    </row>
    <row r="136" spans="1:10" ht="15.75" customHeight="1">
      <c r="A136" s="5" t="s">
        <v>57</v>
      </c>
      <c r="B136" s="6" t="s">
        <v>202</v>
      </c>
      <c r="C136" s="11" t="s">
        <v>62</v>
      </c>
      <c r="D136" s="5"/>
      <c r="E136" s="12" t="s">
        <v>63</v>
      </c>
      <c r="F136" s="8">
        <v>19</v>
      </c>
      <c r="G136" s="9">
        <v>1.28</v>
      </c>
      <c r="H136" s="10">
        <f t="shared" si="0"/>
        <v>24.32</v>
      </c>
      <c r="I136" s="5">
        <f>F136-SUMIFS(Pedidos!G:G, Pedidos!D:D, C136, Pedidos!E:E, E136, Pedidos!F:F, B136)</f>
        <v>19</v>
      </c>
      <c r="J136" s="10">
        <f t="shared" si="1"/>
        <v>24.32</v>
      </c>
    </row>
    <row r="137" spans="1:10" ht="15.75" customHeight="1">
      <c r="A137" s="5" t="s">
        <v>57</v>
      </c>
      <c r="B137" s="6" t="s">
        <v>203</v>
      </c>
      <c r="C137" s="11" t="s">
        <v>62</v>
      </c>
      <c r="D137" s="5"/>
      <c r="E137" s="12" t="s">
        <v>63</v>
      </c>
      <c r="F137" s="8">
        <v>20</v>
      </c>
      <c r="G137" s="9">
        <v>1.48</v>
      </c>
      <c r="H137" s="10">
        <f t="shared" si="0"/>
        <v>29.6</v>
      </c>
      <c r="I137" s="5">
        <f>F137-SUMIFS(Pedidos!G:G, Pedidos!D:D, C137, Pedidos!E:E, E137, Pedidos!F:F, B137)</f>
        <v>20</v>
      </c>
      <c r="J137" s="10">
        <f t="shared" si="1"/>
        <v>29.6</v>
      </c>
    </row>
    <row r="138" spans="1:10" ht="15.75" customHeight="1">
      <c r="A138" s="5" t="s">
        <v>57</v>
      </c>
      <c r="B138" s="6" t="s">
        <v>204</v>
      </c>
      <c r="C138" s="11" t="s">
        <v>62</v>
      </c>
      <c r="D138" s="5"/>
      <c r="E138" s="12" t="s">
        <v>63</v>
      </c>
      <c r="F138" s="8">
        <v>8</v>
      </c>
      <c r="G138" s="9">
        <v>5.2</v>
      </c>
      <c r="H138" s="10">
        <f t="shared" si="0"/>
        <v>41.6</v>
      </c>
      <c r="I138" s="5">
        <f>F138-SUMIFS(Pedidos!G:G, Pedidos!D:D, C138, Pedidos!E:E, E138, Pedidos!F:F, B138)</f>
        <v>8</v>
      </c>
      <c r="J138" s="10">
        <f t="shared" si="1"/>
        <v>41.6</v>
      </c>
    </row>
    <row r="139" spans="1:10" ht="15.75" customHeight="1">
      <c r="A139" s="5" t="s">
        <v>57</v>
      </c>
      <c r="B139" s="6" t="s">
        <v>205</v>
      </c>
      <c r="C139" s="11" t="s">
        <v>62</v>
      </c>
      <c r="D139" s="5"/>
      <c r="E139" s="12" t="s">
        <v>63</v>
      </c>
      <c r="F139" s="8">
        <v>9</v>
      </c>
      <c r="G139" s="9">
        <v>6.18</v>
      </c>
      <c r="H139" s="10">
        <f t="shared" si="0"/>
        <v>55.62</v>
      </c>
      <c r="I139" s="5">
        <f>F139-SUMIFS(Pedidos!G:G, Pedidos!D:D, C139, Pedidos!E:E, E139, Pedidos!F:F, B139)</f>
        <v>9</v>
      </c>
      <c r="J139" s="10">
        <f t="shared" si="1"/>
        <v>55.62</v>
      </c>
    </row>
    <row r="140" spans="1:10" ht="15.75" customHeight="1">
      <c r="A140" s="5" t="s">
        <v>57</v>
      </c>
      <c r="B140" s="6" t="s">
        <v>206</v>
      </c>
      <c r="C140" s="11" t="s">
        <v>62</v>
      </c>
      <c r="D140" s="5"/>
      <c r="E140" s="12" t="s">
        <v>63</v>
      </c>
      <c r="F140" s="8">
        <v>6</v>
      </c>
      <c r="G140" s="9">
        <v>34200</v>
      </c>
      <c r="H140" s="10">
        <f t="shared" si="0"/>
        <v>205200</v>
      </c>
      <c r="I140" s="5">
        <f>F140-SUMIFS(Pedidos!G:G, Pedidos!D:D, C140, Pedidos!E:E, E140, Pedidos!F:F, B140)</f>
        <v>5</v>
      </c>
      <c r="J140" s="10">
        <f t="shared" si="1"/>
        <v>171000</v>
      </c>
    </row>
    <row r="141" spans="1:10" ht="15.75" customHeight="1">
      <c r="A141" s="5" t="s">
        <v>57</v>
      </c>
      <c r="B141" s="6" t="s">
        <v>207</v>
      </c>
      <c r="C141" s="5" t="s">
        <v>208</v>
      </c>
      <c r="D141" s="7" t="s">
        <v>110</v>
      </c>
      <c r="E141" s="5">
        <v>16</v>
      </c>
      <c r="F141" s="8">
        <v>10</v>
      </c>
      <c r="G141" s="9">
        <v>22395</v>
      </c>
      <c r="H141" s="10">
        <f t="shared" si="0"/>
        <v>223950</v>
      </c>
      <c r="I141" s="5">
        <f>F141-SUMIFS(Pedidos!G:G, Pedidos!D:D, C141, Pedidos!E:E, E141, Pedidos!F:F, B141)</f>
        <v>10</v>
      </c>
      <c r="J141" s="10">
        <f t="shared" si="1"/>
        <v>223950</v>
      </c>
    </row>
    <row r="142" spans="1:10" ht="15.75" customHeight="1">
      <c r="A142" s="5" t="s">
        <v>57</v>
      </c>
      <c r="B142" s="6" t="s">
        <v>209</v>
      </c>
      <c r="C142" s="11" t="s">
        <v>62</v>
      </c>
      <c r="D142" s="5"/>
      <c r="E142" s="12" t="s">
        <v>63</v>
      </c>
      <c r="F142" s="8">
        <v>4</v>
      </c>
      <c r="G142" s="9">
        <v>3.76</v>
      </c>
      <c r="H142" s="10">
        <f t="shared" si="0"/>
        <v>15.04</v>
      </c>
      <c r="I142" s="5">
        <f>F142-SUMIFS(Pedidos!G:G, Pedidos!D:D, C142, Pedidos!E:E, E142, Pedidos!F:F, B142)</f>
        <v>4</v>
      </c>
      <c r="J142" s="10">
        <f t="shared" si="1"/>
        <v>15.04</v>
      </c>
    </row>
    <row r="143" spans="1:10" ht="15.75" customHeight="1">
      <c r="A143" s="5" t="s">
        <v>57</v>
      </c>
      <c r="B143" s="6" t="s">
        <v>209</v>
      </c>
      <c r="C143" s="11" t="s">
        <v>68</v>
      </c>
      <c r="D143" s="5"/>
      <c r="E143" s="12" t="s">
        <v>63</v>
      </c>
      <c r="F143" s="8">
        <v>25</v>
      </c>
      <c r="G143" s="9">
        <v>8.4</v>
      </c>
      <c r="H143" s="10">
        <f t="shared" si="0"/>
        <v>210</v>
      </c>
      <c r="I143" s="5">
        <f>F143-SUMIFS(Pedidos!G:G, Pedidos!D:D, C143, Pedidos!E:E, E143, Pedidos!F:F, B143)</f>
        <v>25</v>
      </c>
      <c r="J143" s="10">
        <f t="shared" si="1"/>
        <v>210</v>
      </c>
    </row>
    <row r="144" spans="1:10" ht="15.75" customHeight="1">
      <c r="A144" s="5" t="s">
        <v>57</v>
      </c>
      <c r="B144" s="6" t="s">
        <v>210</v>
      </c>
      <c r="C144" s="11" t="s">
        <v>62</v>
      </c>
      <c r="D144" s="5"/>
      <c r="E144" s="12" t="s">
        <v>63</v>
      </c>
      <c r="F144" s="8">
        <v>1</v>
      </c>
      <c r="G144" s="9">
        <v>95</v>
      </c>
      <c r="H144" s="10">
        <f t="shared" si="0"/>
        <v>95</v>
      </c>
      <c r="I144" s="5">
        <f>F144-SUMIFS(Pedidos!G:G, Pedidos!D:D, C144, Pedidos!E:E, E144, Pedidos!F:F, B144)</f>
        <v>0</v>
      </c>
      <c r="J144" s="10">
        <f t="shared" si="1"/>
        <v>0</v>
      </c>
    </row>
    <row r="145" spans="1:10" ht="15.75" customHeight="1">
      <c r="A145" s="5" t="s">
        <v>57</v>
      </c>
      <c r="B145" s="6" t="s">
        <v>211</v>
      </c>
      <c r="C145" s="11" t="s">
        <v>62</v>
      </c>
      <c r="D145" s="5"/>
      <c r="E145" s="12" t="s">
        <v>63</v>
      </c>
      <c r="F145" s="8">
        <v>1</v>
      </c>
      <c r="G145" s="9">
        <v>3.2</v>
      </c>
      <c r="H145" s="10">
        <f t="shared" si="0"/>
        <v>3.2</v>
      </c>
      <c r="I145" s="5">
        <f>F145-SUMIFS(Pedidos!G:G, Pedidos!D:D, C145, Pedidos!E:E, E145, Pedidos!F:F, B145)</f>
        <v>1</v>
      </c>
      <c r="J145" s="10">
        <f t="shared" si="1"/>
        <v>3.2</v>
      </c>
    </row>
    <row r="146" spans="1:10" ht="15.75" customHeight="1">
      <c r="A146" s="5" t="s">
        <v>57</v>
      </c>
      <c r="B146" s="6" t="s">
        <v>212</v>
      </c>
      <c r="C146" s="11" t="s">
        <v>62</v>
      </c>
      <c r="D146" s="5"/>
      <c r="E146" s="12" t="s">
        <v>63</v>
      </c>
      <c r="F146" s="8">
        <v>5</v>
      </c>
      <c r="G146" s="9">
        <v>0.76</v>
      </c>
      <c r="H146" s="10">
        <f t="shared" si="0"/>
        <v>3.8</v>
      </c>
      <c r="I146" s="5">
        <f>F146-SUMIFS(Pedidos!G:G, Pedidos!D:D, C146, Pedidos!E:E, E146, Pedidos!F:F, B146)</f>
        <v>5</v>
      </c>
      <c r="J146" s="10">
        <f t="shared" si="1"/>
        <v>3.8</v>
      </c>
    </row>
    <row r="147" spans="1:10" ht="15.75" customHeight="1">
      <c r="A147" s="5" t="s">
        <v>57</v>
      </c>
      <c r="B147" s="6" t="s">
        <v>212</v>
      </c>
      <c r="C147" s="11" t="s">
        <v>68</v>
      </c>
      <c r="D147" s="5"/>
      <c r="E147" s="12" t="s">
        <v>63</v>
      </c>
      <c r="F147" s="8">
        <v>20</v>
      </c>
      <c r="G147" s="9">
        <v>0.85</v>
      </c>
      <c r="H147" s="10">
        <f t="shared" si="0"/>
        <v>17</v>
      </c>
      <c r="I147" s="5">
        <f>F147-SUMIFS(Pedidos!G:G, Pedidos!D:D, C147, Pedidos!E:E, E147, Pedidos!F:F, B147)</f>
        <v>20</v>
      </c>
      <c r="J147" s="10">
        <f t="shared" si="1"/>
        <v>17</v>
      </c>
    </row>
    <row r="148" spans="1:10" ht="15.75" customHeight="1">
      <c r="A148" s="5" t="s">
        <v>57</v>
      </c>
      <c r="B148" s="6" t="s">
        <v>213</v>
      </c>
      <c r="C148" s="11" t="s">
        <v>62</v>
      </c>
      <c r="D148" s="5"/>
      <c r="E148" s="12" t="s">
        <v>63</v>
      </c>
      <c r="F148" s="8">
        <v>3</v>
      </c>
      <c r="G148" s="9">
        <v>1.1000000000000001</v>
      </c>
      <c r="H148" s="10">
        <f t="shared" si="0"/>
        <v>3.3000000000000003</v>
      </c>
      <c r="I148" s="5">
        <f>F148-SUMIFS(Pedidos!G:G, Pedidos!D:D, C148, Pedidos!E:E, E148, Pedidos!F:F, B148)</f>
        <v>3</v>
      </c>
      <c r="J148" s="10">
        <f t="shared" si="1"/>
        <v>3.3000000000000003</v>
      </c>
    </row>
    <row r="149" spans="1:10" ht="15.75" customHeight="1">
      <c r="A149" s="5" t="s">
        <v>57</v>
      </c>
      <c r="B149" s="6" t="s">
        <v>213</v>
      </c>
      <c r="C149" s="11" t="s">
        <v>68</v>
      </c>
      <c r="D149" s="5"/>
      <c r="E149" s="12" t="s">
        <v>63</v>
      </c>
      <c r="F149" s="8">
        <v>20</v>
      </c>
      <c r="G149" s="9">
        <v>1.25</v>
      </c>
      <c r="H149" s="10">
        <f t="shared" si="0"/>
        <v>25</v>
      </c>
      <c r="I149" s="5">
        <f>F149-SUMIFS(Pedidos!G:G, Pedidos!D:D, C149, Pedidos!E:E, E149, Pedidos!F:F, B149)</f>
        <v>20</v>
      </c>
      <c r="J149" s="10">
        <f t="shared" si="1"/>
        <v>25</v>
      </c>
    </row>
    <row r="150" spans="1:10" ht="15.75" customHeight="1">
      <c r="A150" s="5" t="s">
        <v>57</v>
      </c>
      <c r="B150" s="6" t="s">
        <v>214</v>
      </c>
      <c r="C150" s="5" t="s">
        <v>215</v>
      </c>
      <c r="D150" s="7" t="s">
        <v>174</v>
      </c>
      <c r="E150" s="5">
        <v>29</v>
      </c>
      <c r="F150" s="8">
        <v>50</v>
      </c>
      <c r="G150" s="9">
        <v>14500</v>
      </c>
      <c r="H150" s="10">
        <f t="shared" si="0"/>
        <v>725000</v>
      </c>
      <c r="I150" s="5">
        <f>F150-SUMIFS(Pedidos!G:G, Pedidos!D:D, C150, Pedidos!E:E, E150, Pedidos!F:F, B150)</f>
        <v>50</v>
      </c>
      <c r="J150" s="10">
        <f t="shared" si="1"/>
        <v>725000</v>
      </c>
    </row>
    <row r="151" spans="1:10" ht="15.75" customHeight="1">
      <c r="A151" s="5" t="s">
        <v>57</v>
      </c>
      <c r="B151" s="6" t="s">
        <v>216</v>
      </c>
      <c r="C151" s="5" t="s">
        <v>59</v>
      </c>
      <c r="D151" s="5" t="s">
        <v>107</v>
      </c>
      <c r="E151" s="5">
        <v>30</v>
      </c>
      <c r="F151" s="8">
        <v>50</v>
      </c>
      <c r="G151" s="9">
        <v>9000</v>
      </c>
      <c r="H151" s="10">
        <f t="shared" si="0"/>
        <v>450000</v>
      </c>
      <c r="I151" s="5">
        <f>F151-SUMIFS(Pedidos!G:G, Pedidos!D:D, C151, Pedidos!E:E, E151, Pedidos!F:F, B151)</f>
        <v>48</v>
      </c>
      <c r="J151" s="10">
        <f t="shared" si="1"/>
        <v>432000</v>
      </c>
    </row>
    <row r="152" spans="1:10" ht="15.75" customHeight="1">
      <c r="A152" s="5" t="s">
        <v>57</v>
      </c>
      <c r="B152" s="6" t="s">
        <v>217</v>
      </c>
      <c r="C152" s="11" t="s">
        <v>62</v>
      </c>
      <c r="D152" s="5"/>
      <c r="E152" s="12" t="s">
        <v>63</v>
      </c>
      <c r="F152" s="8">
        <v>18</v>
      </c>
      <c r="G152" s="9">
        <v>10.3</v>
      </c>
      <c r="H152" s="10">
        <f t="shared" si="0"/>
        <v>185.4</v>
      </c>
      <c r="I152" s="5">
        <f>F152-SUMIFS(Pedidos!G:G, Pedidos!D:D, C152, Pedidos!E:E, E152, Pedidos!F:F, B152)</f>
        <v>18</v>
      </c>
      <c r="J152" s="10">
        <f t="shared" si="1"/>
        <v>185.4</v>
      </c>
    </row>
    <row r="153" spans="1:10" ht="15.75" customHeight="1">
      <c r="A153" s="5" t="s">
        <v>57</v>
      </c>
      <c r="B153" s="6" t="s">
        <v>217</v>
      </c>
      <c r="C153" s="11" t="s">
        <v>68</v>
      </c>
      <c r="D153" s="5"/>
      <c r="E153" s="12" t="s">
        <v>63</v>
      </c>
      <c r="F153" s="8">
        <v>10</v>
      </c>
      <c r="G153" s="9">
        <v>52.3</v>
      </c>
      <c r="H153" s="10">
        <f t="shared" si="0"/>
        <v>523</v>
      </c>
      <c r="I153" s="5">
        <f>F153-SUMIFS(Pedidos!G:G, Pedidos!D:D, C153, Pedidos!E:E, E153, Pedidos!F:F, B153)</f>
        <v>10</v>
      </c>
      <c r="J153" s="10">
        <f t="shared" si="1"/>
        <v>523</v>
      </c>
    </row>
    <row r="154" spans="1:10" ht="15.75" customHeight="1">
      <c r="A154" s="5" t="s">
        <v>57</v>
      </c>
      <c r="B154" s="6" t="s">
        <v>217</v>
      </c>
      <c r="C154" s="11" t="s">
        <v>120</v>
      </c>
      <c r="D154" s="5"/>
      <c r="E154" s="12" t="s">
        <v>63</v>
      </c>
      <c r="F154" s="8">
        <v>12</v>
      </c>
      <c r="G154" s="9">
        <v>35.57</v>
      </c>
      <c r="H154" s="10">
        <f t="shared" si="0"/>
        <v>426.84000000000003</v>
      </c>
      <c r="I154" s="5">
        <f>F154-SUMIFS(Pedidos!G:G, Pedidos!D:D, C154, Pedidos!E:E, E154, Pedidos!F:F, B154)</f>
        <v>12</v>
      </c>
      <c r="J154" s="10">
        <f t="shared" si="1"/>
        <v>426.84000000000003</v>
      </c>
    </row>
    <row r="155" spans="1:10" ht="15.75" customHeight="1">
      <c r="A155" s="5" t="s">
        <v>57</v>
      </c>
      <c r="B155" s="6" t="s">
        <v>218</v>
      </c>
      <c r="C155" s="11" t="s">
        <v>62</v>
      </c>
      <c r="D155" s="5"/>
      <c r="E155" s="12" t="s">
        <v>63</v>
      </c>
      <c r="F155" s="8">
        <v>2</v>
      </c>
      <c r="G155" s="9">
        <v>66.849999999999994</v>
      </c>
      <c r="H155" s="10">
        <f t="shared" si="0"/>
        <v>133.69999999999999</v>
      </c>
      <c r="I155" s="5">
        <f>F155-SUMIFS(Pedidos!G:G, Pedidos!D:D, C155, Pedidos!E:E, E155, Pedidos!F:F, B155)</f>
        <v>2</v>
      </c>
      <c r="J155" s="10">
        <f t="shared" si="1"/>
        <v>133.69999999999999</v>
      </c>
    </row>
    <row r="156" spans="1:10" ht="15.75" customHeight="1">
      <c r="A156" s="5" t="s">
        <v>57</v>
      </c>
      <c r="B156" s="6" t="s">
        <v>219</v>
      </c>
      <c r="C156" s="11" t="s">
        <v>62</v>
      </c>
      <c r="D156" s="5"/>
      <c r="E156" s="12" t="s">
        <v>63</v>
      </c>
      <c r="F156" s="8">
        <v>93</v>
      </c>
      <c r="G156" s="9">
        <v>7250</v>
      </c>
      <c r="H156" s="10">
        <f t="shared" si="0"/>
        <v>674250</v>
      </c>
      <c r="I156" s="5">
        <f>F156-SUMIFS(Pedidos!G:G, Pedidos!D:D, C156, Pedidos!E:E, E156, Pedidos!F:F, B156)</f>
        <v>93</v>
      </c>
      <c r="J156" s="10">
        <f t="shared" si="1"/>
        <v>674250</v>
      </c>
    </row>
    <row r="157" spans="1:10" ht="15.75" customHeight="1">
      <c r="A157" s="5" t="s">
        <v>57</v>
      </c>
      <c r="B157" s="6" t="s">
        <v>220</v>
      </c>
      <c r="C157" s="11" t="s">
        <v>62</v>
      </c>
      <c r="D157" s="5"/>
      <c r="E157" s="12" t="s">
        <v>63</v>
      </c>
      <c r="F157" s="8">
        <v>21</v>
      </c>
      <c r="G157" s="9">
        <v>50</v>
      </c>
      <c r="H157" s="10">
        <f t="shared" si="0"/>
        <v>1050</v>
      </c>
      <c r="I157" s="5">
        <f>F157-SUMIFS(Pedidos!G:G, Pedidos!D:D, C157, Pedidos!E:E, E157, Pedidos!F:F, B157)</f>
        <v>21</v>
      </c>
      <c r="J157" s="10">
        <f t="shared" si="1"/>
        <v>1050</v>
      </c>
    </row>
    <row r="158" spans="1:10" ht="15.75" customHeight="1">
      <c r="A158" s="5" t="s">
        <v>57</v>
      </c>
      <c r="B158" s="6" t="s">
        <v>221</v>
      </c>
      <c r="C158" s="11" t="s">
        <v>62</v>
      </c>
      <c r="D158" s="5"/>
      <c r="E158" s="12" t="s">
        <v>63</v>
      </c>
      <c r="F158" s="8">
        <v>26</v>
      </c>
      <c r="G158" s="9">
        <v>20</v>
      </c>
      <c r="H158" s="10">
        <f t="shared" si="0"/>
        <v>520</v>
      </c>
      <c r="I158" s="5">
        <f>F158-SUMIFS(Pedidos!G:G, Pedidos!D:D, C158, Pedidos!E:E, E158, Pedidos!F:F, B158)</f>
        <v>26</v>
      </c>
      <c r="J158" s="10">
        <f t="shared" si="1"/>
        <v>520</v>
      </c>
    </row>
    <row r="159" spans="1:10" ht="15.75" customHeight="1">
      <c r="A159" s="5" t="s">
        <v>57</v>
      </c>
      <c r="B159" s="6" t="s">
        <v>222</v>
      </c>
      <c r="C159" s="5" t="s">
        <v>109</v>
      </c>
      <c r="D159" s="7" t="s">
        <v>223</v>
      </c>
      <c r="E159" s="5">
        <v>10</v>
      </c>
      <c r="F159" s="8">
        <v>100</v>
      </c>
      <c r="G159" s="9">
        <v>7250</v>
      </c>
      <c r="H159" s="10">
        <f t="shared" si="0"/>
        <v>725000</v>
      </c>
      <c r="I159" s="5">
        <f>F159-SUMIFS(Pedidos!G:G, Pedidos!D:D, C159, Pedidos!E:E, E159, Pedidos!F:F, B159)</f>
        <v>100</v>
      </c>
      <c r="J159" s="10">
        <f t="shared" si="1"/>
        <v>725000</v>
      </c>
    </row>
    <row r="160" spans="1:10" ht="15.75" customHeight="1">
      <c r="A160" s="5" t="s">
        <v>57</v>
      </c>
      <c r="B160" s="6" t="s">
        <v>224</v>
      </c>
      <c r="C160" s="5" t="s">
        <v>106</v>
      </c>
      <c r="D160" s="5" t="s">
        <v>225</v>
      </c>
      <c r="E160" s="5">
        <v>12</v>
      </c>
      <c r="F160" s="8">
        <v>20</v>
      </c>
      <c r="G160" s="9">
        <v>131960</v>
      </c>
      <c r="H160" s="10">
        <f t="shared" si="0"/>
        <v>2639200</v>
      </c>
      <c r="I160" s="5">
        <f>F160-SUMIFS(Pedidos!G:G, Pedidos!D:D, C160, Pedidos!E:E, E160, Pedidos!F:F, B160)</f>
        <v>14</v>
      </c>
      <c r="J160" s="10">
        <f t="shared" si="1"/>
        <v>1847440</v>
      </c>
    </row>
    <row r="161" spans="1:10" ht="15.75" customHeight="1">
      <c r="A161" s="5" t="s">
        <v>57</v>
      </c>
      <c r="B161" s="6" t="s">
        <v>224</v>
      </c>
      <c r="C161" s="5" t="s">
        <v>62</v>
      </c>
      <c r="D161" s="5" t="s">
        <v>225</v>
      </c>
      <c r="E161" s="5">
        <v>12</v>
      </c>
      <c r="F161" s="8">
        <v>19</v>
      </c>
      <c r="G161" s="9">
        <v>6598</v>
      </c>
      <c r="H161" s="10">
        <f t="shared" si="0"/>
        <v>125362</v>
      </c>
      <c r="I161" s="5">
        <f>F161-SUMIFS(Pedidos!G:G, Pedidos!D:D, C161, Pedidos!E:E, E161, Pedidos!F:F, B161)</f>
        <v>19</v>
      </c>
      <c r="J161" s="10">
        <f t="shared" si="1"/>
        <v>125362</v>
      </c>
    </row>
    <row r="162" spans="1:10" ht="15.75" customHeight="1">
      <c r="A162" s="5" t="s">
        <v>57</v>
      </c>
      <c r="B162" s="6" t="s">
        <v>226</v>
      </c>
      <c r="C162" s="5" t="s">
        <v>106</v>
      </c>
      <c r="D162" s="5" t="s">
        <v>227</v>
      </c>
      <c r="E162" s="5">
        <v>13</v>
      </c>
      <c r="F162" s="8">
        <v>100</v>
      </c>
      <c r="G162" s="9">
        <v>936</v>
      </c>
      <c r="H162" s="10">
        <f t="shared" si="0"/>
        <v>93600</v>
      </c>
      <c r="I162" s="5">
        <f>F162-SUMIFS(Pedidos!G:G, Pedidos!D:D, C162, Pedidos!E:E, E162, Pedidos!F:F, B162)</f>
        <v>100</v>
      </c>
      <c r="J162" s="10">
        <f t="shared" si="1"/>
        <v>93600</v>
      </c>
    </row>
    <row r="163" spans="1:10" ht="15.75" customHeight="1">
      <c r="A163" s="5" t="s">
        <v>57</v>
      </c>
      <c r="B163" s="6" t="s">
        <v>228</v>
      </c>
      <c r="C163" s="5" t="s">
        <v>208</v>
      </c>
      <c r="D163" s="5" t="s">
        <v>229</v>
      </c>
      <c r="E163" s="5">
        <v>4</v>
      </c>
      <c r="F163" s="8">
        <v>100</v>
      </c>
      <c r="G163" s="9">
        <v>14849</v>
      </c>
      <c r="H163" s="10">
        <f t="shared" si="0"/>
        <v>1484900</v>
      </c>
      <c r="I163" s="5">
        <f>F163-SUMIFS(Pedidos!G:G, Pedidos!D:D, C163, Pedidos!E:E, E163, Pedidos!F:F, B163)</f>
        <v>72</v>
      </c>
      <c r="J163" s="10">
        <f t="shared" si="1"/>
        <v>1069128</v>
      </c>
    </row>
    <row r="164" spans="1:10" ht="15.75" customHeight="1">
      <c r="A164" s="5" t="s">
        <v>57</v>
      </c>
      <c r="B164" s="6" t="s">
        <v>230</v>
      </c>
      <c r="C164" s="5" t="s">
        <v>109</v>
      </c>
      <c r="D164" s="5" t="s">
        <v>231</v>
      </c>
      <c r="E164" s="5">
        <v>6</v>
      </c>
      <c r="F164" s="8">
        <v>30</v>
      </c>
      <c r="G164" s="9">
        <v>25890</v>
      </c>
      <c r="H164" s="10">
        <f t="shared" si="0"/>
        <v>776700</v>
      </c>
      <c r="I164" s="5">
        <f>F164-SUMIFS(Pedidos!G:G, Pedidos!D:D, C164, Pedidos!E:E, E164, Pedidos!F:F, B164)</f>
        <v>26</v>
      </c>
      <c r="J164" s="10">
        <f t="shared" si="1"/>
        <v>673140</v>
      </c>
    </row>
    <row r="165" spans="1:10" ht="15.75" customHeight="1">
      <c r="A165" s="5" t="s">
        <v>57</v>
      </c>
      <c r="B165" s="6" t="s">
        <v>232</v>
      </c>
      <c r="C165" s="11" t="s">
        <v>62</v>
      </c>
      <c r="D165" s="5"/>
      <c r="E165" s="12" t="s">
        <v>63</v>
      </c>
      <c r="F165" s="8">
        <v>5</v>
      </c>
      <c r="G165" s="9">
        <v>249</v>
      </c>
      <c r="H165" s="10">
        <f t="shared" si="0"/>
        <v>1245</v>
      </c>
      <c r="I165" s="5">
        <f>F165-SUMIFS(Pedidos!G:G, Pedidos!D:D, C165, Pedidos!E:E, E165, Pedidos!F:F, B165)</f>
        <v>5</v>
      </c>
      <c r="J165" s="10">
        <f t="shared" si="1"/>
        <v>1245</v>
      </c>
    </row>
    <row r="166" spans="1:10" ht="15.75" customHeight="1">
      <c r="A166" s="5" t="s">
        <v>57</v>
      </c>
      <c r="B166" s="6" t="s">
        <v>233</v>
      </c>
      <c r="C166" s="11" t="s">
        <v>62</v>
      </c>
      <c r="D166" s="5"/>
      <c r="E166" s="12" t="s">
        <v>63</v>
      </c>
      <c r="F166" s="8">
        <v>20</v>
      </c>
      <c r="G166" s="9">
        <v>0.41</v>
      </c>
      <c r="H166" s="10">
        <f t="shared" si="0"/>
        <v>8.1999999999999993</v>
      </c>
      <c r="I166" s="5">
        <f>F166-SUMIFS(Pedidos!G:G, Pedidos!D:D, C166, Pedidos!E:E, E166, Pedidos!F:F, B166)</f>
        <v>20</v>
      </c>
      <c r="J166" s="10">
        <f t="shared" si="1"/>
        <v>8.1999999999999993</v>
      </c>
    </row>
    <row r="167" spans="1:10" ht="15.75" customHeight="1">
      <c r="A167" s="5" t="s">
        <v>57</v>
      </c>
      <c r="B167" s="6" t="s">
        <v>234</v>
      </c>
      <c r="C167" s="11" t="s">
        <v>62</v>
      </c>
      <c r="D167" s="5"/>
      <c r="E167" s="12" t="s">
        <v>63</v>
      </c>
      <c r="F167" s="8">
        <v>32</v>
      </c>
      <c r="G167" s="9">
        <v>0.6</v>
      </c>
      <c r="H167" s="10">
        <f t="shared" si="0"/>
        <v>19.2</v>
      </c>
      <c r="I167" s="5">
        <f>F167-SUMIFS(Pedidos!G:G, Pedidos!D:D, C167, Pedidos!E:E, E167, Pedidos!F:F, B167)</f>
        <v>32</v>
      </c>
      <c r="J167" s="10">
        <f t="shared" si="1"/>
        <v>19.2</v>
      </c>
    </row>
    <row r="168" spans="1:10" ht="15.75" customHeight="1">
      <c r="A168" s="5" t="s">
        <v>57</v>
      </c>
      <c r="B168" s="6" t="s">
        <v>235</v>
      </c>
      <c r="C168" s="11" t="s">
        <v>62</v>
      </c>
      <c r="D168" s="5"/>
      <c r="E168" s="12" t="s">
        <v>63</v>
      </c>
      <c r="F168" s="8">
        <v>4</v>
      </c>
      <c r="G168" s="9">
        <v>0.71</v>
      </c>
      <c r="H168" s="10">
        <f t="shared" si="0"/>
        <v>2.84</v>
      </c>
      <c r="I168" s="5">
        <f>F168-SUMIFS(Pedidos!G:G, Pedidos!D:D, C168, Pedidos!E:E, E168, Pedidos!F:F, B168)</f>
        <v>4</v>
      </c>
      <c r="J168" s="10">
        <f t="shared" si="1"/>
        <v>2.84</v>
      </c>
    </row>
    <row r="169" spans="1:10" ht="15.75" customHeight="1">
      <c r="A169" s="5" t="s">
        <v>57</v>
      </c>
      <c r="B169" s="6" t="s">
        <v>236</v>
      </c>
      <c r="C169" s="11" t="s">
        <v>62</v>
      </c>
      <c r="D169" s="5"/>
      <c r="E169" s="12" t="s">
        <v>63</v>
      </c>
      <c r="F169" s="8">
        <v>8</v>
      </c>
      <c r="G169" s="9">
        <v>0.6</v>
      </c>
      <c r="H169" s="10">
        <f t="shared" si="0"/>
        <v>4.8</v>
      </c>
      <c r="I169" s="5">
        <f>F169-SUMIFS(Pedidos!G:G, Pedidos!D:D, C169, Pedidos!E:E, E169, Pedidos!F:F, B169)</f>
        <v>8</v>
      </c>
      <c r="J169" s="10">
        <f t="shared" si="1"/>
        <v>4.8</v>
      </c>
    </row>
    <row r="170" spans="1:10" ht="15.75" customHeight="1">
      <c r="A170" s="5" t="s">
        <v>57</v>
      </c>
      <c r="B170" s="6" t="s">
        <v>237</v>
      </c>
      <c r="C170" s="11" t="s">
        <v>62</v>
      </c>
      <c r="D170" s="5"/>
      <c r="E170" s="12" t="s">
        <v>63</v>
      </c>
      <c r="F170" s="8">
        <v>5</v>
      </c>
      <c r="G170" s="9">
        <v>0.77</v>
      </c>
      <c r="H170" s="10">
        <f t="shared" si="0"/>
        <v>3.85</v>
      </c>
      <c r="I170" s="5">
        <f>F170-SUMIFS(Pedidos!G:G, Pedidos!D:D, C170, Pedidos!E:E, E170, Pedidos!F:F, B170)</f>
        <v>5</v>
      </c>
      <c r="J170" s="10">
        <f t="shared" si="1"/>
        <v>3.85</v>
      </c>
    </row>
    <row r="171" spans="1:10" ht="15.75" customHeight="1">
      <c r="A171" s="5" t="s">
        <v>57</v>
      </c>
      <c r="B171" s="6" t="s">
        <v>238</v>
      </c>
      <c r="C171" s="11" t="s">
        <v>62</v>
      </c>
      <c r="D171" s="5"/>
      <c r="E171" s="12" t="s">
        <v>63</v>
      </c>
      <c r="F171" s="8">
        <v>3</v>
      </c>
      <c r="G171" s="9">
        <v>1.5</v>
      </c>
      <c r="H171" s="10">
        <f t="shared" si="0"/>
        <v>4.5</v>
      </c>
      <c r="I171" s="5">
        <f>F171-SUMIFS(Pedidos!G:G, Pedidos!D:D, C171, Pedidos!E:E, E171, Pedidos!F:F, B171)</f>
        <v>3</v>
      </c>
      <c r="J171" s="10">
        <f t="shared" si="1"/>
        <v>4.5</v>
      </c>
    </row>
    <row r="172" spans="1:10" ht="15.75" customHeight="1">
      <c r="A172" s="5" t="s">
        <v>57</v>
      </c>
      <c r="B172" s="6" t="s">
        <v>239</v>
      </c>
      <c r="C172" s="5" t="s">
        <v>109</v>
      </c>
      <c r="D172" s="7" t="s">
        <v>240</v>
      </c>
      <c r="E172" s="5">
        <v>20</v>
      </c>
      <c r="F172" s="8">
        <v>1000</v>
      </c>
      <c r="G172" s="9">
        <v>27</v>
      </c>
      <c r="H172" s="10">
        <f t="shared" si="0"/>
        <v>27000</v>
      </c>
      <c r="I172" s="5">
        <f>F172-SUMIFS(Pedidos!G:G, Pedidos!D:D, C172, Pedidos!E:E, E172, Pedidos!F:F, B172)</f>
        <v>1000</v>
      </c>
      <c r="J172" s="10">
        <f t="shared" si="1"/>
        <v>27000</v>
      </c>
    </row>
    <row r="173" spans="1:10" ht="15.75" customHeight="1">
      <c r="A173" s="5" t="s">
        <v>57</v>
      </c>
      <c r="B173" s="6" t="s">
        <v>241</v>
      </c>
      <c r="C173" s="5" t="s">
        <v>59</v>
      </c>
      <c r="D173" s="5" t="s">
        <v>242</v>
      </c>
      <c r="E173" s="5">
        <v>21</v>
      </c>
      <c r="F173" s="8">
        <v>1000</v>
      </c>
      <c r="G173" s="9">
        <v>28</v>
      </c>
      <c r="H173" s="10">
        <f t="shared" si="0"/>
        <v>28000</v>
      </c>
      <c r="I173" s="5">
        <f>F173-SUMIFS(Pedidos!G:G, Pedidos!D:D, C173, Pedidos!E:E, E173, Pedidos!F:F, B173)</f>
        <v>1000</v>
      </c>
      <c r="J173" s="10">
        <f t="shared" si="1"/>
        <v>28000</v>
      </c>
    </row>
    <row r="174" spans="1:10" ht="15.75" customHeight="1">
      <c r="A174" s="5" t="s">
        <v>57</v>
      </c>
      <c r="B174" s="6" t="s">
        <v>243</v>
      </c>
      <c r="C174" s="5" t="s">
        <v>109</v>
      </c>
      <c r="D174" s="5" t="s">
        <v>244</v>
      </c>
      <c r="E174" s="5">
        <v>22</v>
      </c>
      <c r="F174" s="8">
        <v>500</v>
      </c>
      <c r="G174" s="9">
        <v>50</v>
      </c>
      <c r="H174" s="10">
        <f t="shared" si="0"/>
        <v>25000</v>
      </c>
      <c r="I174" s="5">
        <f>F174-SUMIFS(Pedidos!G:G, Pedidos!D:D, C174, Pedidos!E:E, E174, Pedidos!F:F, B174)</f>
        <v>500</v>
      </c>
      <c r="J174" s="10">
        <f t="shared" si="1"/>
        <v>25000</v>
      </c>
    </row>
    <row r="175" spans="1:10" ht="15.75" customHeight="1">
      <c r="A175" s="5" t="s">
        <v>57</v>
      </c>
      <c r="B175" s="6" t="s">
        <v>245</v>
      </c>
      <c r="C175" s="5" t="s">
        <v>109</v>
      </c>
      <c r="D175" s="5" t="s">
        <v>246</v>
      </c>
      <c r="E175" s="5">
        <v>23</v>
      </c>
      <c r="F175" s="8">
        <v>300</v>
      </c>
      <c r="G175" s="9">
        <v>125</v>
      </c>
      <c r="H175" s="10">
        <f t="shared" si="0"/>
        <v>37500</v>
      </c>
      <c r="I175" s="5">
        <f>F175-SUMIFS(Pedidos!G:G, Pedidos!D:D, C175, Pedidos!E:E, E175, Pedidos!F:F, B175)</f>
        <v>270</v>
      </c>
      <c r="J175" s="10">
        <f t="shared" si="1"/>
        <v>33750</v>
      </c>
    </row>
    <row r="176" spans="1:10" ht="15.75" customHeight="1">
      <c r="A176" s="5" t="s">
        <v>57</v>
      </c>
      <c r="B176" s="6" t="s">
        <v>247</v>
      </c>
      <c r="C176" s="11" t="s">
        <v>62</v>
      </c>
      <c r="D176" s="5"/>
      <c r="E176" s="12" t="s">
        <v>63</v>
      </c>
      <c r="F176" s="8">
        <v>7</v>
      </c>
      <c r="G176" s="9">
        <v>3.55</v>
      </c>
      <c r="H176" s="10">
        <f t="shared" si="0"/>
        <v>24.849999999999998</v>
      </c>
      <c r="I176" s="5">
        <f>F176-SUMIFS(Pedidos!G:G, Pedidos!D:D, C176, Pedidos!E:E, E176, Pedidos!F:F, B176)</f>
        <v>7</v>
      </c>
      <c r="J176" s="10">
        <f t="shared" si="1"/>
        <v>24.849999999999998</v>
      </c>
    </row>
    <row r="177" spans="1:10" ht="15.75" customHeight="1">
      <c r="A177" s="5" t="s">
        <v>57</v>
      </c>
      <c r="B177" s="6" t="s">
        <v>248</v>
      </c>
      <c r="C177" s="11" t="s">
        <v>62</v>
      </c>
      <c r="D177" s="5"/>
      <c r="E177" s="12" t="s">
        <v>63</v>
      </c>
      <c r="F177" s="8">
        <v>28</v>
      </c>
      <c r="G177" s="9">
        <v>4.4000000000000004</v>
      </c>
      <c r="H177" s="10">
        <f t="shared" si="0"/>
        <v>123.20000000000002</v>
      </c>
      <c r="I177" s="5">
        <f>F177-SUMIFS(Pedidos!G:G, Pedidos!D:D, C177, Pedidos!E:E, E177, Pedidos!F:F, B177)</f>
        <v>28</v>
      </c>
      <c r="J177" s="10">
        <f t="shared" si="1"/>
        <v>123.20000000000002</v>
      </c>
    </row>
    <row r="178" spans="1:10" ht="15.75" customHeight="1">
      <c r="A178" s="5" t="s">
        <v>57</v>
      </c>
      <c r="B178" s="6" t="s">
        <v>249</v>
      </c>
      <c r="C178" s="11" t="s">
        <v>62</v>
      </c>
      <c r="D178" s="5"/>
      <c r="E178" s="12" t="s">
        <v>63</v>
      </c>
      <c r="F178" s="8">
        <v>39</v>
      </c>
      <c r="G178" s="9">
        <v>1.19</v>
      </c>
      <c r="H178" s="10">
        <f t="shared" si="0"/>
        <v>46.41</v>
      </c>
      <c r="I178" s="5">
        <f>F178-SUMIFS(Pedidos!G:G, Pedidos!D:D, C178, Pedidos!E:E, E178, Pedidos!F:F, B178)</f>
        <v>39</v>
      </c>
      <c r="J178" s="10">
        <f t="shared" si="1"/>
        <v>46.41</v>
      </c>
    </row>
    <row r="179" spans="1:10" ht="15.75" customHeight="1">
      <c r="A179" s="5" t="s">
        <v>57</v>
      </c>
      <c r="B179" s="6" t="s">
        <v>249</v>
      </c>
      <c r="C179" s="11" t="s">
        <v>68</v>
      </c>
      <c r="D179" s="5"/>
      <c r="E179" s="12" t="s">
        <v>63</v>
      </c>
      <c r="F179" s="8">
        <v>50</v>
      </c>
      <c r="G179" s="9">
        <v>2.2200000000000002</v>
      </c>
      <c r="H179" s="10">
        <f t="shared" si="0"/>
        <v>111.00000000000001</v>
      </c>
      <c r="I179" s="5">
        <f>F179-SUMIFS(Pedidos!G:G, Pedidos!D:D, C179, Pedidos!E:E, E179, Pedidos!F:F, B179)</f>
        <v>50</v>
      </c>
      <c r="J179" s="10">
        <f t="shared" si="1"/>
        <v>111.00000000000001</v>
      </c>
    </row>
    <row r="180" spans="1:10" ht="15.75" customHeight="1">
      <c r="A180" s="5" t="s">
        <v>57</v>
      </c>
      <c r="B180" s="6" t="s">
        <v>250</v>
      </c>
      <c r="C180" s="11" t="s">
        <v>62</v>
      </c>
      <c r="D180" s="5"/>
      <c r="E180" s="12" t="s">
        <v>63</v>
      </c>
      <c r="F180" s="8">
        <v>23</v>
      </c>
      <c r="G180" s="9">
        <v>2.82</v>
      </c>
      <c r="H180" s="10">
        <f t="shared" si="0"/>
        <v>64.86</v>
      </c>
      <c r="I180" s="5">
        <f>F180-SUMIFS(Pedidos!G:G, Pedidos!D:D, C180, Pedidos!E:E, E180, Pedidos!F:F, B180)</f>
        <v>23</v>
      </c>
      <c r="J180" s="10">
        <f t="shared" si="1"/>
        <v>64.86</v>
      </c>
    </row>
    <row r="181" spans="1:10" ht="15.75" customHeight="1">
      <c r="A181" s="5" t="s">
        <v>57</v>
      </c>
      <c r="B181" s="6" t="s">
        <v>251</v>
      </c>
      <c r="C181" s="11" t="s">
        <v>62</v>
      </c>
      <c r="D181" s="5"/>
      <c r="E181" s="12" t="s">
        <v>63</v>
      </c>
      <c r="F181" s="8">
        <v>35</v>
      </c>
      <c r="G181" s="9">
        <v>2.25</v>
      </c>
      <c r="H181" s="10">
        <f t="shared" si="0"/>
        <v>78.75</v>
      </c>
      <c r="I181" s="5">
        <f>F181-SUMIFS(Pedidos!G:G, Pedidos!D:D, C181, Pedidos!E:E, E181, Pedidos!F:F, B181)</f>
        <v>35</v>
      </c>
      <c r="J181" s="10">
        <f t="shared" si="1"/>
        <v>78.75</v>
      </c>
    </row>
    <row r="182" spans="1:10" ht="15.75" customHeight="1">
      <c r="A182" s="5" t="s">
        <v>57</v>
      </c>
      <c r="B182" s="6" t="s">
        <v>251</v>
      </c>
      <c r="C182" s="11" t="s">
        <v>68</v>
      </c>
      <c r="D182" s="5"/>
      <c r="E182" s="12" t="s">
        <v>63</v>
      </c>
      <c r="F182" s="8">
        <v>10</v>
      </c>
      <c r="G182" s="9">
        <v>3.22</v>
      </c>
      <c r="H182" s="10">
        <f t="shared" si="0"/>
        <v>32.200000000000003</v>
      </c>
      <c r="I182" s="5">
        <f>F182-SUMIFS(Pedidos!G:G, Pedidos!D:D, C182, Pedidos!E:E, E182, Pedidos!F:F, B182)</f>
        <v>10</v>
      </c>
      <c r="J182" s="10">
        <f t="shared" si="1"/>
        <v>32.200000000000003</v>
      </c>
    </row>
    <row r="183" spans="1:10" ht="15.75" customHeight="1">
      <c r="A183" s="5" t="s">
        <v>57</v>
      </c>
      <c r="B183" s="6" t="s">
        <v>251</v>
      </c>
      <c r="C183" s="11" t="s">
        <v>120</v>
      </c>
      <c r="D183" s="5"/>
      <c r="E183" s="12" t="s">
        <v>63</v>
      </c>
      <c r="F183" s="8">
        <v>40</v>
      </c>
      <c r="G183" s="9">
        <v>3.12</v>
      </c>
      <c r="H183" s="10">
        <f t="shared" si="0"/>
        <v>124.80000000000001</v>
      </c>
      <c r="I183" s="5">
        <f>F183-SUMIFS(Pedidos!G:G, Pedidos!D:D, C183, Pedidos!E:E, E183, Pedidos!F:F, B183)</f>
        <v>40</v>
      </c>
      <c r="J183" s="10">
        <f t="shared" si="1"/>
        <v>124.80000000000001</v>
      </c>
    </row>
    <row r="184" spans="1:10" ht="15.75" customHeight="1">
      <c r="A184" s="5" t="s">
        <v>57</v>
      </c>
      <c r="B184" s="6" t="s">
        <v>252</v>
      </c>
      <c r="C184" s="11" t="s">
        <v>62</v>
      </c>
      <c r="D184" s="5"/>
      <c r="E184" s="12" t="s">
        <v>63</v>
      </c>
      <c r="F184" s="8">
        <v>7</v>
      </c>
      <c r="G184" s="9">
        <v>4.97</v>
      </c>
      <c r="H184" s="10">
        <f t="shared" si="0"/>
        <v>34.79</v>
      </c>
      <c r="I184" s="5">
        <f>F184-SUMIFS(Pedidos!G:G, Pedidos!D:D, C184, Pedidos!E:E, E184, Pedidos!F:F, B184)</f>
        <v>7</v>
      </c>
      <c r="J184" s="10">
        <f t="shared" si="1"/>
        <v>34.79</v>
      </c>
    </row>
    <row r="185" spans="1:10" ht="15.75" customHeight="1">
      <c r="A185" s="5" t="s">
        <v>57</v>
      </c>
      <c r="B185" s="6" t="s">
        <v>253</v>
      </c>
      <c r="C185" s="11" t="s">
        <v>62</v>
      </c>
      <c r="D185" s="5"/>
      <c r="E185" s="12" t="s">
        <v>63</v>
      </c>
      <c r="F185" s="8">
        <v>1</v>
      </c>
      <c r="G185" s="9">
        <v>1.2</v>
      </c>
      <c r="H185" s="10">
        <f t="shared" si="0"/>
        <v>1.2</v>
      </c>
      <c r="I185" s="5">
        <f>F185-SUMIFS(Pedidos!G:G, Pedidos!D:D, C185, Pedidos!E:E, E185, Pedidos!F:F, B185)</f>
        <v>1</v>
      </c>
      <c r="J185" s="10">
        <f t="shared" si="1"/>
        <v>1.2</v>
      </c>
    </row>
    <row r="186" spans="1:10" ht="15.75" customHeight="1">
      <c r="A186" s="5" t="s">
        <v>57</v>
      </c>
      <c r="B186" s="6" t="s">
        <v>254</v>
      </c>
      <c r="C186" s="11" t="s">
        <v>62</v>
      </c>
      <c r="D186" s="5"/>
      <c r="E186" s="12" t="s">
        <v>63</v>
      </c>
      <c r="F186" s="8">
        <v>3</v>
      </c>
      <c r="G186" s="9">
        <v>1.05</v>
      </c>
      <c r="H186" s="10">
        <f t="shared" si="0"/>
        <v>3.1500000000000004</v>
      </c>
      <c r="I186" s="5">
        <f>F186-SUMIFS(Pedidos!G:G, Pedidos!D:D, C186, Pedidos!E:E, E186, Pedidos!F:F, B186)</f>
        <v>3</v>
      </c>
      <c r="J186" s="10">
        <f t="shared" si="1"/>
        <v>3.1500000000000004</v>
      </c>
    </row>
    <row r="187" spans="1:10" ht="15.75" customHeight="1">
      <c r="A187" s="5" t="s">
        <v>57</v>
      </c>
      <c r="B187" s="6" t="s">
        <v>255</v>
      </c>
      <c r="C187" s="11" t="s">
        <v>62</v>
      </c>
      <c r="D187" s="5"/>
      <c r="E187" s="12" t="s">
        <v>63</v>
      </c>
      <c r="F187" s="8">
        <v>8</v>
      </c>
      <c r="G187" s="9">
        <v>1.59</v>
      </c>
      <c r="H187" s="10">
        <f t="shared" si="0"/>
        <v>12.72</v>
      </c>
      <c r="I187" s="5">
        <f>F187-SUMIFS(Pedidos!G:G, Pedidos!D:D, C187, Pedidos!E:E, E187, Pedidos!F:F, B187)</f>
        <v>8</v>
      </c>
      <c r="J187" s="10">
        <f t="shared" si="1"/>
        <v>12.72</v>
      </c>
    </row>
    <row r="188" spans="1:10" ht="15.75" customHeight="1">
      <c r="A188" s="5" t="s">
        <v>57</v>
      </c>
      <c r="B188" s="6" t="s">
        <v>256</v>
      </c>
      <c r="C188" s="11" t="s">
        <v>62</v>
      </c>
      <c r="D188" s="5"/>
      <c r="E188" s="12" t="s">
        <v>63</v>
      </c>
      <c r="F188" s="8">
        <v>6</v>
      </c>
      <c r="G188" s="9">
        <v>2.13</v>
      </c>
      <c r="H188" s="10">
        <f t="shared" si="0"/>
        <v>12.78</v>
      </c>
      <c r="I188" s="5">
        <f>F188-SUMIFS(Pedidos!G:G, Pedidos!D:D, C188, Pedidos!E:E, E188, Pedidos!F:F, B188)</f>
        <v>6</v>
      </c>
      <c r="J188" s="10">
        <f t="shared" si="1"/>
        <v>12.78</v>
      </c>
    </row>
    <row r="189" spans="1:10" ht="15.75" customHeight="1">
      <c r="A189" s="5" t="s">
        <v>57</v>
      </c>
      <c r="B189" s="6" t="s">
        <v>257</v>
      </c>
      <c r="C189" s="11" t="s">
        <v>62</v>
      </c>
      <c r="D189" s="5"/>
      <c r="E189" s="12" t="s">
        <v>63</v>
      </c>
      <c r="F189" s="8">
        <v>20</v>
      </c>
      <c r="G189" s="9">
        <v>2.81</v>
      </c>
      <c r="H189" s="10">
        <f t="shared" si="0"/>
        <v>56.2</v>
      </c>
      <c r="I189" s="5">
        <f>F189-SUMIFS(Pedidos!G:G, Pedidos!D:D, C189, Pedidos!E:E, E189, Pedidos!F:F, B189)</f>
        <v>20</v>
      </c>
      <c r="J189" s="10">
        <f t="shared" si="1"/>
        <v>56.2</v>
      </c>
    </row>
    <row r="190" spans="1:10" ht="15.75" customHeight="1">
      <c r="A190" s="5" t="s">
        <v>57</v>
      </c>
      <c r="B190" s="6" t="s">
        <v>258</v>
      </c>
      <c r="C190" s="11" t="s">
        <v>62</v>
      </c>
      <c r="D190" s="5"/>
      <c r="E190" s="12" t="s">
        <v>63</v>
      </c>
      <c r="F190" s="8">
        <v>8</v>
      </c>
      <c r="G190" s="9">
        <v>1.53</v>
      </c>
      <c r="H190" s="10">
        <f t="shared" si="0"/>
        <v>12.24</v>
      </c>
      <c r="I190" s="5">
        <f>F190-SUMIFS(Pedidos!G:G, Pedidos!D:D, C190, Pedidos!E:E, E190, Pedidos!F:F, B190)</f>
        <v>8</v>
      </c>
      <c r="J190" s="10">
        <f t="shared" si="1"/>
        <v>12.24</v>
      </c>
    </row>
    <row r="191" spans="1:10" ht="15.75" customHeight="1">
      <c r="A191" s="5" t="s">
        <v>57</v>
      </c>
      <c r="B191" s="6" t="s">
        <v>259</v>
      </c>
      <c r="C191" s="11" t="s">
        <v>62</v>
      </c>
      <c r="D191" s="5"/>
      <c r="E191" s="12" t="s">
        <v>63</v>
      </c>
      <c r="F191" s="8">
        <v>11</v>
      </c>
      <c r="G191" s="9">
        <v>9.1300000000000008</v>
      </c>
      <c r="H191" s="10">
        <f t="shared" si="0"/>
        <v>100.43</v>
      </c>
      <c r="I191" s="5">
        <f>F191-SUMIFS(Pedidos!G:G, Pedidos!D:D, C191, Pedidos!E:E, E191, Pedidos!F:F, B191)</f>
        <v>11</v>
      </c>
      <c r="J191" s="10">
        <f t="shared" si="1"/>
        <v>100.43</v>
      </c>
    </row>
    <row r="192" spans="1:10" ht="15.75" customHeight="1">
      <c r="A192" s="5" t="s">
        <v>57</v>
      </c>
      <c r="B192" s="6" t="s">
        <v>260</v>
      </c>
      <c r="C192" s="11" t="s">
        <v>62</v>
      </c>
      <c r="D192" s="5"/>
      <c r="E192" s="12" t="s">
        <v>63</v>
      </c>
      <c r="F192" s="8">
        <v>8</v>
      </c>
      <c r="G192" s="9">
        <v>1</v>
      </c>
      <c r="H192" s="10">
        <f t="shared" si="0"/>
        <v>8</v>
      </c>
      <c r="I192" s="5">
        <f>F192-SUMIFS(Pedidos!G:G, Pedidos!D:D, C192, Pedidos!E:E, E192, Pedidos!F:F, B192)</f>
        <v>8</v>
      </c>
      <c r="J192" s="10">
        <f t="shared" si="1"/>
        <v>8</v>
      </c>
    </row>
    <row r="193" spans="1:10" ht="15.75" customHeight="1">
      <c r="A193" s="5" t="s">
        <v>57</v>
      </c>
      <c r="B193" s="6" t="s">
        <v>261</v>
      </c>
      <c r="C193" s="5" t="s">
        <v>59</v>
      </c>
      <c r="D193" s="7" t="s">
        <v>262</v>
      </c>
      <c r="E193" s="5">
        <v>24</v>
      </c>
      <c r="F193" s="8">
        <v>1000</v>
      </c>
      <c r="G193" s="9">
        <v>38.200000000000003</v>
      </c>
      <c r="H193" s="10">
        <f t="shared" si="0"/>
        <v>38200</v>
      </c>
      <c r="I193" s="5">
        <f>F193-SUMIFS(Pedidos!G:G, Pedidos!D:D, C193, Pedidos!E:E, E193, Pedidos!F:F, B193)</f>
        <v>0</v>
      </c>
      <c r="J193" s="10">
        <f t="shared" si="1"/>
        <v>0</v>
      </c>
    </row>
    <row r="194" spans="1:10" ht="15.75" customHeight="1">
      <c r="A194" s="5" t="s">
        <v>57</v>
      </c>
      <c r="B194" s="6" t="s">
        <v>263</v>
      </c>
      <c r="C194" s="5" t="s">
        <v>59</v>
      </c>
      <c r="D194" s="5" t="s">
        <v>264</v>
      </c>
      <c r="E194" s="5">
        <v>25</v>
      </c>
      <c r="F194" s="8">
        <v>1000</v>
      </c>
      <c r="G194" s="9">
        <v>56.2</v>
      </c>
      <c r="H194" s="10">
        <f t="shared" si="0"/>
        <v>56200</v>
      </c>
      <c r="I194" s="5">
        <f>F194-SUMIFS(Pedidos!G:G, Pedidos!D:D, C194, Pedidos!E:E, E194, Pedidos!F:F, B194)</f>
        <v>980</v>
      </c>
      <c r="J194" s="10">
        <f t="shared" si="1"/>
        <v>55076</v>
      </c>
    </row>
    <row r="195" spans="1:10" ht="15.75" customHeight="1">
      <c r="A195" s="5" t="s">
        <v>57</v>
      </c>
      <c r="B195" s="6" t="s">
        <v>265</v>
      </c>
      <c r="C195" s="5" t="s">
        <v>59</v>
      </c>
      <c r="D195" s="5" t="s">
        <v>266</v>
      </c>
      <c r="E195" s="5">
        <v>26</v>
      </c>
      <c r="F195" s="8">
        <v>1000</v>
      </c>
      <c r="G195" s="9">
        <v>138.42400000000001</v>
      </c>
      <c r="H195" s="10">
        <f t="shared" si="0"/>
        <v>138424</v>
      </c>
      <c r="I195" s="5">
        <f>F195-SUMIFS(Pedidos!G:G, Pedidos!D:D, C195, Pedidos!E:E, E195, Pedidos!F:F, B195)</f>
        <v>939</v>
      </c>
      <c r="J195" s="10">
        <f t="shared" si="1"/>
        <v>129980.13600000001</v>
      </c>
    </row>
    <row r="196" spans="1:10" ht="15.75" customHeight="1">
      <c r="A196" s="5" t="s">
        <v>57</v>
      </c>
      <c r="B196" s="6" t="s">
        <v>267</v>
      </c>
      <c r="C196" s="11" t="s">
        <v>62</v>
      </c>
      <c r="D196" s="5"/>
      <c r="E196" s="12" t="s">
        <v>63</v>
      </c>
      <c r="F196" s="8">
        <v>6</v>
      </c>
      <c r="G196" s="9">
        <v>5.2</v>
      </c>
      <c r="H196" s="10">
        <f t="shared" si="0"/>
        <v>31.200000000000003</v>
      </c>
      <c r="I196" s="5">
        <f>F196-SUMIFS(Pedidos!G:G, Pedidos!D:D, C196, Pedidos!E:E, E196, Pedidos!F:F, B196)</f>
        <v>6</v>
      </c>
      <c r="J196" s="10">
        <f t="shared" si="1"/>
        <v>31.200000000000003</v>
      </c>
    </row>
    <row r="197" spans="1:10" ht="15.75" customHeight="1">
      <c r="A197" s="5" t="s">
        <v>57</v>
      </c>
      <c r="B197" s="6" t="s">
        <v>268</v>
      </c>
      <c r="C197" s="11" t="s">
        <v>62</v>
      </c>
      <c r="D197" s="5"/>
      <c r="E197" s="12" t="s">
        <v>63</v>
      </c>
      <c r="F197" s="8">
        <v>33</v>
      </c>
      <c r="G197" s="9">
        <v>1.86</v>
      </c>
      <c r="H197" s="10">
        <f t="shared" si="0"/>
        <v>61.38</v>
      </c>
      <c r="I197" s="5">
        <f>F197-SUMIFS(Pedidos!G:G, Pedidos!D:D, C197, Pedidos!E:E, E197, Pedidos!F:F, B197)</f>
        <v>33</v>
      </c>
      <c r="J197" s="10">
        <f t="shared" si="1"/>
        <v>61.38</v>
      </c>
    </row>
    <row r="198" spans="1:10" ht="15.75" customHeight="1">
      <c r="A198" s="5" t="s">
        <v>57</v>
      </c>
      <c r="B198" s="6" t="s">
        <v>269</v>
      </c>
      <c r="C198" s="11" t="s">
        <v>62</v>
      </c>
      <c r="D198" s="5"/>
      <c r="E198" s="12" t="s">
        <v>63</v>
      </c>
      <c r="F198" s="8">
        <v>37</v>
      </c>
      <c r="G198" s="9">
        <v>1.3</v>
      </c>
      <c r="H198" s="10">
        <f t="shared" si="0"/>
        <v>48.1</v>
      </c>
      <c r="I198" s="5">
        <f>F198-SUMIFS(Pedidos!G:G, Pedidos!D:D, C198, Pedidos!E:E, E198, Pedidos!F:F, B198)</f>
        <v>37</v>
      </c>
      <c r="J198" s="10">
        <f t="shared" si="1"/>
        <v>48.1</v>
      </c>
    </row>
    <row r="199" spans="1:10" ht="15.75" customHeight="1">
      <c r="A199" s="5" t="s">
        <v>57</v>
      </c>
      <c r="B199" s="6" t="s">
        <v>270</v>
      </c>
      <c r="C199" s="11" t="s">
        <v>62</v>
      </c>
      <c r="D199" s="5"/>
      <c r="E199" s="12" t="s">
        <v>63</v>
      </c>
      <c r="F199" s="8">
        <v>23</v>
      </c>
      <c r="G199" s="9">
        <v>2.0299999999999998</v>
      </c>
      <c r="H199" s="10">
        <f t="shared" si="0"/>
        <v>46.69</v>
      </c>
      <c r="I199" s="5">
        <f>F199-SUMIFS(Pedidos!G:G, Pedidos!D:D, C199, Pedidos!E:E, E199, Pedidos!F:F, B199)</f>
        <v>23</v>
      </c>
      <c r="J199" s="10">
        <f t="shared" si="1"/>
        <v>46.69</v>
      </c>
    </row>
    <row r="200" spans="1:10" ht="15.75" customHeight="1">
      <c r="A200" s="5" t="s">
        <v>57</v>
      </c>
      <c r="B200" s="6" t="s">
        <v>271</v>
      </c>
      <c r="C200" s="11" t="s">
        <v>62</v>
      </c>
      <c r="D200" s="5"/>
      <c r="E200" s="12" t="s">
        <v>63</v>
      </c>
      <c r="F200" s="8">
        <v>7</v>
      </c>
      <c r="G200" s="9">
        <v>2.67</v>
      </c>
      <c r="H200" s="10">
        <f t="shared" si="0"/>
        <v>18.689999999999998</v>
      </c>
      <c r="I200" s="5">
        <f>F200-SUMIFS(Pedidos!G:G, Pedidos!D:D, C200, Pedidos!E:E, E200, Pedidos!F:F, B200)</f>
        <v>7</v>
      </c>
      <c r="J200" s="10">
        <f t="shared" si="1"/>
        <v>18.689999999999998</v>
      </c>
    </row>
    <row r="201" spans="1:10" ht="15.75" customHeight="1">
      <c r="A201" s="5" t="s">
        <v>57</v>
      </c>
      <c r="B201" s="6" t="s">
        <v>272</v>
      </c>
      <c r="C201" s="11" t="s">
        <v>62</v>
      </c>
      <c r="D201" s="5"/>
      <c r="E201" s="12" t="s">
        <v>63</v>
      </c>
      <c r="F201" s="8">
        <v>8</v>
      </c>
      <c r="G201" s="9">
        <v>15.4</v>
      </c>
      <c r="H201" s="10">
        <f t="shared" si="0"/>
        <v>123.2</v>
      </c>
      <c r="I201" s="5">
        <f>F201-SUMIFS(Pedidos!G:G, Pedidos!D:D, C201, Pedidos!E:E, E201, Pedidos!F:F, B201)</f>
        <v>8</v>
      </c>
      <c r="J201" s="10">
        <f t="shared" si="1"/>
        <v>123.2</v>
      </c>
    </row>
    <row r="202" spans="1:10" ht="15.75" customHeight="1">
      <c r="A202" s="5" t="s">
        <v>57</v>
      </c>
      <c r="B202" s="6" t="s">
        <v>273</v>
      </c>
      <c r="C202" s="11" t="s">
        <v>62</v>
      </c>
      <c r="D202" s="5"/>
      <c r="E202" s="12" t="s">
        <v>63</v>
      </c>
      <c r="F202" s="8">
        <v>6</v>
      </c>
      <c r="G202" s="9">
        <v>25.3</v>
      </c>
      <c r="H202" s="10">
        <f t="shared" si="0"/>
        <v>151.80000000000001</v>
      </c>
      <c r="I202" s="5">
        <f>F202-SUMIFS(Pedidos!G:G, Pedidos!D:D, C202, Pedidos!E:E, E202, Pedidos!F:F, B202)</f>
        <v>6</v>
      </c>
      <c r="J202" s="10">
        <f t="shared" si="1"/>
        <v>151.80000000000001</v>
      </c>
    </row>
    <row r="203" spans="1:10" ht="15.75" customHeight="1">
      <c r="A203" s="5" t="s">
        <v>57</v>
      </c>
      <c r="B203" s="6" t="s">
        <v>274</v>
      </c>
      <c r="C203" s="11" t="s">
        <v>62</v>
      </c>
      <c r="D203" s="5"/>
      <c r="E203" s="12" t="s">
        <v>63</v>
      </c>
      <c r="F203" s="8">
        <v>7</v>
      </c>
      <c r="G203" s="9">
        <v>56.1</v>
      </c>
      <c r="H203" s="10">
        <f t="shared" si="0"/>
        <v>392.7</v>
      </c>
      <c r="I203" s="5">
        <f>F203-SUMIFS(Pedidos!G:G, Pedidos!D:D, C203, Pedidos!E:E, E203, Pedidos!F:F, B203)</f>
        <v>7</v>
      </c>
      <c r="J203" s="10">
        <f t="shared" si="1"/>
        <v>392.7</v>
      </c>
    </row>
    <row r="204" spans="1:10" ht="15.75" customHeight="1">
      <c r="A204" s="5" t="s">
        <v>57</v>
      </c>
      <c r="B204" s="6" t="s">
        <v>275</v>
      </c>
      <c r="C204" s="11" t="s">
        <v>62</v>
      </c>
      <c r="D204" s="5"/>
      <c r="E204" s="12" t="s">
        <v>63</v>
      </c>
      <c r="F204" s="8">
        <v>7</v>
      </c>
      <c r="G204" s="9">
        <v>215</v>
      </c>
      <c r="H204" s="10">
        <f t="shared" si="0"/>
        <v>1505</v>
      </c>
      <c r="I204" s="5">
        <f>F204-SUMIFS(Pedidos!G:G, Pedidos!D:D, C204, Pedidos!E:E, E204, Pedidos!F:F, B204)</f>
        <v>7</v>
      </c>
      <c r="J204" s="10">
        <f t="shared" si="1"/>
        <v>1505</v>
      </c>
    </row>
    <row r="205" spans="1:10" ht="15.75" customHeight="1">
      <c r="A205" s="5" t="s">
        <v>57</v>
      </c>
      <c r="B205" s="6" t="s">
        <v>276</v>
      </c>
      <c r="C205" s="5" t="s">
        <v>106</v>
      </c>
      <c r="D205" s="7" t="s">
        <v>174</v>
      </c>
      <c r="E205" s="5">
        <v>28</v>
      </c>
      <c r="F205" s="8">
        <v>50</v>
      </c>
      <c r="G205" s="9">
        <v>12031</v>
      </c>
      <c r="H205" s="10">
        <f t="shared" si="0"/>
        <v>601550</v>
      </c>
      <c r="I205" s="5">
        <f>F205-SUMIFS(Pedidos!G:G, Pedidos!D:D, C205, Pedidos!E:E, E205, Pedidos!F:F, B205)</f>
        <v>47</v>
      </c>
      <c r="J205" s="10">
        <f t="shared" si="1"/>
        <v>565457</v>
      </c>
    </row>
    <row r="206" spans="1:10" ht="15.75" customHeight="1">
      <c r="A206" s="5" t="s">
        <v>57</v>
      </c>
      <c r="B206" s="6" t="s">
        <v>277</v>
      </c>
      <c r="C206" s="11" t="s">
        <v>62</v>
      </c>
      <c r="D206" s="5"/>
      <c r="E206" s="12" t="s">
        <v>63</v>
      </c>
      <c r="F206" s="8">
        <v>30</v>
      </c>
      <c r="G206" s="9">
        <v>0.5</v>
      </c>
      <c r="H206" s="10">
        <f t="shared" si="0"/>
        <v>15</v>
      </c>
      <c r="I206" s="5">
        <f>F206-SUMIFS(Pedidos!G:G, Pedidos!D:D, C206, Pedidos!E:E, E206, Pedidos!F:F, B206)</f>
        <v>30</v>
      </c>
      <c r="J206" s="10">
        <f t="shared" si="1"/>
        <v>15</v>
      </c>
    </row>
    <row r="207" spans="1:10" ht="15.75" customHeight="1">
      <c r="A207" s="5" t="s">
        <v>57</v>
      </c>
      <c r="B207" s="6" t="s">
        <v>278</v>
      </c>
      <c r="C207" s="11" t="s">
        <v>62</v>
      </c>
      <c r="D207" s="5"/>
      <c r="E207" s="12" t="s">
        <v>63</v>
      </c>
      <c r="F207" s="8">
        <v>5</v>
      </c>
      <c r="G207" s="9">
        <v>0.4</v>
      </c>
      <c r="H207" s="10">
        <f t="shared" si="0"/>
        <v>2</v>
      </c>
      <c r="I207" s="5">
        <f>F207-SUMIFS(Pedidos!G:G, Pedidos!D:D, C207, Pedidos!E:E, E207, Pedidos!F:F, B207)</f>
        <v>5</v>
      </c>
      <c r="J207" s="10">
        <f t="shared" si="1"/>
        <v>2</v>
      </c>
    </row>
    <row r="208" spans="1:10" ht="15.75" customHeight="1">
      <c r="A208" s="5" t="s">
        <v>57</v>
      </c>
      <c r="B208" s="6" t="s">
        <v>279</v>
      </c>
      <c r="C208" s="11" t="s">
        <v>62</v>
      </c>
      <c r="D208" s="5"/>
      <c r="E208" s="12" t="s">
        <v>63</v>
      </c>
      <c r="F208" s="8">
        <v>73</v>
      </c>
      <c r="G208" s="9">
        <v>0.8</v>
      </c>
      <c r="H208" s="10">
        <f t="shared" si="0"/>
        <v>58.400000000000006</v>
      </c>
      <c r="I208" s="5">
        <f>F208-SUMIFS(Pedidos!G:G, Pedidos!D:D, C208, Pedidos!E:E, E208, Pedidos!F:F, B208)</f>
        <v>73</v>
      </c>
      <c r="J208" s="10">
        <f t="shared" si="1"/>
        <v>58.400000000000006</v>
      </c>
    </row>
    <row r="209" spans="1:10" ht="15.75" customHeight="1">
      <c r="A209" s="5" t="s">
        <v>57</v>
      </c>
      <c r="B209" s="6" t="s">
        <v>280</v>
      </c>
      <c r="C209" s="11" t="s">
        <v>62</v>
      </c>
      <c r="D209" s="5"/>
      <c r="E209" s="12" t="s">
        <v>63</v>
      </c>
      <c r="F209" s="8">
        <v>3</v>
      </c>
      <c r="G209" s="9">
        <v>8.5</v>
      </c>
      <c r="H209" s="10">
        <f t="shared" si="0"/>
        <v>25.5</v>
      </c>
      <c r="I209" s="5">
        <f>F209-SUMIFS(Pedidos!G:G, Pedidos!D:D, C209, Pedidos!E:E, E209, Pedidos!F:F, B209)</f>
        <v>3</v>
      </c>
      <c r="J209" s="10">
        <f t="shared" si="1"/>
        <v>25.5</v>
      </c>
    </row>
    <row r="210" spans="1:10" ht="15.75" customHeight="1">
      <c r="A210" s="5" t="s">
        <v>57</v>
      </c>
      <c r="B210" s="6" t="s">
        <v>281</v>
      </c>
      <c r="C210" s="11" t="s">
        <v>62</v>
      </c>
      <c r="D210" s="5"/>
      <c r="E210" s="12" t="s">
        <v>63</v>
      </c>
      <c r="F210" s="8">
        <v>28</v>
      </c>
      <c r="G210" s="9">
        <v>8</v>
      </c>
      <c r="H210" s="10">
        <f t="shared" si="0"/>
        <v>224</v>
      </c>
      <c r="I210" s="5">
        <f>F210-SUMIFS(Pedidos!G:G, Pedidos!D:D, C210, Pedidos!E:E, E210, Pedidos!F:F, B210)</f>
        <v>28</v>
      </c>
      <c r="J210" s="10">
        <f t="shared" si="1"/>
        <v>224</v>
      </c>
    </row>
    <row r="211" spans="1:10" ht="15.75" customHeight="1">
      <c r="A211" s="5" t="s">
        <v>57</v>
      </c>
      <c r="B211" s="6" t="s">
        <v>282</v>
      </c>
      <c r="C211" s="11" t="s">
        <v>62</v>
      </c>
      <c r="D211" s="5"/>
      <c r="E211" s="12" t="s">
        <v>63</v>
      </c>
      <c r="F211" s="8">
        <v>3</v>
      </c>
      <c r="G211" s="9">
        <v>0.53</v>
      </c>
      <c r="H211" s="10">
        <f t="shared" si="0"/>
        <v>1.59</v>
      </c>
      <c r="I211" s="5">
        <f>F211-SUMIFS(Pedidos!G:G, Pedidos!D:D, C211, Pedidos!E:E, E211, Pedidos!F:F, B211)</f>
        <v>3</v>
      </c>
      <c r="J211" s="10">
        <f t="shared" si="1"/>
        <v>1.59</v>
      </c>
    </row>
    <row r="212" spans="1:10" ht="15.75" customHeight="1">
      <c r="A212" s="5" t="s">
        <v>57</v>
      </c>
      <c r="B212" s="6" t="s">
        <v>283</v>
      </c>
      <c r="C212" s="11" t="s">
        <v>62</v>
      </c>
      <c r="D212" s="5"/>
      <c r="E212" s="12" t="s">
        <v>63</v>
      </c>
      <c r="F212" s="8">
        <v>14</v>
      </c>
      <c r="G212" s="9">
        <v>5.78</v>
      </c>
      <c r="H212" s="10">
        <f t="shared" si="0"/>
        <v>80.92</v>
      </c>
      <c r="I212" s="5">
        <f>F212-SUMIFS(Pedidos!G:G, Pedidos!D:D, C212, Pedidos!E:E, E212, Pedidos!F:F, B212)</f>
        <v>14</v>
      </c>
      <c r="J212" s="10">
        <f t="shared" si="1"/>
        <v>80.92</v>
      </c>
    </row>
    <row r="213" spans="1:10" ht="15.75" customHeight="1">
      <c r="A213" s="5" t="s">
        <v>57</v>
      </c>
      <c r="B213" s="6" t="s">
        <v>283</v>
      </c>
      <c r="C213" s="11" t="s">
        <v>68</v>
      </c>
      <c r="D213" s="5"/>
      <c r="E213" s="12" t="s">
        <v>63</v>
      </c>
      <c r="F213" s="8">
        <v>12</v>
      </c>
      <c r="G213" s="9">
        <v>23</v>
      </c>
      <c r="H213" s="10">
        <f t="shared" si="0"/>
        <v>276</v>
      </c>
      <c r="I213" s="5">
        <f>F213-SUMIFS(Pedidos!G:G, Pedidos!D:D, C213, Pedidos!E:E, E213, Pedidos!F:F, B213)</f>
        <v>12</v>
      </c>
      <c r="J213" s="10">
        <f t="shared" si="1"/>
        <v>276</v>
      </c>
    </row>
    <row r="214" spans="1:10" ht="15.75" customHeight="1">
      <c r="A214" s="5" t="s">
        <v>57</v>
      </c>
      <c r="B214" s="6" t="s">
        <v>284</v>
      </c>
      <c r="C214" s="11" t="s">
        <v>62</v>
      </c>
      <c r="D214" s="5"/>
      <c r="E214" s="12" t="s">
        <v>63</v>
      </c>
      <c r="F214" s="8">
        <v>7</v>
      </c>
      <c r="G214" s="9">
        <v>56.4</v>
      </c>
      <c r="H214" s="10">
        <f t="shared" si="0"/>
        <v>394.8</v>
      </c>
      <c r="I214" s="5">
        <f>F214-SUMIFS(Pedidos!G:G, Pedidos!D:D, C214, Pedidos!E:E, E214, Pedidos!F:F, B214)</f>
        <v>7</v>
      </c>
      <c r="J214" s="10">
        <f t="shared" si="1"/>
        <v>394.8</v>
      </c>
    </row>
    <row r="215" spans="1:10" ht="15.75" customHeight="1">
      <c r="A215" s="5" t="s">
        <v>57</v>
      </c>
      <c r="B215" s="6" t="s">
        <v>285</v>
      </c>
      <c r="C215" s="11" t="s">
        <v>62</v>
      </c>
      <c r="D215" s="5"/>
      <c r="E215" s="12" t="s">
        <v>63</v>
      </c>
      <c r="F215" s="8">
        <v>13</v>
      </c>
      <c r="G215" s="9">
        <v>19</v>
      </c>
      <c r="H215" s="10">
        <f t="shared" si="0"/>
        <v>247</v>
      </c>
      <c r="I215" s="5">
        <f>F215-SUMIFS(Pedidos!G:G, Pedidos!D:D, C215, Pedidos!E:E, E215, Pedidos!F:F, B215)</f>
        <v>13</v>
      </c>
      <c r="J215" s="10">
        <f t="shared" si="1"/>
        <v>247</v>
      </c>
    </row>
    <row r="216" spans="1:10" ht="15.75" customHeight="1">
      <c r="A216" s="5" t="s">
        <v>57</v>
      </c>
      <c r="B216" s="6" t="s">
        <v>286</v>
      </c>
      <c r="C216" s="5" t="s">
        <v>208</v>
      </c>
      <c r="D216" s="7" t="s">
        <v>287</v>
      </c>
      <c r="E216" s="5">
        <v>32</v>
      </c>
      <c r="F216" s="8">
        <v>30</v>
      </c>
      <c r="G216" s="9">
        <v>109847</v>
      </c>
      <c r="H216" s="10">
        <f t="shared" si="0"/>
        <v>3295410</v>
      </c>
      <c r="I216" s="5">
        <f>F216-SUMIFS(Pedidos!G:G, Pedidos!D:D, C216, Pedidos!E:E, E216, Pedidos!F:F, B216)</f>
        <v>25</v>
      </c>
      <c r="J216" s="10">
        <f t="shared" si="1"/>
        <v>2746175</v>
      </c>
    </row>
    <row r="217" spans="1:10" ht="15.75" customHeight="1">
      <c r="A217" s="5" t="s">
        <v>57</v>
      </c>
      <c r="B217" s="6" t="s">
        <v>288</v>
      </c>
      <c r="C217" s="5" t="s">
        <v>208</v>
      </c>
      <c r="D217" s="5" t="s">
        <v>289</v>
      </c>
      <c r="E217" s="5">
        <v>14</v>
      </c>
      <c r="F217" s="8">
        <v>20</v>
      </c>
      <c r="G217" s="9">
        <v>41950</v>
      </c>
      <c r="H217" s="10">
        <f t="shared" si="0"/>
        <v>839000</v>
      </c>
      <c r="I217" s="5">
        <f>F217-SUMIFS(Pedidos!G:G, Pedidos!D:D, C217, Pedidos!E:E, E217, Pedidos!F:F, B217)</f>
        <v>13</v>
      </c>
      <c r="J217" s="10">
        <f t="shared" si="1"/>
        <v>545350</v>
      </c>
    </row>
    <row r="218" spans="1:10" ht="15.75" customHeight="1">
      <c r="A218" s="5" t="s">
        <v>290</v>
      </c>
      <c r="B218" s="6" t="s">
        <v>291</v>
      </c>
      <c r="C218" s="11" t="s">
        <v>62</v>
      </c>
      <c r="D218" s="5"/>
      <c r="E218" s="12" t="s">
        <v>63</v>
      </c>
      <c r="F218" s="8">
        <v>15</v>
      </c>
      <c r="G218" s="9">
        <v>7.9</v>
      </c>
      <c r="H218" s="10">
        <f t="shared" si="0"/>
        <v>118.5</v>
      </c>
      <c r="I218" s="5">
        <f>F218-SUMIFS(Pedidos!G:G, Pedidos!D:D, C218, Pedidos!E:E, E218, Pedidos!F:F, B218)</f>
        <v>15</v>
      </c>
      <c r="J218" s="10">
        <f t="shared" si="1"/>
        <v>118.5</v>
      </c>
    </row>
    <row r="219" spans="1:10" ht="15.75" customHeight="1">
      <c r="A219" s="5" t="s">
        <v>290</v>
      </c>
      <c r="B219" s="6" t="s">
        <v>292</v>
      </c>
      <c r="C219" s="11" t="s">
        <v>62</v>
      </c>
      <c r="D219" s="5"/>
      <c r="E219" s="12" t="s">
        <v>63</v>
      </c>
      <c r="F219" s="8">
        <v>29</v>
      </c>
      <c r="G219" s="9">
        <v>8.8000000000000007</v>
      </c>
      <c r="H219" s="10">
        <f t="shared" si="0"/>
        <v>255.20000000000002</v>
      </c>
      <c r="I219" s="5">
        <f>F219-SUMIFS(Pedidos!G:G, Pedidos!D:D, C219, Pedidos!E:E, E219, Pedidos!F:F, B219)</f>
        <v>29</v>
      </c>
      <c r="J219" s="10">
        <f t="shared" si="1"/>
        <v>255.20000000000002</v>
      </c>
    </row>
    <row r="220" spans="1:10" ht="15.75" customHeight="1">
      <c r="A220" s="5" t="s">
        <v>290</v>
      </c>
      <c r="B220" s="6" t="s">
        <v>293</v>
      </c>
      <c r="C220" s="11" t="s">
        <v>62</v>
      </c>
      <c r="D220" s="5"/>
      <c r="E220" s="12" t="s">
        <v>63</v>
      </c>
      <c r="F220" s="8">
        <v>2</v>
      </c>
      <c r="G220" s="9">
        <v>38</v>
      </c>
      <c r="H220" s="10">
        <f t="shared" si="0"/>
        <v>76</v>
      </c>
      <c r="I220" s="5">
        <f>F220-SUMIFS(Pedidos!G:G, Pedidos!D:D, C220, Pedidos!E:E, E220, Pedidos!F:F, B220)</f>
        <v>2</v>
      </c>
      <c r="J220" s="10">
        <f t="shared" si="1"/>
        <v>76</v>
      </c>
    </row>
    <row r="221" spans="1:10" ht="15.75" customHeight="1">
      <c r="A221" s="5" t="s">
        <v>290</v>
      </c>
      <c r="B221" s="6" t="s">
        <v>294</v>
      </c>
      <c r="C221" s="11" t="s">
        <v>62</v>
      </c>
      <c r="D221" s="5"/>
      <c r="E221" s="12" t="s">
        <v>63</v>
      </c>
      <c r="F221" s="8">
        <v>153</v>
      </c>
      <c r="G221" s="9">
        <v>0.12</v>
      </c>
      <c r="H221" s="10">
        <f t="shared" si="0"/>
        <v>18.36</v>
      </c>
      <c r="I221" s="5">
        <f>F221-SUMIFS(Pedidos!G:G, Pedidos!D:D, C221, Pedidos!E:E, E221, Pedidos!F:F, B221)</f>
        <v>153</v>
      </c>
      <c r="J221" s="10">
        <f t="shared" si="1"/>
        <v>18.36</v>
      </c>
    </row>
    <row r="222" spans="1:10" ht="15.75" customHeight="1">
      <c r="A222" s="5" t="s">
        <v>290</v>
      </c>
      <c r="B222" s="6" t="s">
        <v>295</v>
      </c>
      <c r="C222" s="5" t="s">
        <v>296</v>
      </c>
      <c r="D222" s="7" t="s">
        <v>297</v>
      </c>
      <c r="E222" s="5">
        <v>10</v>
      </c>
      <c r="F222" s="8">
        <v>300</v>
      </c>
      <c r="G222" s="9">
        <v>310</v>
      </c>
      <c r="H222" s="10">
        <f t="shared" si="0"/>
        <v>93000</v>
      </c>
      <c r="I222" s="5">
        <f>F222-SUMIFS(Pedidos!G:G, Pedidos!D:D, C222, Pedidos!E:E, E222, Pedidos!F:F, B222)</f>
        <v>189</v>
      </c>
      <c r="J222" s="10">
        <f t="shared" si="1"/>
        <v>58590</v>
      </c>
    </row>
    <row r="223" spans="1:10" ht="15.75" customHeight="1">
      <c r="A223" s="5" t="s">
        <v>290</v>
      </c>
      <c r="B223" s="6" t="s">
        <v>298</v>
      </c>
      <c r="C223" s="11" t="s">
        <v>62</v>
      </c>
      <c r="D223" s="5"/>
      <c r="E223" s="12" t="s">
        <v>63</v>
      </c>
      <c r="F223" s="8">
        <v>90</v>
      </c>
      <c r="G223" s="9">
        <v>687</v>
      </c>
      <c r="H223" s="10">
        <f t="shared" si="0"/>
        <v>61830</v>
      </c>
      <c r="I223" s="5">
        <f>F223-SUMIFS(Pedidos!G:G, Pedidos!D:D, C223, Pedidos!E:E, E223, Pedidos!F:F, B223)</f>
        <v>90</v>
      </c>
      <c r="J223" s="10">
        <f t="shared" si="1"/>
        <v>61830</v>
      </c>
    </row>
    <row r="224" spans="1:10" ht="15.75" customHeight="1">
      <c r="A224" s="5" t="s">
        <v>290</v>
      </c>
      <c r="B224" s="6" t="s">
        <v>299</v>
      </c>
      <c r="C224" s="11" t="s">
        <v>62</v>
      </c>
      <c r="D224" s="5"/>
      <c r="E224" s="12" t="s">
        <v>63</v>
      </c>
      <c r="F224" s="8">
        <v>1300</v>
      </c>
      <c r="G224" s="9">
        <v>3.2</v>
      </c>
      <c r="H224" s="10">
        <f t="shared" si="0"/>
        <v>4160</v>
      </c>
      <c r="I224" s="5">
        <f>F224-SUMIFS(Pedidos!G:G, Pedidos!D:D, C224, Pedidos!E:E, E224, Pedidos!F:F, B224)</f>
        <v>1300</v>
      </c>
      <c r="J224" s="10">
        <f t="shared" si="1"/>
        <v>4160</v>
      </c>
    </row>
    <row r="225" spans="1:10" ht="15.75" customHeight="1">
      <c r="A225" s="5" t="s">
        <v>290</v>
      </c>
      <c r="B225" s="6" t="s">
        <v>300</v>
      </c>
      <c r="C225" s="11" t="s">
        <v>62</v>
      </c>
      <c r="D225" s="5"/>
      <c r="E225" s="12" t="s">
        <v>63</v>
      </c>
      <c r="F225" s="8">
        <v>200</v>
      </c>
      <c r="G225" s="9">
        <v>5.1100000000000003</v>
      </c>
      <c r="H225" s="10">
        <f t="shared" si="0"/>
        <v>1022.0000000000001</v>
      </c>
      <c r="I225" s="5">
        <f>F225-SUMIFS(Pedidos!G:G, Pedidos!D:D, C225, Pedidos!E:E, E225, Pedidos!F:F, B225)</f>
        <v>200</v>
      </c>
      <c r="J225" s="10">
        <f t="shared" si="1"/>
        <v>1022.0000000000001</v>
      </c>
    </row>
    <row r="226" spans="1:10" ht="15.75" customHeight="1">
      <c r="A226" s="5" t="s">
        <v>290</v>
      </c>
      <c r="B226" s="6" t="s">
        <v>301</v>
      </c>
      <c r="C226" s="11" t="s">
        <v>62</v>
      </c>
      <c r="D226" s="5"/>
      <c r="E226" s="12" t="s">
        <v>63</v>
      </c>
      <c r="F226" s="8">
        <v>1400</v>
      </c>
      <c r="G226" s="9">
        <v>7.94</v>
      </c>
      <c r="H226" s="10">
        <f t="shared" si="0"/>
        <v>11116</v>
      </c>
      <c r="I226" s="5">
        <f>F226-SUMIFS(Pedidos!G:G, Pedidos!D:D, C226, Pedidos!E:E, E226, Pedidos!F:F, B226)</f>
        <v>1400</v>
      </c>
      <c r="J226" s="10">
        <f t="shared" si="1"/>
        <v>11116</v>
      </c>
    </row>
    <row r="227" spans="1:10" ht="15.75" customHeight="1">
      <c r="A227" s="5" t="s">
        <v>290</v>
      </c>
      <c r="B227" s="6" t="s">
        <v>302</v>
      </c>
      <c r="C227" s="11" t="s">
        <v>62</v>
      </c>
      <c r="D227" s="5"/>
      <c r="E227" s="12" t="s">
        <v>63</v>
      </c>
      <c r="F227" s="8">
        <v>4500</v>
      </c>
      <c r="G227" s="9">
        <v>11.708299999999999</v>
      </c>
      <c r="H227" s="10">
        <f t="shared" si="0"/>
        <v>52687.35</v>
      </c>
      <c r="I227" s="5">
        <f>F227-SUMIFS(Pedidos!G:G, Pedidos!D:D, C227, Pedidos!E:E, E227, Pedidos!F:F, B227)</f>
        <v>4500</v>
      </c>
      <c r="J227" s="10">
        <f t="shared" si="1"/>
        <v>52687.35</v>
      </c>
    </row>
    <row r="228" spans="1:10" ht="15.75" customHeight="1">
      <c r="A228" s="5" t="s">
        <v>290</v>
      </c>
      <c r="B228" s="6" t="s">
        <v>303</v>
      </c>
      <c r="C228" s="11" t="s">
        <v>62</v>
      </c>
      <c r="D228" s="5"/>
      <c r="E228" s="12" t="s">
        <v>63</v>
      </c>
      <c r="F228" s="8">
        <v>300</v>
      </c>
      <c r="G228" s="9">
        <v>8.4700000000000006</v>
      </c>
      <c r="H228" s="10">
        <f t="shared" si="0"/>
        <v>2541</v>
      </c>
      <c r="I228" s="5">
        <f>F228-SUMIFS(Pedidos!G:G, Pedidos!D:D, C228, Pedidos!E:E, E228, Pedidos!F:F, B228)</f>
        <v>300</v>
      </c>
      <c r="J228" s="10">
        <f t="shared" si="1"/>
        <v>2541</v>
      </c>
    </row>
    <row r="229" spans="1:10" ht="15.75" customHeight="1">
      <c r="A229" s="5" t="s">
        <v>290</v>
      </c>
      <c r="B229" s="6" t="s">
        <v>304</v>
      </c>
      <c r="C229" s="11" t="s">
        <v>62</v>
      </c>
      <c r="D229" s="5"/>
      <c r="E229" s="12" t="s">
        <v>63</v>
      </c>
      <c r="F229" s="8">
        <v>200</v>
      </c>
      <c r="G229" s="9">
        <v>143.15</v>
      </c>
      <c r="H229" s="10">
        <f t="shared" si="0"/>
        <v>28630</v>
      </c>
      <c r="I229" s="5">
        <f>F229-SUMIFS(Pedidos!G:G, Pedidos!D:D, C229, Pedidos!E:E, E229, Pedidos!F:F, B229)</f>
        <v>200</v>
      </c>
      <c r="J229" s="10">
        <f t="shared" si="1"/>
        <v>28630</v>
      </c>
    </row>
    <row r="230" spans="1:10" ht="15.75" customHeight="1">
      <c r="A230" s="5" t="s">
        <v>290</v>
      </c>
      <c r="B230" s="6" t="s">
        <v>305</v>
      </c>
      <c r="C230" s="11" t="s">
        <v>62</v>
      </c>
      <c r="D230" s="5"/>
      <c r="E230" s="12" t="s">
        <v>63</v>
      </c>
      <c r="F230" s="8">
        <v>35</v>
      </c>
      <c r="G230" s="9">
        <v>464.01</v>
      </c>
      <c r="H230" s="10">
        <f t="shared" si="0"/>
        <v>16240.35</v>
      </c>
      <c r="I230" s="5">
        <f>F230-SUMIFS(Pedidos!G:G, Pedidos!D:D, C230, Pedidos!E:E, E230, Pedidos!F:F, B230)</f>
        <v>35</v>
      </c>
      <c r="J230" s="10">
        <f t="shared" si="1"/>
        <v>16240.35</v>
      </c>
    </row>
    <row r="231" spans="1:10" ht="15.75" customHeight="1">
      <c r="A231" s="5" t="s">
        <v>290</v>
      </c>
      <c r="B231" s="6" t="s">
        <v>306</v>
      </c>
      <c r="C231" s="11" t="s">
        <v>62</v>
      </c>
      <c r="D231" s="5"/>
      <c r="E231" s="12" t="s">
        <v>63</v>
      </c>
      <c r="F231" s="8">
        <v>48</v>
      </c>
      <c r="G231" s="9">
        <v>0.2</v>
      </c>
      <c r="H231" s="10">
        <f t="shared" si="0"/>
        <v>9.6000000000000014</v>
      </c>
      <c r="I231" s="5">
        <f>F231-SUMIFS(Pedidos!G:G, Pedidos!D:D, C231, Pedidos!E:E, E231, Pedidos!F:F, B231)</f>
        <v>48</v>
      </c>
      <c r="J231" s="10">
        <f t="shared" si="1"/>
        <v>9.6000000000000014</v>
      </c>
    </row>
    <row r="232" spans="1:10" ht="15.75" customHeight="1">
      <c r="A232" s="5" t="s">
        <v>290</v>
      </c>
      <c r="B232" s="6" t="s">
        <v>307</v>
      </c>
      <c r="C232" s="11" t="s">
        <v>62</v>
      </c>
      <c r="D232" s="5"/>
      <c r="E232" s="12" t="s">
        <v>63</v>
      </c>
      <c r="F232" s="8">
        <v>2</v>
      </c>
      <c r="G232" s="9">
        <v>71.75</v>
      </c>
      <c r="H232" s="10">
        <f t="shared" si="0"/>
        <v>143.5</v>
      </c>
      <c r="I232" s="5">
        <f>F232-SUMIFS(Pedidos!G:G, Pedidos!D:D, C232, Pedidos!E:E, E232, Pedidos!F:F, B232)</f>
        <v>2</v>
      </c>
      <c r="J232" s="10">
        <f t="shared" si="1"/>
        <v>143.5</v>
      </c>
    </row>
    <row r="233" spans="1:10" ht="15.75" customHeight="1">
      <c r="A233" s="5" t="s">
        <v>290</v>
      </c>
      <c r="B233" s="6" t="s">
        <v>308</v>
      </c>
      <c r="C233" s="11" t="s">
        <v>62</v>
      </c>
      <c r="D233" s="5"/>
      <c r="E233" s="12" t="s">
        <v>63</v>
      </c>
      <c r="F233" s="8">
        <v>2</v>
      </c>
      <c r="G233" s="9">
        <v>5778</v>
      </c>
      <c r="H233" s="10">
        <f t="shared" si="0"/>
        <v>11556</v>
      </c>
      <c r="I233" s="5">
        <f>F233-SUMIFS(Pedidos!G:G, Pedidos!D:D, C233, Pedidos!E:E, E233, Pedidos!F:F, B233)</f>
        <v>0</v>
      </c>
      <c r="J233" s="10">
        <f t="shared" si="1"/>
        <v>0</v>
      </c>
    </row>
    <row r="234" spans="1:10" ht="15.75" customHeight="1">
      <c r="A234" s="5" t="s">
        <v>290</v>
      </c>
      <c r="B234" s="6" t="s">
        <v>309</v>
      </c>
      <c r="C234" s="11" t="s">
        <v>62</v>
      </c>
      <c r="D234" s="5"/>
      <c r="E234" s="12" t="s">
        <v>63</v>
      </c>
      <c r="F234" s="8">
        <v>3</v>
      </c>
      <c r="G234" s="9">
        <v>11</v>
      </c>
      <c r="H234" s="10">
        <f t="shared" si="0"/>
        <v>33</v>
      </c>
      <c r="I234" s="5">
        <f>F234-SUMIFS(Pedidos!G:G, Pedidos!D:D, C234, Pedidos!E:E, E234, Pedidos!F:F, B234)</f>
        <v>3</v>
      </c>
      <c r="J234" s="10">
        <f t="shared" si="1"/>
        <v>33</v>
      </c>
    </row>
    <row r="235" spans="1:10" ht="15.75" customHeight="1">
      <c r="A235" s="5" t="s">
        <v>290</v>
      </c>
      <c r="B235" s="6" t="s">
        <v>310</v>
      </c>
      <c r="C235" s="5" t="s">
        <v>311</v>
      </c>
      <c r="D235" s="7" t="s">
        <v>312</v>
      </c>
      <c r="E235" s="5">
        <v>20</v>
      </c>
      <c r="F235" s="8">
        <v>30</v>
      </c>
      <c r="G235" s="9">
        <v>12214.68</v>
      </c>
      <c r="H235" s="10">
        <f t="shared" si="0"/>
        <v>366440.4</v>
      </c>
      <c r="I235" s="5">
        <f>F235-SUMIFS(Pedidos!G:G, Pedidos!D:D, C235, Pedidos!E:E, E235, Pedidos!F:F, B235)</f>
        <v>26</v>
      </c>
      <c r="J235" s="10">
        <f t="shared" si="1"/>
        <v>317581.68</v>
      </c>
    </row>
    <row r="236" spans="1:10" ht="15.75" customHeight="1">
      <c r="A236" s="5" t="s">
        <v>290</v>
      </c>
      <c r="B236" s="6" t="s">
        <v>313</v>
      </c>
      <c r="C236" s="5" t="s">
        <v>311</v>
      </c>
      <c r="D236" s="5" t="s">
        <v>314</v>
      </c>
      <c r="E236" s="5">
        <v>21</v>
      </c>
      <c r="F236" s="8">
        <v>20</v>
      </c>
      <c r="G236" s="9">
        <v>1748</v>
      </c>
      <c r="H236" s="10">
        <f t="shared" si="0"/>
        <v>34960</v>
      </c>
      <c r="I236" s="5">
        <f>F236-SUMIFS(Pedidos!G:G, Pedidos!D:D, C236, Pedidos!E:E, E236, Pedidos!F:F, B236)</f>
        <v>10</v>
      </c>
      <c r="J236" s="10">
        <f t="shared" si="1"/>
        <v>17480</v>
      </c>
    </row>
    <row r="237" spans="1:10" ht="15.75" customHeight="1">
      <c r="A237" s="5" t="s">
        <v>290</v>
      </c>
      <c r="B237" s="6" t="s">
        <v>315</v>
      </c>
      <c r="C237" s="5" t="s">
        <v>311</v>
      </c>
      <c r="D237" s="5" t="s">
        <v>316</v>
      </c>
      <c r="E237" s="5">
        <v>22</v>
      </c>
      <c r="F237" s="8">
        <v>500</v>
      </c>
      <c r="G237" s="9">
        <v>1670.35</v>
      </c>
      <c r="H237" s="10">
        <f t="shared" si="0"/>
        <v>835175</v>
      </c>
      <c r="I237" s="5">
        <f>F237-SUMIFS(Pedidos!G:G, Pedidos!D:D, C237, Pedidos!E:E, E237, Pedidos!F:F, B237)</f>
        <v>461</v>
      </c>
      <c r="J237" s="10">
        <f t="shared" si="1"/>
        <v>770031.35</v>
      </c>
    </row>
    <row r="238" spans="1:10" ht="15.75" customHeight="1">
      <c r="A238" s="5" t="s">
        <v>290</v>
      </c>
      <c r="B238" s="6" t="s">
        <v>317</v>
      </c>
      <c r="C238" s="11" t="s">
        <v>62</v>
      </c>
      <c r="D238" s="5"/>
      <c r="E238" s="12" t="s">
        <v>63</v>
      </c>
      <c r="F238" s="8">
        <v>118</v>
      </c>
      <c r="G238" s="9">
        <v>1</v>
      </c>
      <c r="H238" s="10">
        <f t="shared" si="0"/>
        <v>118</v>
      </c>
      <c r="I238" s="5">
        <f>F238-SUMIFS(Pedidos!G:G, Pedidos!D:D, C238, Pedidos!E:E, E238, Pedidos!F:F, B238)</f>
        <v>118</v>
      </c>
      <c r="J238" s="10">
        <f t="shared" si="1"/>
        <v>118</v>
      </c>
    </row>
    <row r="239" spans="1:10" ht="15.75" customHeight="1">
      <c r="A239" s="5" t="s">
        <v>290</v>
      </c>
      <c r="B239" s="6" t="s">
        <v>318</v>
      </c>
      <c r="C239" s="11" t="s">
        <v>62</v>
      </c>
      <c r="D239" s="5"/>
      <c r="E239" s="12" t="s">
        <v>63</v>
      </c>
      <c r="F239" s="8">
        <v>5</v>
      </c>
      <c r="G239" s="9">
        <v>16</v>
      </c>
      <c r="H239" s="10">
        <f t="shared" si="0"/>
        <v>80</v>
      </c>
      <c r="I239" s="5">
        <f>F239-SUMIFS(Pedidos!G:G, Pedidos!D:D, C239, Pedidos!E:E, E239, Pedidos!F:F, B239)</f>
        <v>5</v>
      </c>
      <c r="J239" s="10">
        <f t="shared" si="1"/>
        <v>80</v>
      </c>
    </row>
    <row r="240" spans="1:10" ht="15.75" customHeight="1">
      <c r="A240" s="5" t="s">
        <v>290</v>
      </c>
      <c r="B240" s="6" t="s">
        <v>319</v>
      </c>
      <c r="C240" s="5" t="s">
        <v>320</v>
      </c>
      <c r="D240" s="7" t="s">
        <v>321</v>
      </c>
      <c r="E240" s="5">
        <v>27</v>
      </c>
      <c r="F240" s="8">
        <f>10*100</f>
        <v>1000</v>
      </c>
      <c r="G240" s="9">
        <f>63485/100</f>
        <v>634.85</v>
      </c>
      <c r="H240" s="10">
        <f t="shared" si="0"/>
        <v>634850</v>
      </c>
      <c r="I240" s="5">
        <f>F240-SUMIFS(Pedidos!G:G, Pedidos!D:D, C240, Pedidos!E:E, E240, Pedidos!F:F, B240)</f>
        <v>1000</v>
      </c>
      <c r="J240" s="10">
        <f t="shared" si="1"/>
        <v>634850</v>
      </c>
    </row>
    <row r="241" spans="1:10" ht="15.75" customHeight="1">
      <c r="A241" s="5" t="s">
        <v>290</v>
      </c>
      <c r="B241" s="6" t="s">
        <v>319</v>
      </c>
      <c r="C241" s="5" t="s">
        <v>62</v>
      </c>
      <c r="D241" s="5" t="s">
        <v>321</v>
      </c>
      <c r="E241" s="5" t="s">
        <v>63</v>
      </c>
      <c r="F241" s="8">
        <v>1100</v>
      </c>
      <c r="G241" s="9">
        <v>69.78</v>
      </c>
      <c r="H241" s="10">
        <f t="shared" si="0"/>
        <v>76758</v>
      </c>
      <c r="I241" s="5">
        <f>F241-SUMIFS(Pedidos!G:G, Pedidos!D:D, C241, Pedidos!E:E, E241, Pedidos!F:F, B241)</f>
        <v>1100</v>
      </c>
      <c r="J241" s="10">
        <f t="shared" si="1"/>
        <v>76758</v>
      </c>
    </row>
    <row r="242" spans="1:10" ht="15.75" customHeight="1">
      <c r="A242" s="5" t="s">
        <v>290</v>
      </c>
      <c r="B242" s="6" t="s">
        <v>322</v>
      </c>
      <c r="C242" s="5" t="s">
        <v>320</v>
      </c>
      <c r="D242" s="5" t="s">
        <v>321</v>
      </c>
      <c r="E242" s="5">
        <v>28</v>
      </c>
      <c r="F242" s="8">
        <v>10</v>
      </c>
      <c r="G242" s="9">
        <v>63485</v>
      </c>
      <c r="H242" s="10">
        <f t="shared" si="0"/>
        <v>634850</v>
      </c>
      <c r="I242" s="5">
        <f>F242-SUMIFS(Pedidos!G:G, Pedidos!D:D, C242, Pedidos!E:E, E242, Pedidos!F:F, B242)</f>
        <v>10</v>
      </c>
      <c r="J242" s="10">
        <f t="shared" si="1"/>
        <v>634850</v>
      </c>
    </row>
    <row r="243" spans="1:10" ht="15.75" customHeight="1">
      <c r="A243" s="5" t="s">
        <v>290</v>
      </c>
      <c r="B243" s="6" t="s">
        <v>323</v>
      </c>
      <c r="C243" s="5" t="s">
        <v>320</v>
      </c>
      <c r="D243" s="5" t="s">
        <v>324</v>
      </c>
      <c r="E243" s="5">
        <v>25</v>
      </c>
      <c r="F243" s="8">
        <f>5*100</f>
        <v>500</v>
      </c>
      <c r="G243" s="9">
        <f>223855/100</f>
        <v>2238.5500000000002</v>
      </c>
      <c r="H243" s="10">
        <f t="shared" si="0"/>
        <v>1119275</v>
      </c>
      <c r="I243" s="5">
        <f>F243-SUMIFS(Pedidos!G:G, Pedidos!D:D, C243, Pedidos!E:E, E243, Pedidos!F:F, B243)</f>
        <v>100</v>
      </c>
      <c r="J243" s="10">
        <f t="shared" si="1"/>
        <v>223855.00000000003</v>
      </c>
    </row>
    <row r="244" spans="1:10" ht="15.75" customHeight="1">
      <c r="A244" s="5" t="s">
        <v>290</v>
      </c>
      <c r="B244" s="6" t="s">
        <v>325</v>
      </c>
      <c r="C244" s="11" t="s">
        <v>62</v>
      </c>
      <c r="D244" s="5"/>
      <c r="E244" s="12" t="s">
        <v>63</v>
      </c>
      <c r="F244" s="8">
        <v>1</v>
      </c>
      <c r="G244" s="9">
        <v>1111</v>
      </c>
      <c r="H244" s="10">
        <f t="shared" si="0"/>
        <v>1111</v>
      </c>
      <c r="I244" s="5">
        <f>F244-SUMIFS(Pedidos!G:G, Pedidos!D:D, C244, Pedidos!E:E, E244, Pedidos!F:F, B244)</f>
        <v>1</v>
      </c>
      <c r="J244" s="10">
        <f t="shared" si="1"/>
        <v>1111</v>
      </c>
    </row>
    <row r="245" spans="1:10" ht="15.75" customHeight="1">
      <c r="A245" s="5" t="s">
        <v>290</v>
      </c>
      <c r="B245" s="6" t="s">
        <v>326</v>
      </c>
      <c r="C245" s="11" t="s">
        <v>62</v>
      </c>
      <c r="D245" s="5"/>
      <c r="E245" s="12" t="s">
        <v>63</v>
      </c>
      <c r="F245" s="8">
        <v>2</v>
      </c>
      <c r="G245" s="9">
        <v>1210</v>
      </c>
      <c r="H245" s="10">
        <f t="shared" si="0"/>
        <v>2420</v>
      </c>
      <c r="I245" s="5">
        <f>F245-SUMIFS(Pedidos!G:G, Pedidos!D:D, C245, Pedidos!E:E, E245, Pedidos!F:F, B245)</f>
        <v>2</v>
      </c>
      <c r="J245" s="10">
        <f t="shared" si="1"/>
        <v>2420</v>
      </c>
    </row>
    <row r="246" spans="1:10" ht="15.75" customHeight="1">
      <c r="A246" s="5" t="s">
        <v>290</v>
      </c>
      <c r="B246" s="6" t="s">
        <v>327</v>
      </c>
      <c r="C246" s="11" t="s">
        <v>62</v>
      </c>
      <c r="D246" s="5"/>
      <c r="E246" s="12" t="s">
        <v>63</v>
      </c>
      <c r="F246" s="8">
        <v>3</v>
      </c>
      <c r="G246" s="9">
        <v>1750</v>
      </c>
      <c r="H246" s="10">
        <f t="shared" si="0"/>
        <v>5250</v>
      </c>
      <c r="I246" s="5">
        <f>F246-SUMIFS(Pedidos!G:G, Pedidos!D:D, C246, Pedidos!E:E, E246, Pedidos!F:F, B246)</f>
        <v>3</v>
      </c>
      <c r="J246" s="10">
        <f t="shared" si="1"/>
        <v>5250</v>
      </c>
    </row>
    <row r="247" spans="1:10" ht="15.75" customHeight="1">
      <c r="A247" s="5" t="s">
        <v>290</v>
      </c>
      <c r="B247" s="6" t="s">
        <v>328</v>
      </c>
      <c r="C247" s="11" t="s">
        <v>62</v>
      </c>
      <c r="D247" s="5"/>
      <c r="E247" s="12" t="s">
        <v>63</v>
      </c>
      <c r="F247" s="8">
        <v>7</v>
      </c>
      <c r="G247" s="9">
        <v>1944</v>
      </c>
      <c r="H247" s="10">
        <f t="shared" si="0"/>
        <v>13608</v>
      </c>
      <c r="I247" s="5">
        <f>F247-SUMIFS(Pedidos!G:G, Pedidos!D:D, C247, Pedidos!E:E, E247, Pedidos!F:F, B247)</f>
        <v>7</v>
      </c>
      <c r="J247" s="10">
        <f t="shared" si="1"/>
        <v>13608</v>
      </c>
    </row>
    <row r="248" spans="1:10" ht="15.75" customHeight="1">
      <c r="A248" s="5" t="s">
        <v>290</v>
      </c>
      <c r="B248" s="6" t="s">
        <v>329</v>
      </c>
      <c r="C248" s="11" t="s">
        <v>62</v>
      </c>
      <c r="D248" s="5"/>
      <c r="E248" s="12" t="s">
        <v>63</v>
      </c>
      <c r="F248" s="8">
        <v>4</v>
      </c>
      <c r="G248" s="9">
        <v>9780.84</v>
      </c>
      <c r="H248" s="10">
        <f t="shared" si="0"/>
        <v>39123.360000000001</v>
      </c>
      <c r="I248" s="5">
        <f>F248-SUMIFS(Pedidos!G:G, Pedidos!D:D, C248, Pedidos!E:E, E248, Pedidos!F:F, B248)</f>
        <v>4</v>
      </c>
      <c r="J248" s="10">
        <f t="shared" si="1"/>
        <v>39123.360000000001</v>
      </c>
    </row>
    <row r="249" spans="1:10" ht="15.75" customHeight="1">
      <c r="A249" s="5" t="s">
        <v>290</v>
      </c>
      <c r="B249" s="6" t="s">
        <v>330</v>
      </c>
      <c r="C249" s="5" t="s">
        <v>311</v>
      </c>
      <c r="D249" s="7" t="s">
        <v>331</v>
      </c>
      <c r="E249" s="5">
        <v>24</v>
      </c>
      <c r="F249" s="8">
        <v>6</v>
      </c>
      <c r="G249" s="9">
        <v>9780.84</v>
      </c>
      <c r="H249" s="10">
        <f t="shared" si="0"/>
        <v>58685.04</v>
      </c>
      <c r="I249" s="5">
        <f>F249-SUMIFS(Pedidos!G:G, Pedidos!D:D, C249, Pedidos!E:E, E249, Pedidos!F:F, B249)</f>
        <v>6</v>
      </c>
      <c r="J249" s="10">
        <f t="shared" si="1"/>
        <v>58685.04</v>
      </c>
    </row>
    <row r="250" spans="1:10" ht="15.75" customHeight="1">
      <c r="A250" s="5" t="s">
        <v>290</v>
      </c>
      <c r="B250" s="6" t="s">
        <v>332</v>
      </c>
      <c r="C250" s="11" t="s">
        <v>62</v>
      </c>
      <c r="D250" s="5"/>
      <c r="E250" s="12" t="s">
        <v>63</v>
      </c>
      <c r="F250" s="8">
        <v>17</v>
      </c>
      <c r="G250" s="9">
        <v>1488</v>
      </c>
      <c r="H250" s="10">
        <f t="shared" si="0"/>
        <v>25296</v>
      </c>
      <c r="I250" s="5">
        <f>F250-SUMIFS(Pedidos!G:G, Pedidos!D:D, C250, Pedidos!E:E, E250, Pedidos!F:F, B250)</f>
        <v>17</v>
      </c>
      <c r="J250" s="10">
        <f t="shared" si="1"/>
        <v>25296</v>
      </c>
    </row>
    <row r="251" spans="1:10" ht="15.75" customHeight="1">
      <c r="A251" s="5" t="s">
        <v>290</v>
      </c>
      <c r="B251" s="6" t="s">
        <v>333</v>
      </c>
      <c r="C251" s="11" t="s">
        <v>62</v>
      </c>
      <c r="D251" s="5"/>
      <c r="E251" s="12" t="s">
        <v>63</v>
      </c>
      <c r="F251" s="8">
        <v>1865</v>
      </c>
      <c r="G251" s="9">
        <v>0.47</v>
      </c>
      <c r="H251" s="10">
        <f t="shared" si="0"/>
        <v>876.55</v>
      </c>
      <c r="I251" s="5">
        <f>F251-SUMIFS(Pedidos!G:G, Pedidos!D:D, C251, Pedidos!E:E, E251, Pedidos!F:F, B251)</f>
        <v>1865</v>
      </c>
      <c r="J251" s="10">
        <f t="shared" si="1"/>
        <v>876.55</v>
      </c>
    </row>
    <row r="252" spans="1:10" ht="15.75" customHeight="1">
      <c r="A252" s="5" t="s">
        <v>290</v>
      </c>
      <c r="B252" s="6" t="s">
        <v>334</v>
      </c>
      <c r="C252" s="11" t="s">
        <v>62</v>
      </c>
      <c r="D252" s="5"/>
      <c r="E252" s="12" t="s">
        <v>63</v>
      </c>
      <c r="F252" s="8">
        <v>6</v>
      </c>
      <c r="G252" s="9">
        <v>8.24</v>
      </c>
      <c r="H252" s="10">
        <f t="shared" si="0"/>
        <v>49.44</v>
      </c>
      <c r="I252" s="5">
        <f>F252-SUMIFS(Pedidos!G:G, Pedidos!D:D, C252, Pedidos!E:E, E252, Pedidos!F:F, B252)</f>
        <v>6</v>
      </c>
      <c r="J252" s="10">
        <f t="shared" si="1"/>
        <v>49.44</v>
      </c>
    </row>
    <row r="253" spans="1:10" ht="15.75" customHeight="1">
      <c r="A253" s="5" t="s">
        <v>290</v>
      </c>
      <c r="B253" s="6" t="s">
        <v>335</v>
      </c>
      <c r="C253" s="11" t="s">
        <v>62</v>
      </c>
      <c r="D253" s="5"/>
      <c r="E253" s="12" t="s">
        <v>63</v>
      </c>
      <c r="F253" s="8">
        <v>19</v>
      </c>
      <c r="G253" s="9">
        <v>399</v>
      </c>
      <c r="H253" s="10">
        <f t="shared" si="0"/>
        <v>7581</v>
      </c>
      <c r="I253" s="5">
        <f>F253-SUMIFS(Pedidos!G:G, Pedidos!D:D, C253, Pedidos!E:E, E253, Pedidos!F:F, B253)</f>
        <v>19</v>
      </c>
      <c r="J253" s="10">
        <f t="shared" si="1"/>
        <v>7581</v>
      </c>
    </row>
    <row r="254" spans="1:10" ht="15.75" customHeight="1">
      <c r="A254" s="5" t="s">
        <v>290</v>
      </c>
      <c r="B254" s="6" t="s">
        <v>336</v>
      </c>
      <c r="C254" s="5" t="s">
        <v>296</v>
      </c>
      <c r="D254" s="7" t="s">
        <v>337</v>
      </c>
      <c r="E254" s="5">
        <v>15</v>
      </c>
      <c r="F254" s="8">
        <v>20</v>
      </c>
      <c r="G254" s="9">
        <v>4500</v>
      </c>
      <c r="H254" s="10">
        <f t="shared" si="0"/>
        <v>90000</v>
      </c>
      <c r="I254" s="5">
        <f>F254-SUMIFS(Pedidos!G:G, Pedidos!D:D, C254, Pedidos!E:E, E254, Pedidos!F:F, B254)</f>
        <v>16</v>
      </c>
      <c r="J254" s="10">
        <f t="shared" si="1"/>
        <v>72000</v>
      </c>
    </row>
    <row r="255" spans="1:10" ht="15.75" customHeight="1">
      <c r="A255" s="5" t="s">
        <v>290</v>
      </c>
      <c r="B255" s="6" t="s">
        <v>338</v>
      </c>
      <c r="C255" s="5" t="s">
        <v>296</v>
      </c>
      <c r="D255" s="5" t="s">
        <v>337</v>
      </c>
      <c r="E255" s="5">
        <v>16</v>
      </c>
      <c r="F255" s="8">
        <v>40</v>
      </c>
      <c r="G255" s="9">
        <v>15300</v>
      </c>
      <c r="H255" s="10">
        <f t="shared" si="0"/>
        <v>612000</v>
      </c>
      <c r="I255" s="5">
        <f>F255-SUMIFS(Pedidos!G:G, Pedidos!D:D, C255, Pedidos!E:E, E255, Pedidos!F:F, B255)</f>
        <v>40</v>
      </c>
      <c r="J255" s="10">
        <f t="shared" si="1"/>
        <v>612000</v>
      </c>
    </row>
    <row r="256" spans="1:10" ht="15.75" customHeight="1">
      <c r="A256" s="5" t="s">
        <v>290</v>
      </c>
      <c r="B256" s="6" t="s">
        <v>339</v>
      </c>
      <c r="C256" s="11" t="s">
        <v>62</v>
      </c>
      <c r="D256" s="5"/>
      <c r="E256" s="12" t="s">
        <v>63</v>
      </c>
      <c r="F256" s="8">
        <v>10</v>
      </c>
      <c r="G256" s="9">
        <v>28.5</v>
      </c>
      <c r="H256" s="10">
        <f t="shared" si="0"/>
        <v>285</v>
      </c>
      <c r="I256" s="5">
        <f>F256-SUMIFS(Pedidos!G:G, Pedidos!D:D, C256, Pedidos!E:E, E256, Pedidos!F:F, B256)</f>
        <v>10</v>
      </c>
      <c r="J256" s="10">
        <f t="shared" si="1"/>
        <v>285</v>
      </c>
    </row>
    <row r="257" spans="1:10" ht="15.75" customHeight="1">
      <c r="A257" s="5" t="s">
        <v>290</v>
      </c>
      <c r="B257" s="6" t="s">
        <v>339</v>
      </c>
      <c r="C257" s="11" t="s">
        <v>68</v>
      </c>
      <c r="D257" s="5"/>
      <c r="E257" s="12" t="s">
        <v>63</v>
      </c>
      <c r="F257" s="8">
        <v>40</v>
      </c>
      <c r="G257" s="9">
        <v>28.95</v>
      </c>
      <c r="H257" s="10">
        <f t="shared" si="0"/>
        <v>1158</v>
      </c>
      <c r="I257" s="5">
        <f>F257-SUMIFS(Pedidos!G:G, Pedidos!D:D, C257, Pedidos!E:E, E257, Pedidos!F:F, B257)</f>
        <v>40</v>
      </c>
      <c r="J257" s="10">
        <f t="shared" si="1"/>
        <v>1158</v>
      </c>
    </row>
    <row r="258" spans="1:10" ht="15.75" customHeight="1">
      <c r="A258" s="5" t="s">
        <v>290</v>
      </c>
      <c r="B258" s="6" t="s">
        <v>340</v>
      </c>
      <c r="C258" s="11" t="s">
        <v>62</v>
      </c>
      <c r="D258" s="5"/>
      <c r="E258" s="12" t="s">
        <v>63</v>
      </c>
      <c r="F258" s="8">
        <v>4</v>
      </c>
      <c r="G258" s="9">
        <v>1</v>
      </c>
      <c r="H258" s="10">
        <f t="shared" si="0"/>
        <v>4</v>
      </c>
      <c r="I258" s="5">
        <f>F258-SUMIFS(Pedidos!G:G, Pedidos!D:D, C258, Pedidos!E:E, E258, Pedidos!F:F, B258)</f>
        <v>4</v>
      </c>
      <c r="J258" s="10">
        <f t="shared" si="1"/>
        <v>4</v>
      </c>
    </row>
    <row r="259" spans="1:10" ht="15.75" customHeight="1">
      <c r="A259" s="5" t="s">
        <v>290</v>
      </c>
      <c r="B259" s="6" t="s">
        <v>340</v>
      </c>
      <c r="C259" s="11" t="s">
        <v>68</v>
      </c>
      <c r="D259" s="5"/>
      <c r="E259" s="12" t="s">
        <v>63</v>
      </c>
      <c r="F259" s="8">
        <v>15</v>
      </c>
      <c r="G259" s="9">
        <v>121.7</v>
      </c>
      <c r="H259" s="10">
        <f t="shared" si="0"/>
        <v>1825.5</v>
      </c>
      <c r="I259" s="5">
        <f>F259-SUMIFS(Pedidos!G:G, Pedidos!D:D, C259, Pedidos!E:E, E259, Pedidos!F:F, B259)</f>
        <v>15</v>
      </c>
      <c r="J259" s="10">
        <f t="shared" si="1"/>
        <v>1825.5</v>
      </c>
    </row>
    <row r="260" spans="1:10" ht="15.75" customHeight="1">
      <c r="A260" s="5" t="s">
        <v>290</v>
      </c>
      <c r="B260" s="6" t="s">
        <v>341</v>
      </c>
      <c r="C260" s="11" t="s">
        <v>62</v>
      </c>
      <c r="D260" s="5"/>
      <c r="E260" s="12" t="s">
        <v>63</v>
      </c>
      <c r="F260" s="8">
        <v>85</v>
      </c>
      <c r="G260" s="9">
        <v>1.7</v>
      </c>
      <c r="H260" s="10">
        <f t="shared" si="0"/>
        <v>144.5</v>
      </c>
      <c r="I260" s="5">
        <f>F260-SUMIFS(Pedidos!G:G, Pedidos!D:D, C260, Pedidos!E:E, E260, Pedidos!F:F, B260)</f>
        <v>85</v>
      </c>
      <c r="J260" s="10">
        <f t="shared" si="1"/>
        <v>144.5</v>
      </c>
    </row>
    <row r="261" spans="1:10" ht="15.75" customHeight="1">
      <c r="A261" s="5" t="s">
        <v>290</v>
      </c>
      <c r="B261" s="6" t="s">
        <v>341</v>
      </c>
      <c r="C261" s="11" t="s">
        <v>68</v>
      </c>
      <c r="D261" s="5"/>
      <c r="E261" s="12" t="s">
        <v>63</v>
      </c>
      <c r="F261" s="8">
        <v>50</v>
      </c>
      <c r="G261" s="9">
        <v>4.28</v>
      </c>
      <c r="H261" s="10">
        <f t="shared" si="0"/>
        <v>214</v>
      </c>
      <c r="I261" s="5">
        <f>F261-SUMIFS(Pedidos!G:G, Pedidos!D:D, C261, Pedidos!E:E, E261, Pedidos!F:F, B261)</f>
        <v>50</v>
      </c>
      <c r="J261" s="10">
        <f t="shared" si="1"/>
        <v>214</v>
      </c>
    </row>
    <row r="262" spans="1:10" ht="15.75" customHeight="1">
      <c r="A262" s="5" t="s">
        <v>290</v>
      </c>
      <c r="B262" s="6" t="s">
        <v>341</v>
      </c>
      <c r="C262" s="11" t="s">
        <v>120</v>
      </c>
      <c r="D262" s="5"/>
      <c r="E262" s="12" t="s">
        <v>63</v>
      </c>
      <c r="F262" s="8">
        <v>10</v>
      </c>
      <c r="G262" s="9">
        <v>14.8</v>
      </c>
      <c r="H262" s="10">
        <f t="shared" si="0"/>
        <v>148</v>
      </c>
      <c r="I262" s="5">
        <f>F262-SUMIFS(Pedidos!G:G, Pedidos!D:D, C262, Pedidos!E:E, E262, Pedidos!F:F, B262)</f>
        <v>10</v>
      </c>
      <c r="J262" s="10">
        <f t="shared" si="1"/>
        <v>148</v>
      </c>
    </row>
    <row r="263" spans="1:10" ht="15.75" customHeight="1">
      <c r="A263" s="5" t="s">
        <v>290</v>
      </c>
      <c r="B263" s="6" t="s">
        <v>341</v>
      </c>
      <c r="C263" s="11" t="s">
        <v>342</v>
      </c>
      <c r="D263" s="5"/>
      <c r="E263" s="12" t="s">
        <v>63</v>
      </c>
      <c r="F263" s="8">
        <v>15</v>
      </c>
      <c r="G263" s="9">
        <v>13.8</v>
      </c>
      <c r="H263" s="10">
        <f t="shared" si="0"/>
        <v>207</v>
      </c>
      <c r="I263" s="5">
        <f>F263-SUMIFS(Pedidos!G:G, Pedidos!D:D, C263, Pedidos!E:E, E263, Pedidos!F:F, B263)</f>
        <v>15</v>
      </c>
      <c r="J263" s="10">
        <f t="shared" si="1"/>
        <v>207</v>
      </c>
    </row>
    <row r="264" spans="1:10" ht="15.75" customHeight="1">
      <c r="A264" s="5" t="s">
        <v>290</v>
      </c>
      <c r="B264" s="6" t="s">
        <v>343</v>
      </c>
      <c r="C264" s="11" t="s">
        <v>62</v>
      </c>
      <c r="D264" s="5"/>
      <c r="E264" s="12" t="s">
        <v>63</v>
      </c>
      <c r="F264" s="8">
        <v>119</v>
      </c>
      <c r="G264" s="9">
        <v>1.92</v>
      </c>
      <c r="H264" s="10">
        <f t="shared" si="0"/>
        <v>228.48</v>
      </c>
      <c r="I264" s="5">
        <f>F264-SUMIFS(Pedidos!G:G, Pedidos!D:D, C264, Pedidos!E:E, E264, Pedidos!F:F, B264)</f>
        <v>118</v>
      </c>
      <c r="J264" s="10">
        <f t="shared" si="1"/>
        <v>226.56</v>
      </c>
    </row>
    <row r="265" spans="1:10" ht="15.75" customHeight="1">
      <c r="A265" s="5" t="s">
        <v>290</v>
      </c>
      <c r="B265" s="6" t="s">
        <v>343</v>
      </c>
      <c r="C265" s="11" t="s">
        <v>68</v>
      </c>
      <c r="D265" s="5"/>
      <c r="E265" s="12" t="s">
        <v>63</v>
      </c>
      <c r="F265" s="8">
        <v>100</v>
      </c>
      <c r="G265" s="9">
        <v>1.74</v>
      </c>
      <c r="H265" s="10">
        <f t="shared" si="0"/>
        <v>174</v>
      </c>
      <c r="I265" s="5">
        <f>F265-SUMIFS(Pedidos!G:G, Pedidos!D:D, C265, Pedidos!E:E, E265, Pedidos!F:F, B265)</f>
        <v>100</v>
      </c>
      <c r="J265" s="10">
        <f t="shared" si="1"/>
        <v>174</v>
      </c>
    </row>
    <row r="266" spans="1:10" ht="15.75" customHeight="1">
      <c r="A266" s="5" t="s">
        <v>290</v>
      </c>
      <c r="B266" s="6" t="s">
        <v>343</v>
      </c>
      <c r="C266" s="11" t="s">
        <v>120</v>
      </c>
      <c r="D266" s="5"/>
      <c r="E266" s="12" t="s">
        <v>63</v>
      </c>
      <c r="F266" s="8">
        <v>60</v>
      </c>
      <c r="G266" s="9">
        <v>7.2</v>
      </c>
      <c r="H266" s="10">
        <f t="shared" si="0"/>
        <v>432</v>
      </c>
      <c r="I266" s="5">
        <f>F266-SUMIFS(Pedidos!G:G, Pedidos!D:D, C266, Pedidos!E:E, E266, Pedidos!F:F, B266)</f>
        <v>60</v>
      </c>
      <c r="J266" s="10">
        <f t="shared" si="1"/>
        <v>432</v>
      </c>
    </row>
    <row r="267" spans="1:10" ht="15.75" customHeight="1">
      <c r="A267" s="5" t="s">
        <v>290</v>
      </c>
      <c r="B267" s="6" t="s">
        <v>344</v>
      </c>
      <c r="C267" s="11" t="s">
        <v>62</v>
      </c>
      <c r="D267" s="5"/>
      <c r="E267" s="12" t="s">
        <v>63</v>
      </c>
      <c r="F267" s="8">
        <v>46</v>
      </c>
      <c r="G267" s="9">
        <v>4.0999999999999996</v>
      </c>
      <c r="H267" s="10">
        <f t="shared" si="0"/>
        <v>188.6</v>
      </c>
      <c r="I267" s="5">
        <f>F267-SUMIFS(Pedidos!G:G, Pedidos!D:D, C267, Pedidos!E:E, E267, Pedidos!F:F, B267)</f>
        <v>46</v>
      </c>
      <c r="J267" s="10">
        <f t="shared" si="1"/>
        <v>188.6</v>
      </c>
    </row>
    <row r="268" spans="1:10" ht="15.75" customHeight="1">
      <c r="A268" s="5" t="s">
        <v>290</v>
      </c>
      <c r="B268" s="6" t="s">
        <v>344</v>
      </c>
      <c r="C268" s="11" t="s">
        <v>68</v>
      </c>
      <c r="D268" s="5"/>
      <c r="E268" s="12" t="s">
        <v>63</v>
      </c>
      <c r="F268" s="8">
        <v>10</v>
      </c>
      <c r="G268" s="9">
        <v>8.5</v>
      </c>
      <c r="H268" s="10">
        <f t="shared" si="0"/>
        <v>85</v>
      </c>
      <c r="I268" s="5">
        <f>F268-SUMIFS(Pedidos!G:G, Pedidos!D:D, C268, Pedidos!E:E, E268, Pedidos!F:F, B268)</f>
        <v>10</v>
      </c>
      <c r="J268" s="10">
        <f t="shared" si="1"/>
        <v>85</v>
      </c>
    </row>
    <row r="269" spans="1:10" ht="15.75" customHeight="1">
      <c r="A269" s="5" t="s">
        <v>290</v>
      </c>
      <c r="B269" s="6" t="s">
        <v>344</v>
      </c>
      <c r="C269" s="11" t="s">
        <v>120</v>
      </c>
      <c r="D269" s="5"/>
      <c r="E269" s="12" t="s">
        <v>63</v>
      </c>
      <c r="F269" s="8">
        <v>6</v>
      </c>
      <c r="G269" s="9">
        <v>14.8</v>
      </c>
      <c r="H269" s="10">
        <f t="shared" si="0"/>
        <v>88.800000000000011</v>
      </c>
      <c r="I269" s="5">
        <f>F269-SUMIFS(Pedidos!G:G, Pedidos!D:D, C269, Pedidos!E:E, E269, Pedidos!F:F, B269)</f>
        <v>6</v>
      </c>
      <c r="J269" s="10">
        <f t="shared" si="1"/>
        <v>88.800000000000011</v>
      </c>
    </row>
    <row r="270" spans="1:10" ht="15.75" customHeight="1">
      <c r="A270" s="5" t="s">
        <v>290</v>
      </c>
      <c r="B270" s="6" t="s">
        <v>345</v>
      </c>
      <c r="C270" s="11" t="s">
        <v>62</v>
      </c>
      <c r="D270" s="5"/>
      <c r="E270" s="12" t="s">
        <v>63</v>
      </c>
      <c r="F270" s="8">
        <v>4</v>
      </c>
      <c r="G270" s="9">
        <v>1</v>
      </c>
      <c r="H270" s="10">
        <f t="shared" si="0"/>
        <v>4</v>
      </c>
      <c r="I270" s="5">
        <f>F270-SUMIFS(Pedidos!G:G, Pedidos!D:D, C270, Pedidos!E:E, E270, Pedidos!F:F, B270)</f>
        <v>4</v>
      </c>
      <c r="J270" s="10">
        <f t="shared" si="1"/>
        <v>4</v>
      </c>
    </row>
    <row r="271" spans="1:10" ht="15.75" customHeight="1">
      <c r="A271" s="5" t="s">
        <v>290</v>
      </c>
      <c r="B271" s="6" t="s">
        <v>346</v>
      </c>
      <c r="C271" s="5" t="s">
        <v>311</v>
      </c>
      <c r="D271" s="7" t="s">
        <v>347</v>
      </c>
      <c r="E271" s="5">
        <v>2</v>
      </c>
      <c r="F271" s="8">
        <v>800</v>
      </c>
      <c r="G271" s="9">
        <v>779.65</v>
      </c>
      <c r="H271" s="10">
        <f t="shared" si="0"/>
        <v>623720</v>
      </c>
      <c r="I271" s="5">
        <f>F271-SUMIFS(Pedidos!G:G, Pedidos!D:D, C271, Pedidos!E:E, E271, Pedidos!F:F, B271)</f>
        <v>570</v>
      </c>
      <c r="J271" s="10">
        <f t="shared" si="1"/>
        <v>444400.5</v>
      </c>
    </row>
    <row r="272" spans="1:10" ht="15.75" customHeight="1">
      <c r="A272" s="5" t="s">
        <v>290</v>
      </c>
      <c r="B272" s="6" t="s">
        <v>348</v>
      </c>
      <c r="C272" s="5" t="s">
        <v>311</v>
      </c>
      <c r="D272" s="5" t="s">
        <v>349</v>
      </c>
      <c r="E272" s="5">
        <v>3</v>
      </c>
      <c r="F272" s="8">
        <v>200</v>
      </c>
      <c r="G272" s="9">
        <v>677.96</v>
      </c>
      <c r="H272" s="10">
        <f t="shared" si="0"/>
        <v>135592</v>
      </c>
      <c r="I272" s="5">
        <f>F272-SUMIFS(Pedidos!G:G, Pedidos!D:D, C272, Pedidos!E:E, E272, Pedidos!F:F, B272)</f>
        <v>169</v>
      </c>
      <c r="J272" s="10">
        <f t="shared" si="1"/>
        <v>114575.24</v>
      </c>
    </row>
    <row r="273" spans="1:10" ht="15.75" customHeight="1">
      <c r="A273" s="5" t="s">
        <v>290</v>
      </c>
      <c r="B273" s="6" t="s">
        <v>350</v>
      </c>
      <c r="C273" s="11" t="s">
        <v>62</v>
      </c>
      <c r="D273" s="5"/>
      <c r="E273" s="12" t="s">
        <v>63</v>
      </c>
      <c r="F273" s="8">
        <v>8</v>
      </c>
      <c r="G273" s="9">
        <v>887</v>
      </c>
      <c r="H273" s="10">
        <f t="shared" si="0"/>
        <v>7096</v>
      </c>
      <c r="I273" s="5">
        <f>F273-SUMIFS(Pedidos!G:G, Pedidos!D:D, C273, Pedidos!E:E, E273, Pedidos!F:F, B273)</f>
        <v>8</v>
      </c>
      <c r="J273" s="10">
        <f t="shared" si="1"/>
        <v>7096</v>
      </c>
    </row>
    <row r="274" spans="1:10" ht="15.75" customHeight="1">
      <c r="A274" s="5" t="s">
        <v>290</v>
      </c>
      <c r="B274" s="6" t="s">
        <v>351</v>
      </c>
      <c r="C274" s="11" t="s">
        <v>62</v>
      </c>
      <c r="D274" s="5"/>
      <c r="E274" s="12" t="s">
        <v>63</v>
      </c>
      <c r="F274" s="8">
        <v>11</v>
      </c>
      <c r="G274" s="9">
        <v>188</v>
      </c>
      <c r="H274" s="10">
        <f t="shared" si="0"/>
        <v>2068</v>
      </c>
      <c r="I274" s="5">
        <f>F274-SUMIFS(Pedidos!G:G, Pedidos!D:D, C274, Pedidos!E:E, E274, Pedidos!F:F, B274)</f>
        <v>10</v>
      </c>
      <c r="J274" s="10">
        <f t="shared" si="1"/>
        <v>1880</v>
      </c>
    </row>
    <row r="275" spans="1:10" ht="15.75" customHeight="1">
      <c r="A275" s="5" t="s">
        <v>290</v>
      </c>
      <c r="B275" s="6" t="s">
        <v>352</v>
      </c>
      <c r="C275" s="11" t="s">
        <v>62</v>
      </c>
      <c r="D275" s="5"/>
      <c r="E275" s="12" t="s">
        <v>63</v>
      </c>
      <c r="F275" s="8">
        <v>10</v>
      </c>
      <c r="G275" s="9">
        <v>66.5</v>
      </c>
      <c r="H275" s="10">
        <f t="shared" si="0"/>
        <v>665</v>
      </c>
      <c r="I275" s="5">
        <f>F275-SUMIFS(Pedidos!G:G, Pedidos!D:D, C275, Pedidos!E:E, E275, Pedidos!F:F, B275)</f>
        <v>10</v>
      </c>
      <c r="J275" s="10">
        <f t="shared" si="1"/>
        <v>665</v>
      </c>
    </row>
    <row r="276" spans="1:10" ht="15.75" customHeight="1">
      <c r="A276" s="5" t="s">
        <v>290</v>
      </c>
      <c r="B276" s="6" t="s">
        <v>352</v>
      </c>
      <c r="C276" s="11" t="s">
        <v>68</v>
      </c>
      <c r="D276" s="5"/>
      <c r="E276" s="12" t="s">
        <v>63</v>
      </c>
      <c r="F276" s="8">
        <v>4</v>
      </c>
      <c r="G276" s="9">
        <v>255</v>
      </c>
      <c r="H276" s="10">
        <f t="shared" si="0"/>
        <v>1020</v>
      </c>
      <c r="I276" s="5">
        <f>F276-SUMIFS(Pedidos!G:G, Pedidos!D:D, C276, Pedidos!E:E, E276, Pedidos!F:F, B276)</f>
        <v>4</v>
      </c>
      <c r="J276" s="10">
        <f t="shared" si="1"/>
        <v>1020</v>
      </c>
    </row>
    <row r="277" spans="1:10" ht="15.75" customHeight="1">
      <c r="A277" s="5" t="s">
        <v>290</v>
      </c>
      <c r="B277" s="6" t="s">
        <v>353</v>
      </c>
      <c r="C277" s="11" t="s">
        <v>62</v>
      </c>
      <c r="D277" s="5"/>
      <c r="E277" s="12" t="s">
        <v>63</v>
      </c>
      <c r="F277" s="8">
        <v>23</v>
      </c>
      <c r="G277" s="9">
        <v>327</v>
      </c>
      <c r="H277" s="10">
        <f t="shared" si="0"/>
        <v>7521</v>
      </c>
      <c r="I277" s="5">
        <f>F277-SUMIFS(Pedidos!G:G, Pedidos!D:D, C277, Pedidos!E:E, E277, Pedidos!F:F, B277)</f>
        <v>23</v>
      </c>
      <c r="J277" s="10">
        <f t="shared" si="1"/>
        <v>7521</v>
      </c>
    </row>
    <row r="278" spans="1:10" ht="15.75" customHeight="1">
      <c r="A278" s="5" t="s">
        <v>290</v>
      </c>
      <c r="B278" s="6" t="s">
        <v>354</v>
      </c>
      <c r="C278" s="11" t="s">
        <v>62</v>
      </c>
      <c r="D278" s="5"/>
      <c r="E278" s="12" t="s">
        <v>63</v>
      </c>
      <c r="F278" s="8">
        <v>4</v>
      </c>
      <c r="G278" s="9">
        <v>165</v>
      </c>
      <c r="H278" s="10">
        <f t="shared" si="0"/>
        <v>660</v>
      </c>
      <c r="I278" s="5">
        <f>F278-SUMIFS(Pedidos!G:G, Pedidos!D:D, C278, Pedidos!E:E, E278, Pedidos!F:F, B278)</f>
        <v>4</v>
      </c>
      <c r="J278" s="10">
        <f t="shared" si="1"/>
        <v>660</v>
      </c>
    </row>
    <row r="279" spans="1:10" ht="15.75" customHeight="1">
      <c r="A279" s="5" t="s">
        <v>290</v>
      </c>
      <c r="B279" s="6" t="s">
        <v>354</v>
      </c>
      <c r="C279" s="11" t="s">
        <v>68</v>
      </c>
      <c r="D279" s="5"/>
      <c r="E279" s="12" t="s">
        <v>63</v>
      </c>
      <c r="F279" s="8">
        <v>10</v>
      </c>
      <c r="G279" s="9">
        <v>66.5</v>
      </c>
      <c r="H279" s="10">
        <f t="shared" si="0"/>
        <v>665</v>
      </c>
      <c r="I279" s="5">
        <f>F279-SUMIFS(Pedidos!G:G, Pedidos!D:D, C279, Pedidos!E:E, E279, Pedidos!F:F, B279)</f>
        <v>10</v>
      </c>
      <c r="J279" s="10">
        <f t="shared" si="1"/>
        <v>665</v>
      </c>
    </row>
    <row r="280" spans="1:10" ht="15.75" customHeight="1">
      <c r="A280" s="5" t="s">
        <v>290</v>
      </c>
      <c r="B280" s="6" t="s">
        <v>354</v>
      </c>
      <c r="C280" s="11" t="s">
        <v>120</v>
      </c>
      <c r="D280" s="5"/>
      <c r="E280" s="12" t="s">
        <v>63</v>
      </c>
      <c r="F280" s="8">
        <v>10</v>
      </c>
      <c r="G280" s="9">
        <v>333</v>
      </c>
      <c r="H280" s="10">
        <f t="shared" si="0"/>
        <v>3330</v>
      </c>
      <c r="I280" s="5">
        <f>F280-SUMIFS(Pedidos!G:G, Pedidos!D:D, C280, Pedidos!E:E, E280, Pedidos!F:F, B280)</f>
        <v>10</v>
      </c>
      <c r="J280" s="10">
        <f t="shared" si="1"/>
        <v>3330</v>
      </c>
    </row>
    <row r="281" spans="1:10" ht="15.75" customHeight="1">
      <c r="A281" s="5" t="s">
        <v>290</v>
      </c>
      <c r="B281" s="6" t="s">
        <v>355</v>
      </c>
      <c r="C281" s="11" t="s">
        <v>62</v>
      </c>
      <c r="D281" s="5"/>
      <c r="E281" s="12" t="s">
        <v>63</v>
      </c>
      <c r="F281" s="8">
        <v>5</v>
      </c>
      <c r="G281" s="9">
        <v>165</v>
      </c>
      <c r="H281" s="10">
        <f t="shared" si="0"/>
        <v>825</v>
      </c>
      <c r="I281" s="5">
        <f>F281-SUMIFS(Pedidos!G:G, Pedidos!D:D, C281, Pedidos!E:E, E281, Pedidos!F:F, B281)</f>
        <v>4</v>
      </c>
      <c r="J281" s="10">
        <f t="shared" si="1"/>
        <v>660</v>
      </c>
    </row>
    <row r="282" spans="1:10" ht="15.75" customHeight="1">
      <c r="A282" s="5" t="s">
        <v>290</v>
      </c>
      <c r="B282" s="6" t="s">
        <v>355</v>
      </c>
      <c r="C282" s="11" t="s">
        <v>68</v>
      </c>
      <c r="D282" s="5"/>
      <c r="E282" s="12" t="s">
        <v>63</v>
      </c>
      <c r="F282" s="8">
        <v>30</v>
      </c>
      <c r="G282" s="9">
        <v>66.5</v>
      </c>
      <c r="H282" s="10">
        <f t="shared" si="0"/>
        <v>1995</v>
      </c>
      <c r="I282" s="5">
        <f>F282-SUMIFS(Pedidos!G:G, Pedidos!D:D, C282, Pedidos!E:E, E282, Pedidos!F:F, B282)</f>
        <v>30</v>
      </c>
      <c r="J282" s="10">
        <f t="shared" si="1"/>
        <v>1995</v>
      </c>
    </row>
    <row r="283" spans="1:10" ht="15.75" customHeight="1">
      <c r="A283" s="5" t="s">
        <v>290</v>
      </c>
      <c r="B283" s="6" t="s">
        <v>355</v>
      </c>
      <c r="C283" s="11" t="s">
        <v>120</v>
      </c>
      <c r="D283" s="5"/>
      <c r="E283" s="12" t="s">
        <v>63</v>
      </c>
      <c r="F283" s="8">
        <v>10</v>
      </c>
      <c r="G283" s="9">
        <v>330</v>
      </c>
      <c r="H283" s="10">
        <f t="shared" si="0"/>
        <v>3300</v>
      </c>
      <c r="I283" s="5">
        <f>F283-SUMIFS(Pedidos!G:G, Pedidos!D:D, C283, Pedidos!E:E, E283, Pedidos!F:F, B283)</f>
        <v>10</v>
      </c>
      <c r="J283" s="10">
        <f t="shared" si="1"/>
        <v>3300</v>
      </c>
    </row>
    <row r="284" spans="1:10" ht="15.75" customHeight="1">
      <c r="A284" s="5" t="s">
        <v>290</v>
      </c>
      <c r="B284" s="6" t="s">
        <v>356</v>
      </c>
      <c r="C284" s="11" t="s">
        <v>62</v>
      </c>
      <c r="D284" s="5"/>
      <c r="E284" s="12" t="s">
        <v>63</v>
      </c>
      <c r="F284" s="8">
        <v>3</v>
      </c>
      <c r="G284" s="9">
        <v>1480</v>
      </c>
      <c r="H284" s="10">
        <f t="shared" si="0"/>
        <v>4440</v>
      </c>
      <c r="I284" s="5">
        <f>F284-SUMIFS(Pedidos!G:G, Pedidos!D:D, C284, Pedidos!E:E, E284, Pedidos!F:F, B284)</f>
        <v>3</v>
      </c>
      <c r="J284" s="10">
        <f t="shared" si="1"/>
        <v>4440</v>
      </c>
    </row>
    <row r="285" spans="1:10" ht="15.75" customHeight="1">
      <c r="A285" s="5" t="s">
        <v>290</v>
      </c>
      <c r="B285" s="6" t="s">
        <v>357</v>
      </c>
      <c r="C285" s="11" t="s">
        <v>62</v>
      </c>
      <c r="D285" s="5"/>
      <c r="E285" s="12" t="s">
        <v>63</v>
      </c>
      <c r="F285" s="8">
        <v>3</v>
      </c>
      <c r="G285" s="9">
        <v>1.3</v>
      </c>
      <c r="H285" s="10">
        <f t="shared" si="0"/>
        <v>3.9000000000000004</v>
      </c>
      <c r="I285" s="5">
        <f>F285-SUMIFS(Pedidos!G:G, Pedidos!D:D, C285, Pedidos!E:E, E285, Pedidos!F:F, B285)</f>
        <v>3</v>
      </c>
      <c r="J285" s="10">
        <f t="shared" si="1"/>
        <v>3.9000000000000004</v>
      </c>
    </row>
    <row r="286" spans="1:10" ht="15.75" customHeight="1">
      <c r="A286" s="5" t="s">
        <v>290</v>
      </c>
      <c r="B286" s="6" t="s">
        <v>358</v>
      </c>
      <c r="C286" s="11" t="s">
        <v>62</v>
      </c>
      <c r="D286" s="5"/>
      <c r="E286" s="12" t="s">
        <v>63</v>
      </c>
      <c r="F286" s="8">
        <v>10</v>
      </c>
      <c r="G286" s="9">
        <v>19.8</v>
      </c>
      <c r="H286" s="10">
        <f t="shared" si="0"/>
        <v>198</v>
      </c>
      <c r="I286" s="5">
        <f>F286-SUMIFS(Pedidos!G:G, Pedidos!D:D, C286, Pedidos!E:E, E286, Pedidos!F:F, B286)</f>
        <v>10</v>
      </c>
      <c r="J286" s="10">
        <f t="shared" si="1"/>
        <v>198</v>
      </c>
    </row>
    <row r="287" spans="1:10" ht="15.75" customHeight="1">
      <c r="A287" s="5" t="s">
        <v>290</v>
      </c>
      <c r="B287" s="6" t="s">
        <v>358</v>
      </c>
      <c r="C287" s="11" t="s">
        <v>68</v>
      </c>
      <c r="D287" s="5"/>
      <c r="E287" s="12" t="s">
        <v>63</v>
      </c>
      <c r="F287" s="8">
        <v>60</v>
      </c>
      <c r="G287" s="9">
        <v>6.35</v>
      </c>
      <c r="H287" s="10">
        <f t="shared" si="0"/>
        <v>381</v>
      </c>
      <c r="I287" s="5">
        <f>F287-SUMIFS(Pedidos!G:G, Pedidos!D:D, C287, Pedidos!E:E, E287, Pedidos!F:F, B287)</f>
        <v>60</v>
      </c>
      <c r="J287" s="10">
        <f t="shared" si="1"/>
        <v>381</v>
      </c>
    </row>
    <row r="288" spans="1:10" ht="15.75" customHeight="1">
      <c r="A288" s="5" t="s">
        <v>290</v>
      </c>
      <c r="B288" s="6" t="s">
        <v>359</v>
      </c>
      <c r="C288" s="5" t="s">
        <v>296</v>
      </c>
      <c r="D288" s="7" t="s">
        <v>360</v>
      </c>
      <c r="E288" s="5">
        <v>9</v>
      </c>
      <c r="F288" s="8">
        <v>400</v>
      </c>
      <c r="G288" s="9">
        <v>2735</v>
      </c>
      <c r="H288" s="10">
        <f t="shared" si="0"/>
        <v>1094000</v>
      </c>
      <c r="I288" s="5">
        <f>F288-SUMIFS(Pedidos!G:G, Pedidos!D:D, C288, Pedidos!E:E, E288, Pedidos!F:F, B288)</f>
        <v>383</v>
      </c>
      <c r="J288" s="10">
        <f t="shared" si="1"/>
        <v>1047505</v>
      </c>
    </row>
    <row r="289" spans="1:10" ht="15.75" customHeight="1">
      <c r="A289" s="5" t="s">
        <v>290</v>
      </c>
      <c r="B289" s="6" t="s">
        <v>361</v>
      </c>
      <c r="C289" s="5" t="s">
        <v>296</v>
      </c>
      <c r="D289" s="5" t="s">
        <v>362</v>
      </c>
      <c r="E289" s="5">
        <v>12</v>
      </c>
      <c r="F289" s="8">
        <v>50</v>
      </c>
      <c r="G289" s="9">
        <v>530</v>
      </c>
      <c r="H289" s="10">
        <f t="shared" si="0"/>
        <v>26500</v>
      </c>
      <c r="I289" s="5">
        <f>F289-SUMIFS(Pedidos!G:G, Pedidos!D:D, C289, Pedidos!E:E, E289, Pedidos!F:F, B289)</f>
        <v>18</v>
      </c>
      <c r="J289" s="10">
        <f t="shared" si="1"/>
        <v>9540</v>
      </c>
    </row>
    <row r="290" spans="1:10" ht="15.75" customHeight="1">
      <c r="A290" s="5" t="s">
        <v>290</v>
      </c>
      <c r="B290" s="6" t="s">
        <v>363</v>
      </c>
      <c r="C290" s="11" t="s">
        <v>62</v>
      </c>
      <c r="D290" s="5"/>
      <c r="E290" s="12" t="s">
        <v>63</v>
      </c>
      <c r="F290" s="8">
        <v>308</v>
      </c>
      <c r="G290" s="9">
        <v>2735</v>
      </c>
      <c r="H290" s="10">
        <f t="shared" si="0"/>
        <v>842380</v>
      </c>
      <c r="I290" s="5">
        <f>F290-SUMIFS(Pedidos!G:G, Pedidos!D:D, C290, Pedidos!E:E, E290, Pedidos!F:F, B290)</f>
        <v>276</v>
      </c>
      <c r="J290" s="10">
        <f t="shared" si="1"/>
        <v>754860</v>
      </c>
    </row>
    <row r="291" spans="1:10" ht="15.75" customHeight="1">
      <c r="A291" s="5" t="s">
        <v>290</v>
      </c>
      <c r="B291" s="6" t="s">
        <v>364</v>
      </c>
      <c r="C291" s="5" t="s">
        <v>296</v>
      </c>
      <c r="D291" s="7" t="s">
        <v>362</v>
      </c>
      <c r="E291" s="5">
        <v>13</v>
      </c>
      <c r="F291" s="8">
        <v>50</v>
      </c>
      <c r="G291" s="9">
        <v>72</v>
      </c>
      <c r="H291" s="10">
        <f t="shared" si="0"/>
        <v>3600</v>
      </c>
      <c r="I291" s="5">
        <f>F291-SUMIFS(Pedidos!G:G, Pedidos!D:D, C291, Pedidos!E:E, E291, Pedidos!F:F, B291)</f>
        <v>41</v>
      </c>
      <c r="J291" s="10">
        <f t="shared" si="1"/>
        <v>2952</v>
      </c>
    </row>
    <row r="292" spans="1:10" ht="15.75" customHeight="1">
      <c r="A292" s="5" t="s">
        <v>290</v>
      </c>
      <c r="B292" s="6" t="s">
        <v>365</v>
      </c>
      <c r="C292" s="5" t="s">
        <v>311</v>
      </c>
      <c r="D292" s="5" t="s">
        <v>366</v>
      </c>
      <c r="E292" s="5">
        <v>5</v>
      </c>
      <c r="F292" s="8">
        <v>50</v>
      </c>
      <c r="G292" s="9">
        <v>30845.83</v>
      </c>
      <c r="H292" s="10">
        <f t="shared" si="0"/>
        <v>1542291.5</v>
      </c>
      <c r="I292" s="5">
        <f>F292-SUMIFS(Pedidos!G:G, Pedidos!D:D, C292, Pedidos!E:E, E292, Pedidos!F:F, B292)</f>
        <v>50</v>
      </c>
      <c r="J292" s="10">
        <f t="shared" si="1"/>
        <v>1542291.5</v>
      </c>
    </row>
    <row r="293" spans="1:10" ht="15.75" customHeight="1">
      <c r="A293" s="5" t="s">
        <v>290</v>
      </c>
      <c r="B293" s="6" t="s">
        <v>365</v>
      </c>
      <c r="C293" s="5" t="s">
        <v>62</v>
      </c>
      <c r="D293" s="5" t="s">
        <v>366</v>
      </c>
      <c r="E293" s="5" t="s">
        <v>63</v>
      </c>
      <c r="F293" s="8">
        <v>50</v>
      </c>
      <c r="G293" s="9">
        <v>30845.83</v>
      </c>
      <c r="H293" s="10">
        <f t="shared" si="0"/>
        <v>1542291.5</v>
      </c>
      <c r="I293" s="5">
        <f>F293-SUMIFS(Pedidos!G:G, Pedidos!D:D, C293, Pedidos!E:E, E293, Pedidos!F:F, B293)</f>
        <v>49</v>
      </c>
      <c r="J293" s="10">
        <f t="shared" si="1"/>
        <v>1511445.6700000002</v>
      </c>
    </row>
    <row r="294" spans="1:10" ht="15.75" customHeight="1">
      <c r="A294" s="5" t="s">
        <v>290</v>
      </c>
      <c r="B294" s="6" t="s">
        <v>367</v>
      </c>
      <c r="C294" s="11" t="s">
        <v>62</v>
      </c>
      <c r="D294" s="5"/>
      <c r="E294" s="12" t="s">
        <v>63</v>
      </c>
      <c r="F294" s="8">
        <v>22</v>
      </c>
      <c r="G294" s="9">
        <v>417.45</v>
      </c>
      <c r="H294" s="10">
        <f t="shared" si="0"/>
        <v>9183.9</v>
      </c>
      <c r="I294" s="5">
        <f>F294-SUMIFS(Pedidos!G:G, Pedidos!D:D, C294, Pedidos!E:E, E294, Pedidos!F:F, B294)</f>
        <v>22</v>
      </c>
      <c r="J294" s="10">
        <f t="shared" si="1"/>
        <v>9183.9</v>
      </c>
    </row>
    <row r="295" spans="1:10" ht="15.75" customHeight="1">
      <c r="A295" s="5" t="s">
        <v>290</v>
      </c>
      <c r="B295" s="6" t="s">
        <v>368</v>
      </c>
      <c r="C295" s="5" t="s">
        <v>311</v>
      </c>
      <c r="D295" s="7" t="s">
        <v>369</v>
      </c>
      <c r="E295" s="5">
        <v>6</v>
      </c>
      <c r="F295" s="8">
        <v>250</v>
      </c>
      <c r="G295" s="9">
        <v>3145.83</v>
      </c>
      <c r="H295" s="10">
        <f t="shared" si="0"/>
        <v>786457.5</v>
      </c>
      <c r="I295" s="5">
        <f>F295-SUMIFS(Pedidos!G:G, Pedidos!D:D, C295, Pedidos!E:E, E295, Pedidos!F:F, B295)</f>
        <v>250</v>
      </c>
      <c r="J295" s="10">
        <f t="shared" si="1"/>
        <v>786457.5</v>
      </c>
    </row>
    <row r="296" spans="1:10" ht="15.75" customHeight="1">
      <c r="A296" s="5" t="s">
        <v>290</v>
      </c>
      <c r="B296" s="6" t="s">
        <v>370</v>
      </c>
      <c r="C296" s="5" t="s">
        <v>311</v>
      </c>
      <c r="D296" s="5" t="s">
        <v>371</v>
      </c>
      <c r="E296" s="5">
        <v>23</v>
      </c>
      <c r="F296" s="8">
        <v>6</v>
      </c>
      <c r="G296" s="9">
        <v>138500</v>
      </c>
      <c r="H296" s="10">
        <f t="shared" si="0"/>
        <v>831000</v>
      </c>
      <c r="I296" s="5">
        <f>F296-SUMIFS(Pedidos!G:G, Pedidos!D:D, C296, Pedidos!E:E, E296, Pedidos!F:F, B296)</f>
        <v>4</v>
      </c>
      <c r="J296" s="10">
        <f t="shared" si="1"/>
        <v>554000</v>
      </c>
    </row>
    <row r="297" spans="1:10" ht="15.75" customHeight="1">
      <c r="A297" s="5" t="s">
        <v>290</v>
      </c>
      <c r="B297" s="6" t="s">
        <v>372</v>
      </c>
      <c r="C297" s="5" t="s">
        <v>320</v>
      </c>
      <c r="D297" s="5" t="s">
        <v>373</v>
      </c>
      <c r="E297" s="5">
        <v>26</v>
      </c>
      <c r="F297" s="8">
        <f>20*50</f>
        <v>1000</v>
      </c>
      <c r="G297" s="9">
        <f>177492/50</f>
        <v>3549.84</v>
      </c>
      <c r="H297" s="10">
        <f t="shared" si="0"/>
        <v>3549840</v>
      </c>
      <c r="I297" s="5">
        <f>F297-SUMIFS(Pedidos!G:G, Pedidos!D:D, C297, Pedidos!E:E, E297, Pedidos!F:F, B297)</f>
        <v>900</v>
      </c>
      <c r="J297" s="10">
        <f t="shared" si="1"/>
        <v>3194856</v>
      </c>
    </row>
    <row r="298" spans="1:10" ht="15.75" customHeight="1">
      <c r="A298" s="5" t="s">
        <v>290</v>
      </c>
      <c r="B298" s="6" t="s">
        <v>374</v>
      </c>
      <c r="C298" s="5" t="s">
        <v>311</v>
      </c>
      <c r="D298" s="5" t="s">
        <v>375</v>
      </c>
      <c r="E298" s="5">
        <v>8</v>
      </c>
      <c r="F298" s="8">
        <v>50</v>
      </c>
      <c r="G298" s="9">
        <v>42566.13</v>
      </c>
      <c r="H298" s="10">
        <f t="shared" si="0"/>
        <v>2128306.5</v>
      </c>
      <c r="I298" s="5">
        <f>F298-SUMIFS(Pedidos!G:G, Pedidos!D:D, C298, Pedidos!E:E, E298, Pedidos!F:F, B298)</f>
        <v>50</v>
      </c>
      <c r="J298" s="10">
        <f t="shared" si="1"/>
        <v>2128306.5</v>
      </c>
    </row>
    <row r="299" spans="1:10" ht="15.75" customHeight="1">
      <c r="A299" s="5" t="s">
        <v>290</v>
      </c>
      <c r="B299" s="6" t="s">
        <v>376</v>
      </c>
      <c r="C299" s="5" t="s">
        <v>296</v>
      </c>
      <c r="D299" s="5" t="s">
        <v>377</v>
      </c>
      <c r="E299" s="5">
        <v>17</v>
      </c>
      <c r="F299" s="8">
        <v>400</v>
      </c>
      <c r="G299" s="9">
        <v>23150</v>
      </c>
      <c r="H299" s="10">
        <f t="shared" si="0"/>
        <v>9260000</v>
      </c>
      <c r="I299" s="5">
        <f>F299-SUMIFS(Pedidos!G:G, Pedidos!D:D, C299, Pedidos!E:E, E299, Pedidos!F:F, B299)</f>
        <v>395</v>
      </c>
      <c r="J299" s="10">
        <f t="shared" si="1"/>
        <v>9144250</v>
      </c>
    </row>
    <row r="300" spans="1:10" ht="15.75" customHeight="1">
      <c r="A300" s="5" t="s">
        <v>290</v>
      </c>
      <c r="B300" s="6" t="s">
        <v>378</v>
      </c>
      <c r="C300" s="5" t="s">
        <v>311</v>
      </c>
      <c r="D300" s="5" t="s">
        <v>379</v>
      </c>
      <c r="E300" s="5">
        <v>18</v>
      </c>
      <c r="F300" s="8">
        <v>10</v>
      </c>
      <c r="G300" s="9">
        <v>5493.6</v>
      </c>
      <c r="H300" s="10">
        <f t="shared" si="0"/>
        <v>54936</v>
      </c>
      <c r="I300" s="5">
        <f>F300-SUMIFS(Pedidos!G:G, Pedidos!D:D, C300, Pedidos!E:E, E300, Pedidos!F:F, B300)</f>
        <v>2</v>
      </c>
      <c r="J300" s="10">
        <f t="shared" si="1"/>
        <v>10987.2</v>
      </c>
    </row>
    <row r="301" spans="1:10" ht="15.75" customHeight="1">
      <c r="A301" s="5" t="s">
        <v>290</v>
      </c>
      <c r="B301" s="6" t="s">
        <v>380</v>
      </c>
      <c r="C301" s="5" t="s">
        <v>311</v>
      </c>
      <c r="D301" s="5" t="s">
        <v>379</v>
      </c>
      <c r="E301" s="5">
        <v>19</v>
      </c>
      <c r="F301" s="8">
        <v>10</v>
      </c>
      <c r="G301" s="9">
        <v>8741.51</v>
      </c>
      <c r="H301" s="10">
        <f t="shared" si="0"/>
        <v>87415.1</v>
      </c>
      <c r="I301" s="5">
        <f>F301-SUMIFS(Pedidos!G:G, Pedidos!D:D, C301, Pedidos!E:E, E301, Pedidos!F:F, B301)</f>
        <v>5</v>
      </c>
      <c r="J301" s="10">
        <f t="shared" si="1"/>
        <v>43707.55</v>
      </c>
    </row>
    <row r="302" spans="1:10" ht="15.75" customHeight="1">
      <c r="A302" s="5" t="s">
        <v>290</v>
      </c>
      <c r="B302" s="6" t="s">
        <v>381</v>
      </c>
      <c r="C302" s="11" t="s">
        <v>62</v>
      </c>
      <c r="D302" s="5"/>
      <c r="E302" s="12" t="s">
        <v>63</v>
      </c>
      <c r="F302" s="8">
        <v>28</v>
      </c>
      <c r="G302" s="9">
        <v>0.4</v>
      </c>
      <c r="H302" s="10">
        <f t="shared" si="0"/>
        <v>11.200000000000001</v>
      </c>
      <c r="I302" s="5">
        <f>F302-SUMIFS(Pedidos!G:G, Pedidos!D:D, C302, Pedidos!E:E, E302, Pedidos!F:F, B302)</f>
        <v>28</v>
      </c>
      <c r="J302" s="10">
        <f t="shared" si="1"/>
        <v>11.200000000000001</v>
      </c>
    </row>
    <row r="303" spans="1:10" ht="15.75" customHeight="1">
      <c r="A303" s="5" t="s">
        <v>290</v>
      </c>
      <c r="B303" s="6" t="s">
        <v>382</v>
      </c>
      <c r="C303" s="11" t="s">
        <v>62</v>
      </c>
      <c r="D303" s="5"/>
      <c r="E303" s="12" t="s">
        <v>63</v>
      </c>
      <c r="F303" s="8">
        <v>8</v>
      </c>
      <c r="G303" s="9">
        <v>50</v>
      </c>
      <c r="H303" s="10">
        <f t="shared" si="0"/>
        <v>400</v>
      </c>
      <c r="I303" s="5">
        <f>F303-SUMIFS(Pedidos!G:G, Pedidos!D:D, C303, Pedidos!E:E, E303, Pedidos!F:F, B303)</f>
        <v>8</v>
      </c>
      <c r="J303" s="10">
        <f t="shared" si="1"/>
        <v>400</v>
      </c>
    </row>
    <row r="304" spans="1:10" ht="15.75" customHeight="1">
      <c r="A304" s="5" t="s">
        <v>290</v>
      </c>
      <c r="B304" s="6" t="s">
        <v>382</v>
      </c>
      <c r="C304" s="11" t="s">
        <v>68</v>
      </c>
      <c r="D304" s="5"/>
      <c r="E304" s="12" t="s">
        <v>63</v>
      </c>
      <c r="F304" s="8">
        <v>110</v>
      </c>
      <c r="G304" s="9">
        <v>33</v>
      </c>
      <c r="H304" s="10">
        <f t="shared" si="0"/>
        <v>3630</v>
      </c>
      <c r="I304" s="5">
        <f>F304-SUMIFS(Pedidos!G:G, Pedidos!D:D, C304, Pedidos!E:E, E304, Pedidos!F:F, B304)</f>
        <v>110</v>
      </c>
      <c r="J304" s="10">
        <f t="shared" si="1"/>
        <v>3630</v>
      </c>
    </row>
    <row r="305" spans="1:10" ht="15.75" customHeight="1">
      <c r="A305" s="5" t="s">
        <v>290</v>
      </c>
      <c r="B305" s="6" t="s">
        <v>383</v>
      </c>
      <c r="C305" s="11" t="s">
        <v>62</v>
      </c>
      <c r="D305" s="5"/>
      <c r="E305" s="12" t="s">
        <v>63</v>
      </c>
      <c r="F305" s="8">
        <v>18</v>
      </c>
      <c r="G305" s="9">
        <v>33</v>
      </c>
      <c r="H305" s="10">
        <f t="shared" si="0"/>
        <v>594</v>
      </c>
      <c r="I305" s="5">
        <f>F305-SUMIFS(Pedidos!G:G, Pedidos!D:D, C305, Pedidos!E:E, E305, Pedidos!F:F, B305)</f>
        <v>18</v>
      </c>
      <c r="J305" s="10">
        <f t="shared" si="1"/>
        <v>594</v>
      </c>
    </row>
    <row r="306" spans="1:10" ht="15.75" customHeight="1">
      <c r="A306" s="5" t="s">
        <v>290</v>
      </c>
      <c r="B306" s="6" t="s">
        <v>384</v>
      </c>
      <c r="C306" s="11" t="s">
        <v>62</v>
      </c>
      <c r="D306" s="5"/>
      <c r="E306" s="12" t="s">
        <v>63</v>
      </c>
      <c r="F306" s="8">
        <v>558</v>
      </c>
      <c r="G306" s="9">
        <v>109.16</v>
      </c>
      <c r="H306" s="10">
        <f t="shared" si="0"/>
        <v>60911.28</v>
      </c>
      <c r="I306" s="5">
        <f>F306-SUMIFS(Pedidos!G:G, Pedidos!D:D, C306, Pedidos!E:E, E306, Pedidos!F:F, B306)</f>
        <v>558</v>
      </c>
      <c r="J306" s="10">
        <f t="shared" si="1"/>
        <v>60911.28</v>
      </c>
    </row>
    <row r="307" spans="1:10" ht="15.75" customHeight="1">
      <c r="A307" s="5" t="s">
        <v>290</v>
      </c>
      <c r="B307" s="6" t="s">
        <v>385</v>
      </c>
      <c r="C307" s="11" t="s">
        <v>62</v>
      </c>
      <c r="D307" s="5"/>
      <c r="E307" s="12" t="s">
        <v>63</v>
      </c>
      <c r="F307" s="8">
        <v>14</v>
      </c>
      <c r="G307" s="9">
        <v>71</v>
      </c>
      <c r="H307" s="10">
        <f t="shared" si="0"/>
        <v>994</v>
      </c>
      <c r="I307" s="5">
        <f>F307-SUMIFS(Pedidos!G:G, Pedidos!D:D, C307, Pedidos!E:E, E307, Pedidos!F:F, B307)</f>
        <v>14</v>
      </c>
      <c r="J307" s="10">
        <f t="shared" si="1"/>
        <v>994</v>
      </c>
    </row>
    <row r="308" spans="1:10" ht="15.75" customHeight="1">
      <c r="A308" s="5" t="s">
        <v>290</v>
      </c>
      <c r="B308" s="6" t="s">
        <v>386</v>
      </c>
      <c r="C308" s="11" t="s">
        <v>62</v>
      </c>
      <c r="D308" s="5"/>
      <c r="E308" s="12" t="s">
        <v>63</v>
      </c>
      <c r="F308" s="8">
        <v>11</v>
      </c>
      <c r="G308" s="9">
        <v>62</v>
      </c>
      <c r="H308" s="10">
        <f t="shared" si="0"/>
        <v>682</v>
      </c>
      <c r="I308" s="5">
        <f>F308-SUMIFS(Pedidos!G:G, Pedidos!D:D, C308, Pedidos!E:E, E308, Pedidos!F:F, B308)</f>
        <v>11</v>
      </c>
      <c r="J308" s="10">
        <f t="shared" si="1"/>
        <v>682</v>
      </c>
    </row>
    <row r="309" spans="1:10" ht="15.75" customHeight="1">
      <c r="A309" s="5" t="s">
        <v>290</v>
      </c>
      <c r="B309" s="6" t="s">
        <v>387</v>
      </c>
      <c r="C309" s="11" t="s">
        <v>62</v>
      </c>
      <c r="D309" s="5"/>
      <c r="E309" s="12" t="s">
        <v>63</v>
      </c>
      <c r="F309" s="8">
        <v>350</v>
      </c>
      <c r="G309" s="9">
        <v>181.67</v>
      </c>
      <c r="H309" s="10">
        <f t="shared" si="0"/>
        <v>63584.499999999993</v>
      </c>
      <c r="I309" s="5">
        <f>F309-SUMIFS(Pedidos!G:G, Pedidos!D:D, C309, Pedidos!E:E, E309, Pedidos!F:F, B309)</f>
        <v>350</v>
      </c>
      <c r="J309" s="10">
        <f t="shared" si="1"/>
        <v>63584.499999999993</v>
      </c>
    </row>
    <row r="310" spans="1:10" ht="15.75" customHeight="1">
      <c r="A310" s="5" t="s">
        <v>290</v>
      </c>
      <c r="B310" s="6" t="s">
        <v>388</v>
      </c>
      <c r="C310" s="11" t="s">
        <v>62</v>
      </c>
      <c r="D310" s="5"/>
      <c r="E310" s="12" t="s">
        <v>63</v>
      </c>
      <c r="F310" s="8">
        <v>828</v>
      </c>
      <c r="G310" s="9">
        <v>181.67</v>
      </c>
      <c r="H310" s="10">
        <f t="shared" si="0"/>
        <v>150422.75999999998</v>
      </c>
      <c r="I310" s="5">
        <f>F310-SUMIFS(Pedidos!G:G, Pedidos!D:D, C310, Pedidos!E:E, E310, Pedidos!F:F, B310)</f>
        <v>828</v>
      </c>
      <c r="J310" s="10">
        <f t="shared" si="1"/>
        <v>150422.75999999998</v>
      </c>
    </row>
    <row r="311" spans="1:10" ht="15.75" customHeight="1">
      <c r="A311" s="5" t="s">
        <v>290</v>
      </c>
      <c r="B311" s="6" t="s">
        <v>389</v>
      </c>
      <c r="C311" s="11" t="s">
        <v>62</v>
      </c>
      <c r="D311" s="5"/>
      <c r="E311" s="12" t="s">
        <v>63</v>
      </c>
      <c r="F311" s="8">
        <v>40</v>
      </c>
      <c r="G311" s="9">
        <v>275.60000000000002</v>
      </c>
      <c r="H311" s="10">
        <f t="shared" si="0"/>
        <v>11024</v>
      </c>
      <c r="I311" s="5">
        <f>F311-SUMIFS(Pedidos!G:G, Pedidos!D:D, C311, Pedidos!E:E, E311, Pedidos!F:F, B311)</f>
        <v>40</v>
      </c>
      <c r="J311" s="10">
        <f t="shared" si="1"/>
        <v>11024</v>
      </c>
    </row>
    <row r="312" spans="1:10" ht="15.75" customHeight="1">
      <c r="A312" s="5" t="s">
        <v>290</v>
      </c>
      <c r="B312" s="6" t="s">
        <v>390</v>
      </c>
      <c r="C312" s="5" t="s">
        <v>311</v>
      </c>
      <c r="D312" s="7" t="s">
        <v>391</v>
      </c>
      <c r="E312" s="5">
        <v>4</v>
      </c>
      <c r="F312" s="8">
        <v>100</v>
      </c>
      <c r="G312" s="9">
        <v>2953.24</v>
      </c>
      <c r="H312" s="10">
        <f t="shared" si="0"/>
        <v>295324</v>
      </c>
      <c r="I312" s="5">
        <f>F312-SUMIFS(Pedidos!G:G, Pedidos!D:D, C312, Pedidos!E:E, E312, Pedidos!F:F, B312)</f>
        <v>79</v>
      </c>
      <c r="J312" s="10">
        <f t="shared" si="1"/>
        <v>233305.96</v>
      </c>
    </row>
    <row r="313" spans="1:10" ht="15.75" customHeight="1">
      <c r="A313" s="5" t="s">
        <v>290</v>
      </c>
      <c r="B313" s="6" t="s">
        <v>392</v>
      </c>
      <c r="C313" s="11" t="s">
        <v>62</v>
      </c>
      <c r="D313" s="5"/>
      <c r="E313" s="12" t="s">
        <v>63</v>
      </c>
      <c r="F313" s="8">
        <v>16</v>
      </c>
      <c r="G313" s="9">
        <v>965</v>
      </c>
      <c r="H313" s="10">
        <f t="shared" si="0"/>
        <v>15440</v>
      </c>
      <c r="I313" s="5">
        <f>F313-SUMIFS(Pedidos!G:G, Pedidos!D:D, C313, Pedidos!E:E, E313, Pedidos!F:F, B313)</f>
        <v>0</v>
      </c>
      <c r="J313" s="10">
        <f t="shared" si="1"/>
        <v>0</v>
      </c>
    </row>
    <row r="314" spans="1:10" ht="15.75" customHeight="1">
      <c r="A314" s="5" t="s">
        <v>290</v>
      </c>
      <c r="B314" s="6" t="s">
        <v>392</v>
      </c>
      <c r="C314" s="11" t="s">
        <v>68</v>
      </c>
      <c r="D314" s="5"/>
      <c r="E314" s="12" t="s">
        <v>63</v>
      </c>
      <c r="F314" s="8">
        <v>250</v>
      </c>
      <c r="G314" s="9">
        <v>3145.83</v>
      </c>
      <c r="H314" s="10">
        <f t="shared" si="0"/>
        <v>786457.5</v>
      </c>
      <c r="I314" s="5">
        <f>F314-SUMIFS(Pedidos!G:G, Pedidos!D:D, C314, Pedidos!E:E, E314, Pedidos!F:F, B314)</f>
        <v>234</v>
      </c>
      <c r="J314" s="10">
        <f t="shared" si="1"/>
        <v>736124.22</v>
      </c>
    </row>
    <row r="315" spans="1:10" ht="15.75" customHeight="1">
      <c r="A315" s="5" t="s">
        <v>290</v>
      </c>
      <c r="B315" s="6" t="s">
        <v>393</v>
      </c>
      <c r="C315" s="11" t="s">
        <v>62</v>
      </c>
      <c r="D315" s="5"/>
      <c r="E315" s="12" t="s">
        <v>63</v>
      </c>
      <c r="F315" s="8">
        <v>261</v>
      </c>
      <c r="G315" s="9">
        <v>0.26</v>
      </c>
      <c r="H315" s="10">
        <f t="shared" si="0"/>
        <v>67.86</v>
      </c>
      <c r="I315" s="5">
        <f>F315-SUMIFS(Pedidos!G:G, Pedidos!D:D, C315, Pedidos!E:E, E315, Pedidos!F:F, B315)</f>
        <v>261</v>
      </c>
      <c r="J315" s="10">
        <f t="shared" si="1"/>
        <v>67.86</v>
      </c>
    </row>
    <row r="316" spans="1:10" ht="15.75" customHeight="1">
      <c r="A316" s="5" t="s">
        <v>290</v>
      </c>
      <c r="B316" s="6" t="s">
        <v>393</v>
      </c>
      <c r="C316" s="11" t="s">
        <v>68</v>
      </c>
      <c r="D316" s="5"/>
      <c r="E316" s="12" t="s">
        <v>63</v>
      </c>
      <c r="F316" s="8">
        <v>250</v>
      </c>
      <c r="G316" s="9">
        <v>0.14499999999999999</v>
      </c>
      <c r="H316" s="10">
        <f t="shared" si="0"/>
        <v>36.25</v>
      </c>
      <c r="I316" s="5">
        <f>F316-SUMIFS(Pedidos!G:G, Pedidos!D:D, C316, Pedidos!E:E, E316, Pedidos!F:F, B316)</f>
        <v>250</v>
      </c>
      <c r="J316" s="10">
        <f t="shared" si="1"/>
        <v>36.25</v>
      </c>
    </row>
    <row r="317" spans="1:10" ht="15.75" customHeight="1">
      <c r="A317" s="5" t="s">
        <v>290</v>
      </c>
      <c r="B317" s="6" t="s">
        <v>394</v>
      </c>
      <c r="C317" s="11" t="s">
        <v>62</v>
      </c>
      <c r="D317" s="5"/>
      <c r="E317" s="12" t="s">
        <v>63</v>
      </c>
      <c r="F317" s="8">
        <v>220</v>
      </c>
      <c r="G317" s="9">
        <v>0.26</v>
      </c>
      <c r="H317" s="10">
        <f t="shared" si="0"/>
        <v>57.2</v>
      </c>
      <c r="I317" s="5">
        <f>F317-SUMIFS(Pedidos!G:G, Pedidos!D:D, C317, Pedidos!E:E, E317, Pedidos!F:F, B317)</f>
        <v>220</v>
      </c>
      <c r="J317" s="10">
        <f t="shared" si="1"/>
        <v>57.2</v>
      </c>
    </row>
    <row r="318" spans="1:10" ht="15.75" customHeight="1">
      <c r="A318" s="5" t="s">
        <v>290</v>
      </c>
      <c r="B318" s="6" t="s">
        <v>394</v>
      </c>
      <c r="C318" s="11" t="s">
        <v>68</v>
      </c>
      <c r="D318" s="5"/>
      <c r="E318" s="12" t="s">
        <v>63</v>
      </c>
      <c r="F318" s="8">
        <v>250</v>
      </c>
      <c r="G318" s="9">
        <v>0.14499999999999999</v>
      </c>
      <c r="H318" s="10">
        <f t="shared" si="0"/>
        <v>36.25</v>
      </c>
      <c r="I318" s="5">
        <f>F318-SUMIFS(Pedidos!G:G, Pedidos!D:D, C318, Pedidos!E:E, E318, Pedidos!F:F, B318)</f>
        <v>250</v>
      </c>
      <c r="J318" s="10">
        <f t="shared" si="1"/>
        <v>36.25</v>
      </c>
    </row>
    <row r="319" spans="1:10" ht="15.75" customHeight="1">
      <c r="A319" s="5" t="s">
        <v>290</v>
      </c>
      <c r="B319" s="6" t="s">
        <v>395</v>
      </c>
      <c r="C319" s="11" t="s">
        <v>62</v>
      </c>
      <c r="D319" s="5"/>
      <c r="E319" s="12" t="s">
        <v>63</v>
      </c>
      <c r="F319" s="8">
        <v>42</v>
      </c>
      <c r="G319" s="9">
        <v>0.6</v>
      </c>
      <c r="H319" s="10">
        <f t="shared" si="0"/>
        <v>25.2</v>
      </c>
      <c r="I319" s="5">
        <f>F319-SUMIFS(Pedidos!G:G, Pedidos!D:D, C319, Pedidos!E:E, E319, Pedidos!F:F, B319)</f>
        <v>42</v>
      </c>
      <c r="J319" s="10">
        <f t="shared" si="1"/>
        <v>25.2</v>
      </c>
    </row>
    <row r="320" spans="1:10" ht="15.75" customHeight="1">
      <c r="A320" s="5" t="s">
        <v>290</v>
      </c>
      <c r="B320" s="6" t="s">
        <v>396</v>
      </c>
      <c r="C320" s="11" t="s">
        <v>62</v>
      </c>
      <c r="D320" s="5"/>
      <c r="E320" s="12" t="s">
        <v>63</v>
      </c>
      <c r="F320" s="8">
        <v>118</v>
      </c>
      <c r="G320" s="9">
        <v>0.6</v>
      </c>
      <c r="H320" s="10">
        <f t="shared" si="0"/>
        <v>70.8</v>
      </c>
      <c r="I320" s="5">
        <f>F320-SUMIFS(Pedidos!G:G, Pedidos!D:D, C320, Pedidos!E:E, E320, Pedidos!F:F, B320)</f>
        <v>118</v>
      </c>
      <c r="J320" s="10">
        <f t="shared" si="1"/>
        <v>70.8</v>
      </c>
    </row>
    <row r="321" spans="1:10" ht="15.75" customHeight="1">
      <c r="A321" s="5" t="s">
        <v>290</v>
      </c>
      <c r="B321" s="6" t="s">
        <v>397</v>
      </c>
      <c r="C321" s="11" t="s">
        <v>62</v>
      </c>
      <c r="D321" s="5"/>
      <c r="E321" s="12" t="s">
        <v>63</v>
      </c>
      <c r="F321" s="8">
        <v>51</v>
      </c>
      <c r="G321" s="9">
        <v>0.12</v>
      </c>
      <c r="H321" s="10">
        <f t="shared" si="0"/>
        <v>6.12</v>
      </c>
      <c r="I321" s="5">
        <f>F321-SUMIFS(Pedidos!G:G, Pedidos!D:D, C321, Pedidos!E:E, E321, Pedidos!F:F, B321)</f>
        <v>51</v>
      </c>
      <c r="J321" s="10">
        <f t="shared" si="1"/>
        <v>6.12</v>
      </c>
    </row>
    <row r="322" spans="1:10" ht="15.75" customHeight="1">
      <c r="A322" s="5" t="s">
        <v>290</v>
      </c>
      <c r="B322" s="6" t="s">
        <v>398</v>
      </c>
      <c r="C322" s="11" t="s">
        <v>62</v>
      </c>
      <c r="D322" s="5"/>
      <c r="E322" s="12" t="s">
        <v>63</v>
      </c>
      <c r="F322" s="8">
        <v>1000</v>
      </c>
      <c r="G322" s="9">
        <v>9.4560000000000005E-2</v>
      </c>
      <c r="H322" s="10">
        <f t="shared" si="0"/>
        <v>94.56</v>
      </c>
      <c r="I322" s="5">
        <f>F322-SUMIFS(Pedidos!G:G, Pedidos!D:D, C322, Pedidos!E:E, E322, Pedidos!F:F, B322)</f>
        <v>1000</v>
      </c>
      <c r="J322" s="10">
        <f t="shared" si="1"/>
        <v>94.56</v>
      </c>
    </row>
    <row r="323" spans="1:10" ht="15.75" customHeight="1">
      <c r="A323" s="5" t="s">
        <v>290</v>
      </c>
      <c r="B323" s="6" t="s">
        <v>398</v>
      </c>
      <c r="C323" s="11" t="s">
        <v>68</v>
      </c>
      <c r="D323" s="5"/>
      <c r="E323" s="12" t="s">
        <v>63</v>
      </c>
      <c r="F323" s="8">
        <v>608</v>
      </c>
      <c r="G323" s="9">
        <v>0.08</v>
      </c>
      <c r="H323" s="10">
        <f t="shared" si="0"/>
        <v>48.64</v>
      </c>
      <c r="I323" s="5">
        <f>F323-SUMIFS(Pedidos!G:G, Pedidos!D:D, C323, Pedidos!E:E, E323, Pedidos!F:F, B323)</f>
        <v>608</v>
      </c>
      <c r="J323" s="10">
        <f t="shared" si="1"/>
        <v>48.64</v>
      </c>
    </row>
    <row r="324" spans="1:10" ht="15.75" customHeight="1">
      <c r="A324" s="5" t="s">
        <v>290</v>
      </c>
      <c r="B324" s="6" t="s">
        <v>399</v>
      </c>
      <c r="C324" s="11" t="s">
        <v>62</v>
      </c>
      <c r="D324" s="5"/>
      <c r="E324" s="12" t="s">
        <v>63</v>
      </c>
      <c r="F324" s="8">
        <v>70</v>
      </c>
      <c r="G324" s="9">
        <v>0.16</v>
      </c>
      <c r="H324" s="10">
        <f t="shared" si="0"/>
        <v>11.200000000000001</v>
      </c>
      <c r="I324" s="5">
        <f>F324-SUMIFS(Pedidos!G:G, Pedidos!D:D, C324, Pedidos!E:E, E324, Pedidos!F:F, B324)</f>
        <v>70</v>
      </c>
      <c r="J324" s="10">
        <f t="shared" si="1"/>
        <v>11.200000000000001</v>
      </c>
    </row>
    <row r="325" spans="1:10" ht="15.75" customHeight="1">
      <c r="A325" s="5" t="s">
        <v>290</v>
      </c>
      <c r="B325" s="6" t="s">
        <v>400</v>
      </c>
      <c r="C325" s="11" t="s">
        <v>62</v>
      </c>
      <c r="D325" s="5"/>
      <c r="E325" s="12" t="s">
        <v>63</v>
      </c>
      <c r="F325" s="8">
        <v>700</v>
      </c>
      <c r="G325" s="9">
        <v>0.27</v>
      </c>
      <c r="H325" s="10">
        <f t="shared" si="0"/>
        <v>189</v>
      </c>
      <c r="I325" s="5">
        <f>F325-SUMIFS(Pedidos!G:G, Pedidos!D:D, C325, Pedidos!E:E, E325, Pedidos!F:F, B325)</f>
        <v>700</v>
      </c>
      <c r="J325" s="10">
        <f t="shared" si="1"/>
        <v>189</v>
      </c>
    </row>
    <row r="326" spans="1:10" ht="15.75" customHeight="1">
      <c r="A326" s="5" t="s">
        <v>290</v>
      </c>
      <c r="B326" s="6" t="s">
        <v>401</v>
      </c>
      <c r="C326" s="11" t="s">
        <v>62</v>
      </c>
      <c r="D326" s="5"/>
      <c r="E326" s="12" t="s">
        <v>63</v>
      </c>
      <c r="F326" s="8">
        <v>346</v>
      </c>
      <c r="G326" s="9">
        <v>0.45</v>
      </c>
      <c r="H326" s="10">
        <f t="shared" si="0"/>
        <v>155.70000000000002</v>
      </c>
      <c r="I326" s="5">
        <f>F326-SUMIFS(Pedidos!G:G, Pedidos!D:D, C326, Pedidos!E:E, E326, Pedidos!F:F, B326)</f>
        <v>346</v>
      </c>
      <c r="J326" s="10">
        <f t="shared" si="1"/>
        <v>155.70000000000002</v>
      </c>
    </row>
    <row r="327" spans="1:10" ht="15.75" customHeight="1">
      <c r="A327" s="5" t="s">
        <v>290</v>
      </c>
      <c r="B327" s="6" t="s">
        <v>402</v>
      </c>
      <c r="C327" s="11" t="s">
        <v>62</v>
      </c>
      <c r="D327" s="5"/>
      <c r="E327" s="12" t="s">
        <v>63</v>
      </c>
      <c r="F327" s="8">
        <v>355</v>
      </c>
      <c r="G327" s="9">
        <v>0.8</v>
      </c>
      <c r="H327" s="10">
        <f t="shared" si="0"/>
        <v>284</v>
      </c>
      <c r="I327" s="5">
        <f>F327-SUMIFS(Pedidos!G:G, Pedidos!D:D, C327, Pedidos!E:E, E327, Pedidos!F:F, B327)</f>
        <v>355</v>
      </c>
      <c r="J327" s="10">
        <f t="shared" si="1"/>
        <v>284</v>
      </c>
    </row>
    <row r="328" spans="1:10" ht="15.75" customHeight="1">
      <c r="A328" s="5" t="s">
        <v>290</v>
      </c>
      <c r="B328" s="6" t="s">
        <v>403</v>
      </c>
      <c r="C328" s="11" t="s">
        <v>62</v>
      </c>
      <c r="D328" s="5"/>
      <c r="E328" s="12" t="s">
        <v>63</v>
      </c>
      <c r="F328" s="8">
        <v>2290</v>
      </c>
      <c r="G328" s="9">
        <v>1.1979</v>
      </c>
      <c r="H328" s="10">
        <f t="shared" si="0"/>
        <v>2743.1909999999998</v>
      </c>
      <c r="I328" s="5">
        <f>F328-SUMIFS(Pedidos!G:G, Pedidos!D:D, C328, Pedidos!E:E, E328, Pedidos!F:F, B328)</f>
        <v>2275</v>
      </c>
      <c r="J328" s="10">
        <f t="shared" si="1"/>
        <v>2725.2224999999999</v>
      </c>
    </row>
    <row r="329" spans="1:10" ht="15.75" customHeight="1">
      <c r="A329" s="5" t="s">
        <v>290</v>
      </c>
      <c r="B329" s="6" t="s">
        <v>404</v>
      </c>
      <c r="C329" s="11" t="s">
        <v>62</v>
      </c>
      <c r="D329" s="5"/>
      <c r="E329" s="12" t="s">
        <v>63</v>
      </c>
      <c r="F329" s="8">
        <v>1984</v>
      </c>
      <c r="G329" s="9">
        <v>1.7764</v>
      </c>
      <c r="H329" s="10">
        <f t="shared" si="0"/>
        <v>3524.3775999999998</v>
      </c>
      <c r="I329" s="5">
        <f>F329-SUMIFS(Pedidos!G:G, Pedidos!D:D, C329, Pedidos!E:E, E329, Pedidos!F:F, B329)</f>
        <v>1954</v>
      </c>
      <c r="J329" s="10">
        <f t="shared" si="1"/>
        <v>3471.0855999999999</v>
      </c>
    </row>
    <row r="330" spans="1:10" ht="15.75" customHeight="1">
      <c r="A330" s="5" t="s">
        <v>290</v>
      </c>
      <c r="B330" s="6" t="s">
        <v>405</v>
      </c>
      <c r="C330" s="11" t="s">
        <v>62</v>
      </c>
      <c r="D330" s="5"/>
      <c r="E330" s="12" t="s">
        <v>63</v>
      </c>
      <c r="F330" s="8">
        <v>5</v>
      </c>
      <c r="G330" s="9">
        <v>9.1999999999999993</v>
      </c>
      <c r="H330" s="10">
        <f t="shared" si="0"/>
        <v>46</v>
      </c>
      <c r="I330" s="5">
        <f>F330-SUMIFS(Pedidos!G:G, Pedidos!D:D, C330, Pedidos!E:E, E330, Pedidos!F:F, B330)</f>
        <v>5</v>
      </c>
      <c r="J330" s="10">
        <f t="shared" si="1"/>
        <v>46</v>
      </c>
    </row>
    <row r="331" spans="1:10" ht="15.75" customHeight="1">
      <c r="A331" s="5" t="s">
        <v>290</v>
      </c>
      <c r="B331" s="6" t="s">
        <v>406</v>
      </c>
      <c r="C331" s="11" t="s">
        <v>62</v>
      </c>
      <c r="D331" s="5"/>
      <c r="E331" s="12" t="s">
        <v>63</v>
      </c>
      <c r="F331" s="8">
        <v>10</v>
      </c>
      <c r="G331" s="9">
        <v>98</v>
      </c>
      <c r="H331" s="10">
        <f t="shared" si="0"/>
        <v>980</v>
      </c>
      <c r="I331" s="5">
        <f>F331-SUMIFS(Pedidos!G:G, Pedidos!D:D, C331, Pedidos!E:E, E331, Pedidos!F:F, B331)</f>
        <v>10</v>
      </c>
      <c r="J331" s="10">
        <f t="shared" si="1"/>
        <v>980</v>
      </c>
    </row>
    <row r="332" spans="1:10" ht="15.75" customHeight="1">
      <c r="A332" s="5" t="s">
        <v>290</v>
      </c>
      <c r="B332" s="6" t="s">
        <v>407</v>
      </c>
      <c r="C332" s="11" t="s">
        <v>62</v>
      </c>
      <c r="D332" s="5"/>
      <c r="E332" s="12" t="s">
        <v>63</v>
      </c>
      <c r="F332" s="8">
        <v>61</v>
      </c>
      <c r="G332" s="9">
        <v>6.4</v>
      </c>
      <c r="H332" s="10">
        <f t="shared" si="0"/>
        <v>390.40000000000003</v>
      </c>
      <c r="I332" s="5">
        <f>F332-SUMIFS(Pedidos!G:G, Pedidos!D:D, C332, Pedidos!E:E, E332, Pedidos!F:F, B332)</f>
        <v>61</v>
      </c>
      <c r="J332" s="10">
        <f t="shared" si="1"/>
        <v>390.40000000000003</v>
      </c>
    </row>
    <row r="333" spans="1:10" ht="15.75" customHeight="1">
      <c r="A333" s="5" t="s">
        <v>290</v>
      </c>
      <c r="B333" s="6" t="s">
        <v>408</v>
      </c>
      <c r="C333" s="11" t="s">
        <v>62</v>
      </c>
      <c r="D333" s="5"/>
      <c r="E333" s="12" t="s">
        <v>63</v>
      </c>
      <c r="F333" s="8">
        <v>700</v>
      </c>
      <c r="G333" s="9">
        <v>28</v>
      </c>
      <c r="H333" s="10">
        <f t="shared" si="0"/>
        <v>19600</v>
      </c>
      <c r="I333" s="5">
        <f>F333-SUMIFS(Pedidos!G:G, Pedidos!D:D, C333, Pedidos!E:E, E333, Pedidos!F:F, B333)</f>
        <v>700</v>
      </c>
      <c r="J333" s="10">
        <f t="shared" si="1"/>
        <v>19600</v>
      </c>
    </row>
    <row r="334" spans="1:10" ht="15.75" customHeight="1">
      <c r="A334" s="5" t="s">
        <v>290</v>
      </c>
      <c r="B334" s="6" t="s">
        <v>409</v>
      </c>
      <c r="C334" s="11" t="s">
        <v>62</v>
      </c>
      <c r="D334" s="5"/>
      <c r="E334" s="12" t="s">
        <v>63</v>
      </c>
      <c r="F334" s="8">
        <v>400</v>
      </c>
      <c r="G334" s="9">
        <v>64</v>
      </c>
      <c r="H334" s="10">
        <f t="shared" si="0"/>
        <v>25600</v>
      </c>
      <c r="I334" s="5">
        <f>F334-SUMIFS(Pedidos!G:G, Pedidos!D:D, C334, Pedidos!E:E, E334, Pedidos!F:F, B334)</f>
        <v>400</v>
      </c>
      <c r="J334" s="10">
        <f t="shared" si="1"/>
        <v>25600</v>
      </c>
    </row>
    <row r="335" spans="1:10" ht="15.75" customHeight="1">
      <c r="A335" s="5" t="s">
        <v>290</v>
      </c>
      <c r="B335" s="6" t="s">
        <v>410</v>
      </c>
      <c r="C335" s="11" t="s">
        <v>62</v>
      </c>
      <c r="D335" s="5"/>
      <c r="E335" s="12" t="s">
        <v>63</v>
      </c>
      <c r="F335" s="8">
        <v>255</v>
      </c>
      <c r="G335" s="9">
        <v>20.399999999999999</v>
      </c>
      <c r="H335" s="10">
        <f t="shared" si="0"/>
        <v>5202</v>
      </c>
      <c r="I335" s="5">
        <f>F335-SUMIFS(Pedidos!G:G, Pedidos!D:D, C335, Pedidos!E:E, E335, Pedidos!F:F, B335)</f>
        <v>255</v>
      </c>
      <c r="J335" s="10">
        <f t="shared" si="1"/>
        <v>5202</v>
      </c>
    </row>
    <row r="336" spans="1:10" ht="15.75" customHeight="1">
      <c r="A336" s="5" t="s">
        <v>290</v>
      </c>
      <c r="B336" s="6" t="s">
        <v>411</v>
      </c>
      <c r="C336" s="5" t="s">
        <v>311</v>
      </c>
      <c r="D336" s="7" t="s">
        <v>412</v>
      </c>
      <c r="E336" s="5">
        <v>1</v>
      </c>
      <c r="F336" s="8">
        <v>800</v>
      </c>
      <c r="G336" s="9">
        <v>1813.54</v>
      </c>
      <c r="H336" s="10">
        <f t="shared" si="0"/>
        <v>1450832</v>
      </c>
      <c r="I336" s="5">
        <f>F336-SUMIFS(Pedidos!G:G, Pedidos!D:D, C336, Pedidos!E:E, E336, Pedidos!F:F, B336)</f>
        <v>600</v>
      </c>
      <c r="J336" s="10">
        <f t="shared" si="1"/>
        <v>1088124</v>
      </c>
    </row>
    <row r="337" spans="1:10" ht="15.75" customHeight="1">
      <c r="A337" s="5" t="s">
        <v>290</v>
      </c>
      <c r="B337" s="6" t="s">
        <v>413</v>
      </c>
      <c r="C337" s="5" t="s">
        <v>296</v>
      </c>
      <c r="D337" s="5" t="s">
        <v>414</v>
      </c>
      <c r="E337" s="5">
        <v>11</v>
      </c>
      <c r="F337" s="8">
        <v>300</v>
      </c>
      <c r="G337" s="9">
        <v>340</v>
      </c>
      <c r="H337" s="10">
        <f t="shared" si="0"/>
        <v>102000</v>
      </c>
      <c r="I337" s="5">
        <f>F337-SUMIFS(Pedidos!G:G, Pedidos!D:D, C337, Pedidos!E:E, E337, Pedidos!F:F, B337)</f>
        <v>200</v>
      </c>
      <c r="J337" s="10">
        <f t="shared" si="1"/>
        <v>68000</v>
      </c>
    </row>
    <row r="338" spans="1:10" ht="15.75" customHeight="1">
      <c r="A338" s="5" t="s">
        <v>290</v>
      </c>
      <c r="B338" s="6" t="s">
        <v>415</v>
      </c>
      <c r="C338" s="5" t="s">
        <v>311</v>
      </c>
      <c r="D338" s="5" t="s">
        <v>416</v>
      </c>
      <c r="E338" s="5">
        <v>7</v>
      </c>
      <c r="F338" s="8">
        <v>300</v>
      </c>
      <c r="G338" s="9">
        <v>361.91</v>
      </c>
      <c r="H338" s="10">
        <f t="shared" si="0"/>
        <v>108573.00000000001</v>
      </c>
      <c r="I338" s="5">
        <f>F338-SUMIFS(Pedidos!G:G, Pedidos!D:D, C338, Pedidos!E:E, E338, Pedidos!F:F, B338)</f>
        <v>300</v>
      </c>
      <c r="J338" s="10">
        <f t="shared" si="1"/>
        <v>108573.00000000001</v>
      </c>
    </row>
    <row r="339" spans="1:10" ht="15.75" customHeight="1">
      <c r="A339" s="5" t="s">
        <v>290</v>
      </c>
      <c r="B339" s="6" t="s">
        <v>417</v>
      </c>
      <c r="C339" s="11" t="s">
        <v>62</v>
      </c>
      <c r="D339" s="5"/>
      <c r="E339" s="12" t="s">
        <v>63</v>
      </c>
      <c r="F339" s="8">
        <v>78</v>
      </c>
      <c r="G339" s="9">
        <v>23.6</v>
      </c>
      <c r="H339" s="10">
        <f t="shared" si="0"/>
        <v>1840.8000000000002</v>
      </c>
      <c r="I339" s="5">
        <f>F339-SUMIFS(Pedidos!G:G, Pedidos!D:D, C339, Pedidos!E:E, E339, Pedidos!F:F, B339)</f>
        <v>78</v>
      </c>
      <c r="J339" s="10">
        <f t="shared" si="1"/>
        <v>1840.8000000000002</v>
      </c>
    </row>
    <row r="340" spans="1:10" ht="15.75" customHeight="1">
      <c r="A340" s="5" t="s">
        <v>290</v>
      </c>
      <c r="B340" s="6" t="s">
        <v>418</v>
      </c>
      <c r="C340" s="5" t="s">
        <v>296</v>
      </c>
      <c r="D340" s="7" t="s">
        <v>419</v>
      </c>
      <c r="E340" s="5">
        <v>14</v>
      </c>
      <c r="F340" s="8">
        <v>100</v>
      </c>
      <c r="G340" s="9">
        <v>12000</v>
      </c>
      <c r="H340" s="10">
        <f t="shared" si="0"/>
        <v>1200000</v>
      </c>
      <c r="I340" s="5">
        <f>F340-SUMIFS(Pedidos!G:G, Pedidos!D:D, C340, Pedidos!E:E, E340, Pedidos!F:F, B340)</f>
        <v>72</v>
      </c>
      <c r="J340" s="10">
        <f t="shared" si="1"/>
        <v>864000</v>
      </c>
    </row>
    <row r="341" spans="1:10" ht="15.75" customHeight="1">
      <c r="A341" s="5" t="s">
        <v>420</v>
      </c>
      <c r="B341" s="6" t="s">
        <v>421</v>
      </c>
      <c r="C341" s="11" t="s">
        <v>62</v>
      </c>
      <c r="D341" s="5"/>
      <c r="E341" s="12" t="s">
        <v>63</v>
      </c>
      <c r="F341" s="8">
        <v>97</v>
      </c>
      <c r="G341" s="9">
        <v>7999</v>
      </c>
      <c r="H341" s="10">
        <f t="shared" si="0"/>
        <v>775903</v>
      </c>
      <c r="I341" s="5">
        <f>F341-SUMIFS(Pedidos!G:G, Pedidos!D:D, C341, Pedidos!E:E, E341, Pedidos!F:F, B341)</f>
        <v>0</v>
      </c>
      <c r="J341" s="10">
        <f t="shared" si="1"/>
        <v>0</v>
      </c>
    </row>
    <row r="342" spans="1:10" ht="15.75" customHeight="1">
      <c r="A342" s="5" t="s">
        <v>420</v>
      </c>
      <c r="B342" s="6" t="s">
        <v>422</v>
      </c>
      <c r="C342" s="11" t="s">
        <v>62</v>
      </c>
      <c r="D342" s="5"/>
      <c r="E342" s="12" t="s">
        <v>63</v>
      </c>
      <c r="F342" s="8">
        <v>53</v>
      </c>
      <c r="G342" s="9">
        <v>1.25</v>
      </c>
      <c r="H342" s="10">
        <f t="shared" si="0"/>
        <v>66.25</v>
      </c>
      <c r="I342" s="5">
        <f>F342-SUMIFS(Pedidos!G:G, Pedidos!D:D, C342, Pedidos!E:E, E342, Pedidos!F:F, B342)</f>
        <v>48</v>
      </c>
      <c r="J342" s="10">
        <f t="shared" si="1"/>
        <v>60</v>
      </c>
    </row>
    <row r="343" spans="1:10" ht="15.75" customHeight="1">
      <c r="A343" s="5" t="s">
        <v>420</v>
      </c>
      <c r="B343" s="6" t="s">
        <v>423</v>
      </c>
      <c r="C343" s="5" t="s">
        <v>424</v>
      </c>
      <c r="D343" s="7" t="s">
        <v>425</v>
      </c>
      <c r="E343" s="5">
        <v>10</v>
      </c>
      <c r="F343" s="8">
        <v>40</v>
      </c>
      <c r="G343" s="9">
        <v>28678</v>
      </c>
      <c r="H343" s="10">
        <f t="shared" si="0"/>
        <v>1147120</v>
      </c>
      <c r="I343" s="5">
        <f>F343-SUMIFS(Pedidos!G:G, Pedidos!D:D, C343, Pedidos!E:E, E343, Pedidos!F:F, B343)</f>
        <v>32</v>
      </c>
      <c r="J343" s="10">
        <f t="shared" si="1"/>
        <v>917696</v>
      </c>
    </row>
    <row r="344" spans="1:10" ht="15.75" customHeight="1">
      <c r="A344" s="5" t="s">
        <v>420</v>
      </c>
      <c r="B344" s="6" t="s">
        <v>426</v>
      </c>
      <c r="C344" s="5" t="s">
        <v>424</v>
      </c>
      <c r="D344" s="5" t="s">
        <v>427</v>
      </c>
      <c r="E344" s="5">
        <v>1</v>
      </c>
      <c r="F344" s="8">
        <v>100</v>
      </c>
      <c r="G344" s="9">
        <v>41695.800000000003</v>
      </c>
      <c r="H344" s="10">
        <f t="shared" si="0"/>
        <v>4169580.0000000005</v>
      </c>
      <c r="I344" s="5">
        <f>F344-SUMIFS(Pedidos!G:G, Pedidos!D:D, C344, Pedidos!E:E, E344, Pedidos!F:F, B344)</f>
        <v>90</v>
      </c>
      <c r="J344" s="10">
        <f t="shared" si="1"/>
        <v>3752622.0000000005</v>
      </c>
    </row>
    <row r="345" spans="1:10" ht="15.75" customHeight="1">
      <c r="A345" s="5" t="s">
        <v>420</v>
      </c>
      <c r="B345" s="6" t="s">
        <v>428</v>
      </c>
      <c r="C345" s="5" t="s">
        <v>424</v>
      </c>
      <c r="D345" s="5" t="s">
        <v>429</v>
      </c>
      <c r="E345" s="5">
        <v>6</v>
      </c>
      <c r="F345" s="8">
        <v>50</v>
      </c>
      <c r="G345" s="9">
        <v>67713.64</v>
      </c>
      <c r="H345" s="10">
        <f t="shared" si="0"/>
        <v>3385682</v>
      </c>
      <c r="I345" s="5">
        <f>F345-SUMIFS(Pedidos!G:G, Pedidos!D:D, C345, Pedidos!E:E, E345, Pedidos!F:F, B345)</f>
        <v>36</v>
      </c>
      <c r="J345" s="10">
        <f t="shared" si="1"/>
        <v>2437691.04</v>
      </c>
    </row>
    <row r="346" spans="1:10" ht="15.75" customHeight="1">
      <c r="A346" s="5" t="s">
        <v>420</v>
      </c>
      <c r="B346" s="6" t="s">
        <v>430</v>
      </c>
      <c r="C346" s="11" t="s">
        <v>62</v>
      </c>
      <c r="D346" s="5"/>
      <c r="E346" s="12" t="s">
        <v>63</v>
      </c>
      <c r="F346" s="8">
        <v>23</v>
      </c>
      <c r="G346" s="9">
        <v>259.77999999999997</v>
      </c>
      <c r="H346" s="10">
        <f t="shared" si="0"/>
        <v>5974.94</v>
      </c>
      <c r="I346" s="5">
        <f>F346-SUMIFS(Pedidos!G:G, Pedidos!D:D, C346, Pedidos!E:E, E346, Pedidos!F:F, B346)</f>
        <v>23</v>
      </c>
      <c r="J346" s="10">
        <f t="shared" si="1"/>
        <v>5974.94</v>
      </c>
    </row>
    <row r="347" spans="1:10" ht="15.75" customHeight="1">
      <c r="A347" s="5" t="s">
        <v>420</v>
      </c>
      <c r="B347" s="6" t="s">
        <v>431</v>
      </c>
      <c r="C347" s="11" t="s">
        <v>62</v>
      </c>
      <c r="D347" s="5"/>
      <c r="E347" s="12" t="s">
        <v>63</v>
      </c>
      <c r="F347" s="8">
        <v>10</v>
      </c>
      <c r="G347" s="9">
        <v>36</v>
      </c>
      <c r="H347" s="10">
        <f t="shared" si="0"/>
        <v>360</v>
      </c>
      <c r="I347" s="5">
        <f>F347-SUMIFS(Pedidos!G:G, Pedidos!D:D, C347, Pedidos!E:E, E347, Pedidos!F:F, B347)</f>
        <v>10</v>
      </c>
      <c r="J347" s="10">
        <f t="shared" si="1"/>
        <v>360</v>
      </c>
    </row>
    <row r="348" spans="1:10" ht="15.75" customHeight="1">
      <c r="A348" s="5" t="s">
        <v>420</v>
      </c>
      <c r="B348" s="6" t="s">
        <v>432</v>
      </c>
      <c r="C348" s="11" t="s">
        <v>62</v>
      </c>
      <c r="D348" s="5"/>
      <c r="E348" s="12" t="s">
        <v>63</v>
      </c>
      <c r="F348" s="8">
        <v>9</v>
      </c>
      <c r="G348" s="9">
        <v>45</v>
      </c>
      <c r="H348" s="10">
        <f t="shared" si="0"/>
        <v>405</v>
      </c>
      <c r="I348" s="5">
        <f>F348-SUMIFS(Pedidos!G:G, Pedidos!D:D, C348, Pedidos!E:E, E348, Pedidos!F:F, B348)</f>
        <v>9</v>
      </c>
      <c r="J348" s="10">
        <f t="shared" si="1"/>
        <v>405</v>
      </c>
    </row>
    <row r="349" spans="1:10" ht="15.75" customHeight="1">
      <c r="A349" s="5" t="s">
        <v>420</v>
      </c>
      <c r="B349" s="6" t="s">
        <v>433</v>
      </c>
      <c r="C349" s="11" t="s">
        <v>62</v>
      </c>
      <c r="D349" s="5"/>
      <c r="E349" s="12" t="s">
        <v>63</v>
      </c>
      <c r="F349" s="8">
        <v>2</v>
      </c>
      <c r="G349" s="9">
        <v>45</v>
      </c>
      <c r="H349" s="10">
        <f t="shared" si="0"/>
        <v>90</v>
      </c>
      <c r="I349" s="5">
        <f>F349-SUMIFS(Pedidos!G:G, Pedidos!D:D, C349, Pedidos!E:E, E349, Pedidos!F:F, B349)</f>
        <v>2</v>
      </c>
      <c r="J349" s="10">
        <f t="shared" si="1"/>
        <v>90</v>
      </c>
    </row>
    <row r="350" spans="1:10" ht="15.75" customHeight="1">
      <c r="A350" s="5" t="s">
        <v>420</v>
      </c>
      <c r="B350" s="6" t="s">
        <v>434</v>
      </c>
      <c r="C350" s="11" t="s">
        <v>62</v>
      </c>
      <c r="D350" s="5"/>
      <c r="E350" s="12" t="s">
        <v>63</v>
      </c>
      <c r="F350" s="8">
        <v>12</v>
      </c>
      <c r="G350" s="9">
        <v>880</v>
      </c>
      <c r="H350" s="10">
        <f t="shared" si="0"/>
        <v>10560</v>
      </c>
      <c r="I350" s="5">
        <f>F350-SUMIFS(Pedidos!G:G, Pedidos!D:D, C350, Pedidos!E:E, E350, Pedidos!F:F, B350)</f>
        <v>10</v>
      </c>
      <c r="J350" s="10">
        <f t="shared" si="1"/>
        <v>8800</v>
      </c>
    </row>
    <row r="351" spans="1:10" ht="15.75" customHeight="1">
      <c r="A351" s="5" t="s">
        <v>420</v>
      </c>
      <c r="B351" s="6" t="s">
        <v>435</v>
      </c>
      <c r="C351" s="5" t="s">
        <v>424</v>
      </c>
      <c r="D351" s="7" t="s">
        <v>436</v>
      </c>
      <c r="E351" s="5">
        <v>2</v>
      </c>
      <c r="F351" s="8">
        <v>100</v>
      </c>
      <c r="G351" s="9">
        <v>46158.6</v>
      </c>
      <c r="H351" s="10">
        <f t="shared" si="0"/>
        <v>4615860</v>
      </c>
      <c r="I351" s="5">
        <f>F351-SUMIFS(Pedidos!G:G, Pedidos!D:D, C351, Pedidos!E:E, E351, Pedidos!F:F, B351)</f>
        <v>100</v>
      </c>
      <c r="J351" s="10">
        <f t="shared" si="1"/>
        <v>4615860</v>
      </c>
    </row>
    <row r="352" spans="1:10" ht="15.75" customHeight="1">
      <c r="A352" s="5" t="s">
        <v>420</v>
      </c>
      <c r="B352" s="6" t="s">
        <v>437</v>
      </c>
      <c r="C352" s="11" t="s">
        <v>62</v>
      </c>
      <c r="D352" s="5"/>
      <c r="E352" s="12" t="s">
        <v>63</v>
      </c>
      <c r="F352" s="8">
        <v>9</v>
      </c>
      <c r="G352" s="9">
        <v>109.53</v>
      </c>
      <c r="H352" s="10">
        <f t="shared" si="0"/>
        <v>985.77</v>
      </c>
      <c r="I352" s="5">
        <f>F352-SUMIFS(Pedidos!G:G, Pedidos!D:D, C352, Pedidos!E:E, E352, Pedidos!F:F, B352)</f>
        <v>9</v>
      </c>
      <c r="J352" s="10">
        <f t="shared" si="1"/>
        <v>985.77</v>
      </c>
    </row>
    <row r="353" spans="1:10" ht="15.75" customHeight="1">
      <c r="A353" s="5" t="s">
        <v>420</v>
      </c>
      <c r="B353" s="6" t="s">
        <v>438</v>
      </c>
      <c r="C353" s="11" t="s">
        <v>62</v>
      </c>
      <c r="D353" s="5"/>
      <c r="E353" s="12" t="s">
        <v>63</v>
      </c>
      <c r="F353" s="8">
        <v>9</v>
      </c>
      <c r="G353" s="9">
        <v>55.55</v>
      </c>
      <c r="H353" s="10">
        <f t="shared" si="0"/>
        <v>499.95</v>
      </c>
      <c r="I353" s="5">
        <f>F353-SUMIFS(Pedidos!G:G, Pedidos!D:D, C353, Pedidos!E:E, E353, Pedidos!F:F, B353)</f>
        <v>9</v>
      </c>
      <c r="J353" s="10">
        <f t="shared" si="1"/>
        <v>499.95</v>
      </c>
    </row>
    <row r="354" spans="1:10" ht="15.75" customHeight="1">
      <c r="A354" s="5" t="s">
        <v>420</v>
      </c>
      <c r="B354" s="6" t="s">
        <v>438</v>
      </c>
      <c r="C354" s="11" t="s">
        <v>68</v>
      </c>
      <c r="D354" s="5"/>
      <c r="E354" s="12" t="s">
        <v>63</v>
      </c>
      <c r="F354" s="8">
        <v>8</v>
      </c>
      <c r="G354" s="9">
        <v>480</v>
      </c>
      <c r="H354" s="10">
        <f t="shared" si="0"/>
        <v>3840</v>
      </c>
      <c r="I354" s="5">
        <f>F354-SUMIFS(Pedidos!G:G, Pedidos!D:D, C354, Pedidos!E:E, E354, Pedidos!F:F, B354)</f>
        <v>8</v>
      </c>
      <c r="J354" s="10">
        <f t="shared" si="1"/>
        <v>3840</v>
      </c>
    </row>
    <row r="355" spans="1:10" ht="15.75" customHeight="1">
      <c r="A355" s="5" t="s">
        <v>420</v>
      </c>
      <c r="B355" s="6" t="s">
        <v>439</v>
      </c>
      <c r="C355" s="5" t="s">
        <v>424</v>
      </c>
      <c r="D355" s="7" t="s">
        <v>440</v>
      </c>
      <c r="E355" s="5">
        <v>4</v>
      </c>
      <c r="F355" s="8">
        <v>40</v>
      </c>
      <c r="G355" s="9">
        <v>179169.76</v>
      </c>
      <c r="H355" s="10">
        <f t="shared" si="0"/>
        <v>7166790.4000000004</v>
      </c>
      <c r="I355" s="5">
        <f>F355-SUMIFS(Pedidos!G:G, Pedidos!D:D, C355, Pedidos!E:E, E355, Pedidos!F:F, B355)</f>
        <v>38</v>
      </c>
      <c r="J355" s="10">
        <f t="shared" si="1"/>
        <v>6808450.8800000008</v>
      </c>
    </row>
    <row r="356" spans="1:10" ht="15.75" customHeight="1">
      <c r="A356" s="5" t="s">
        <v>420</v>
      </c>
      <c r="B356" s="6" t="s">
        <v>441</v>
      </c>
      <c r="C356" s="5" t="s">
        <v>424</v>
      </c>
      <c r="D356" s="5" t="s">
        <v>440</v>
      </c>
      <c r="E356" s="5">
        <v>5</v>
      </c>
      <c r="F356" s="8">
        <v>40</v>
      </c>
      <c r="G356" s="9">
        <v>179763.4</v>
      </c>
      <c r="H356" s="10">
        <f t="shared" si="0"/>
        <v>7190536</v>
      </c>
      <c r="I356" s="5">
        <f>F356-SUMIFS(Pedidos!G:G, Pedidos!D:D, C356, Pedidos!E:E, E356, Pedidos!F:F, B356)</f>
        <v>40</v>
      </c>
      <c r="J356" s="10">
        <f t="shared" si="1"/>
        <v>7190536</v>
      </c>
    </row>
    <row r="357" spans="1:10" ht="15.75" customHeight="1">
      <c r="A357" s="5" t="s">
        <v>420</v>
      </c>
      <c r="B357" s="6" t="s">
        <v>441</v>
      </c>
      <c r="C357" s="5" t="s">
        <v>62</v>
      </c>
      <c r="D357" s="5" t="s">
        <v>440</v>
      </c>
      <c r="E357" s="5" t="s">
        <v>63</v>
      </c>
      <c r="F357" s="8">
        <v>1</v>
      </c>
      <c r="G357" s="9">
        <v>195596.51</v>
      </c>
      <c r="H357" s="10">
        <f t="shared" si="0"/>
        <v>195596.51</v>
      </c>
      <c r="I357" s="5">
        <f>F357-SUMIFS(Pedidos!G:G, Pedidos!D:D, C357, Pedidos!E:E, E357, Pedidos!F:F, B357)</f>
        <v>1</v>
      </c>
      <c r="J357" s="10">
        <f t="shared" si="1"/>
        <v>195596.51</v>
      </c>
    </row>
    <row r="358" spans="1:10" ht="15.75" customHeight="1">
      <c r="A358" s="5" t="s">
        <v>420</v>
      </c>
      <c r="B358" s="6" t="s">
        <v>442</v>
      </c>
      <c r="C358" s="5" t="s">
        <v>424</v>
      </c>
      <c r="D358" s="5" t="s">
        <v>443</v>
      </c>
      <c r="E358" s="5">
        <v>7</v>
      </c>
      <c r="F358" s="8">
        <v>20</v>
      </c>
      <c r="G358" s="9">
        <v>13198.5</v>
      </c>
      <c r="H358" s="10">
        <f t="shared" si="0"/>
        <v>263970</v>
      </c>
      <c r="I358" s="5">
        <f>F358-SUMIFS(Pedidos!G:G, Pedidos!D:D, C358, Pedidos!E:E, E358, Pedidos!F:F, B358)</f>
        <v>18</v>
      </c>
      <c r="J358" s="10">
        <f t="shared" si="1"/>
        <v>237573</v>
      </c>
    </row>
    <row r="359" spans="1:10" ht="15.75" customHeight="1">
      <c r="A359" s="5" t="s">
        <v>420</v>
      </c>
      <c r="B359" s="6" t="s">
        <v>444</v>
      </c>
      <c r="C359" s="11" t="s">
        <v>62</v>
      </c>
      <c r="D359" s="5"/>
      <c r="E359" s="12" t="s">
        <v>63</v>
      </c>
      <c r="F359" s="8">
        <v>12</v>
      </c>
      <c r="G359" s="9">
        <v>6.83</v>
      </c>
      <c r="H359" s="10">
        <f t="shared" si="0"/>
        <v>81.960000000000008</v>
      </c>
      <c r="I359" s="5">
        <f>F359-SUMIFS(Pedidos!G:G, Pedidos!D:D, C359, Pedidos!E:E, E359, Pedidos!F:F, B359)</f>
        <v>12</v>
      </c>
      <c r="J359" s="10">
        <f t="shared" si="1"/>
        <v>81.960000000000008</v>
      </c>
    </row>
    <row r="360" spans="1:10" ht="15.75" customHeight="1">
      <c r="A360" s="5" t="s">
        <v>420</v>
      </c>
      <c r="B360" s="6" t="s">
        <v>445</v>
      </c>
      <c r="C360" s="11" t="s">
        <v>62</v>
      </c>
      <c r="D360" s="5"/>
      <c r="E360" s="12" t="s">
        <v>63</v>
      </c>
      <c r="F360" s="8">
        <v>1</v>
      </c>
      <c r="G360" s="9">
        <v>23.2</v>
      </c>
      <c r="H360" s="10">
        <f t="shared" si="0"/>
        <v>23.2</v>
      </c>
      <c r="I360" s="5">
        <f>F360-SUMIFS(Pedidos!G:G, Pedidos!D:D, C360, Pedidos!E:E, E360, Pedidos!F:F, B360)</f>
        <v>1</v>
      </c>
      <c r="J360" s="10">
        <f t="shared" si="1"/>
        <v>23.2</v>
      </c>
    </row>
    <row r="361" spans="1:10" ht="15.75" customHeight="1">
      <c r="A361" s="5" t="s">
        <v>420</v>
      </c>
      <c r="B361" s="6" t="s">
        <v>446</v>
      </c>
      <c r="C361" s="5" t="s">
        <v>424</v>
      </c>
      <c r="D361" s="7" t="s">
        <v>447</v>
      </c>
      <c r="E361" s="5">
        <v>3</v>
      </c>
      <c r="F361" s="8">
        <v>20</v>
      </c>
      <c r="G361" s="9">
        <v>110239</v>
      </c>
      <c r="H361" s="10">
        <f t="shared" si="0"/>
        <v>2204780</v>
      </c>
      <c r="I361" s="5">
        <f>F361-SUMIFS(Pedidos!G:G, Pedidos!D:D, C361, Pedidos!E:E, E361, Pedidos!F:F, B361)</f>
        <v>20</v>
      </c>
      <c r="J361" s="10">
        <f t="shared" si="1"/>
        <v>2204780</v>
      </c>
    </row>
    <row r="362" spans="1:10" ht="15.75" customHeight="1">
      <c r="A362" s="5" t="s">
        <v>420</v>
      </c>
      <c r="B362" s="6" t="s">
        <v>448</v>
      </c>
      <c r="C362" s="5" t="s">
        <v>424</v>
      </c>
      <c r="D362" s="5" t="s">
        <v>449</v>
      </c>
      <c r="E362" s="5">
        <v>8</v>
      </c>
      <c r="F362" s="8">
        <v>20</v>
      </c>
      <c r="G362" s="9">
        <v>165538.17000000001</v>
      </c>
      <c r="H362" s="10">
        <f t="shared" si="0"/>
        <v>3310763.4000000004</v>
      </c>
      <c r="I362" s="5">
        <f>F362-SUMIFS(Pedidos!G:G, Pedidos!D:D, C362, Pedidos!E:E, E362, Pedidos!F:F, B362)</f>
        <v>19</v>
      </c>
      <c r="J362" s="10">
        <f t="shared" si="1"/>
        <v>3145225.2300000004</v>
      </c>
    </row>
    <row r="363" spans="1:10" ht="15.75" customHeight="1">
      <c r="A363" s="5" t="s">
        <v>420</v>
      </c>
      <c r="B363" s="6" t="s">
        <v>450</v>
      </c>
      <c r="C363" s="5" t="s">
        <v>424</v>
      </c>
      <c r="D363" s="5" t="s">
        <v>449</v>
      </c>
      <c r="E363" s="5">
        <v>9</v>
      </c>
      <c r="F363" s="8">
        <v>20</v>
      </c>
      <c r="G363" s="9">
        <v>122998.15</v>
      </c>
      <c r="H363" s="10">
        <f t="shared" si="0"/>
        <v>2459963</v>
      </c>
      <c r="I363" s="5">
        <f>F363-SUMIFS(Pedidos!G:G, Pedidos!D:D, C363, Pedidos!E:E, E363, Pedidos!F:F, B363)</f>
        <v>20</v>
      </c>
      <c r="J363" s="10">
        <f t="shared" si="1"/>
        <v>2459963</v>
      </c>
    </row>
    <row r="364" spans="1:10" ht="15.75" customHeight="1">
      <c r="A364" s="5" t="s">
        <v>420</v>
      </c>
      <c r="B364" s="6" t="s">
        <v>451</v>
      </c>
      <c r="C364" s="11" t="s">
        <v>62</v>
      </c>
      <c r="D364" s="5"/>
      <c r="E364" s="12" t="s">
        <v>63</v>
      </c>
      <c r="F364" s="8">
        <v>3</v>
      </c>
      <c r="G364" s="9">
        <v>106174</v>
      </c>
      <c r="H364" s="10">
        <f t="shared" si="0"/>
        <v>318522</v>
      </c>
      <c r="I364" s="5">
        <f>F364-SUMIFS(Pedidos!G:G, Pedidos!D:D, C364, Pedidos!E:E, E364, Pedidos!F:F, B364)</f>
        <v>3</v>
      </c>
      <c r="J364" s="10">
        <f t="shared" si="1"/>
        <v>318522</v>
      </c>
    </row>
    <row r="365" spans="1:10" ht="15.75" customHeight="1">
      <c r="A365" s="5" t="s">
        <v>420</v>
      </c>
      <c r="B365" s="6" t="s">
        <v>452</v>
      </c>
      <c r="C365" s="11" t="s">
        <v>62</v>
      </c>
      <c r="D365" s="5"/>
      <c r="E365" s="12" t="s">
        <v>63</v>
      </c>
      <c r="F365" s="8">
        <v>28</v>
      </c>
      <c r="G365" s="9">
        <v>1959</v>
      </c>
      <c r="H365" s="10">
        <f t="shared" si="0"/>
        <v>54852</v>
      </c>
      <c r="I365" s="5">
        <f>F365-SUMIFS(Pedidos!G:G, Pedidos!D:D, C365, Pedidos!E:E, E365, Pedidos!F:F, B365)</f>
        <v>28</v>
      </c>
      <c r="J365" s="10">
        <f t="shared" si="1"/>
        <v>54852</v>
      </c>
    </row>
    <row r="366" spans="1:10" ht="15.75" customHeight="1">
      <c r="A366" s="5" t="s">
        <v>420</v>
      </c>
      <c r="B366" s="6" t="s">
        <v>453</v>
      </c>
      <c r="C366" s="5" t="s">
        <v>454</v>
      </c>
      <c r="D366" s="7" t="s">
        <v>455</v>
      </c>
      <c r="E366" s="5">
        <v>11</v>
      </c>
      <c r="F366" s="8">
        <v>500</v>
      </c>
      <c r="G366" s="9">
        <v>523</v>
      </c>
      <c r="H366" s="10">
        <f t="shared" si="0"/>
        <v>261500</v>
      </c>
      <c r="I366" s="5">
        <f>F366-SUMIFS(Pedidos!G:G, Pedidos!D:D, C366, Pedidos!E:E, E366, Pedidos!F:F, B366)</f>
        <v>500</v>
      </c>
      <c r="J366" s="10">
        <f t="shared" si="1"/>
        <v>261500</v>
      </c>
    </row>
    <row r="367" spans="1:10" ht="15.75" customHeight="1">
      <c r="A367" s="5" t="s">
        <v>420</v>
      </c>
      <c r="B367" s="6" t="s">
        <v>453</v>
      </c>
      <c r="C367" s="5" t="s">
        <v>62</v>
      </c>
      <c r="D367" s="5" t="s">
        <v>455</v>
      </c>
      <c r="E367" s="5" t="s">
        <v>63</v>
      </c>
      <c r="F367" s="8">
        <v>29</v>
      </c>
      <c r="G367" s="9">
        <v>1330</v>
      </c>
      <c r="H367" s="10">
        <f t="shared" si="0"/>
        <v>38570</v>
      </c>
      <c r="I367" s="5">
        <f>F367-SUMIFS(Pedidos!G:G, Pedidos!D:D, C367, Pedidos!E:E, E367, Pedidos!F:F, B367)</f>
        <v>29</v>
      </c>
      <c r="J367" s="10">
        <f t="shared" si="1"/>
        <v>38570</v>
      </c>
    </row>
    <row r="368" spans="1:10" ht="15.75" customHeight="1">
      <c r="A368" s="5" t="s">
        <v>420</v>
      </c>
      <c r="B368" s="6" t="s">
        <v>456</v>
      </c>
      <c r="C368" s="5" t="s">
        <v>454</v>
      </c>
      <c r="D368" s="5" t="s">
        <v>457</v>
      </c>
      <c r="E368" s="5">
        <v>12</v>
      </c>
      <c r="F368" s="8">
        <v>500</v>
      </c>
      <c r="G368" s="9">
        <v>523</v>
      </c>
      <c r="H368" s="10">
        <f t="shared" si="0"/>
        <v>261500</v>
      </c>
      <c r="I368" s="5">
        <f>F368-SUMIFS(Pedidos!G:G, Pedidos!D:D, C368, Pedidos!E:E, E368, Pedidos!F:F, B368)</f>
        <v>375</v>
      </c>
      <c r="J368" s="10">
        <f t="shared" si="1"/>
        <v>196125</v>
      </c>
    </row>
    <row r="369" spans="1:10" ht="15.75" customHeight="1">
      <c r="A369" s="5" t="s">
        <v>420</v>
      </c>
      <c r="B369" s="6" t="s">
        <v>458</v>
      </c>
      <c r="C369" s="5" t="s">
        <v>454</v>
      </c>
      <c r="D369" s="5" t="s">
        <v>459</v>
      </c>
      <c r="E369" s="5">
        <v>13</v>
      </c>
      <c r="F369" s="8">
        <v>500</v>
      </c>
      <c r="G369" s="9">
        <v>523</v>
      </c>
      <c r="H369" s="10">
        <f t="shared" si="0"/>
        <v>261500</v>
      </c>
      <c r="I369" s="5">
        <f>F369-SUMIFS(Pedidos!G:G, Pedidos!D:D, C369, Pedidos!E:E, E369, Pedidos!F:F, B369)</f>
        <v>427</v>
      </c>
      <c r="J369" s="10">
        <f t="shared" si="1"/>
        <v>223321</v>
      </c>
    </row>
    <row r="370" spans="1:10" ht="15.75" customHeight="1">
      <c r="A370" s="5" t="s">
        <v>420</v>
      </c>
      <c r="B370" s="6" t="s">
        <v>460</v>
      </c>
      <c r="C370" s="5" t="s">
        <v>424</v>
      </c>
      <c r="D370" s="5" t="s">
        <v>461</v>
      </c>
      <c r="E370" s="5">
        <v>15</v>
      </c>
      <c r="F370" s="8">
        <v>200</v>
      </c>
      <c r="G370" s="9">
        <v>18389.400000000001</v>
      </c>
      <c r="H370" s="10">
        <f t="shared" si="0"/>
        <v>3677880.0000000005</v>
      </c>
      <c r="I370" s="5">
        <f>F370-SUMIFS(Pedidos!G:G, Pedidos!D:D, C370, Pedidos!E:E, E370, Pedidos!F:F, B370)</f>
        <v>167</v>
      </c>
      <c r="J370" s="10">
        <f t="shared" si="1"/>
        <v>3071029.8000000003</v>
      </c>
    </row>
    <row r="371" spans="1:10" ht="15.75" customHeight="1">
      <c r="A371" s="5" t="s">
        <v>420</v>
      </c>
      <c r="B371" s="6" t="s">
        <v>462</v>
      </c>
      <c r="C371" s="5" t="s">
        <v>424</v>
      </c>
      <c r="D371" s="5" t="s">
        <v>463</v>
      </c>
      <c r="E371" s="5">
        <v>16</v>
      </c>
      <c r="F371" s="8">
        <v>200</v>
      </c>
      <c r="G371" s="9">
        <v>24703.9</v>
      </c>
      <c r="H371" s="10">
        <f t="shared" si="0"/>
        <v>4940780</v>
      </c>
      <c r="I371" s="5">
        <f>F371-SUMIFS(Pedidos!G:G, Pedidos!D:D, C371, Pedidos!E:E, E371, Pedidos!F:F, B371)</f>
        <v>177</v>
      </c>
      <c r="J371" s="10">
        <f t="shared" si="1"/>
        <v>4372590.3</v>
      </c>
    </row>
    <row r="372" spans="1:10" ht="15.75" customHeight="1">
      <c r="A372" s="5" t="s">
        <v>420</v>
      </c>
      <c r="B372" s="6" t="s">
        <v>464</v>
      </c>
      <c r="C372" s="5" t="s">
        <v>424</v>
      </c>
      <c r="D372" s="5" t="s">
        <v>465</v>
      </c>
      <c r="E372" s="5">
        <v>17</v>
      </c>
      <c r="F372" s="8">
        <v>200</v>
      </c>
      <c r="G372" s="9">
        <v>12357.61</v>
      </c>
      <c r="H372" s="10">
        <f t="shared" si="0"/>
        <v>2471522</v>
      </c>
      <c r="I372" s="5">
        <f>F372-SUMIFS(Pedidos!G:G, Pedidos!D:D, C372, Pedidos!E:E, E372, Pedidos!F:F, B372)</f>
        <v>189</v>
      </c>
      <c r="J372" s="10">
        <f t="shared" si="1"/>
        <v>2335588.29</v>
      </c>
    </row>
    <row r="373" spans="1:10" ht="15.75" customHeight="1">
      <c r="A373" s="5" t="s">
        <v>420</v>
      </c>
      <c r="B373" s="6" t="s">
        <v>466</v>
      </c>
      <c r="C373" s="5" t="s">
        <v>454</v>
      </c>
      <c r="D373" s="5" t="s">
        <v>467</v>
      </c>
      <c r="E373" s="5">
        <v>14</v>
      </c>
      <c r="F373" s="8">
        <v>100</v>
      </c>
      <c r="G373" s="9">
        <v>7990</v>
      </c>
      <c r="H373" s="10">
        <f t="shared" si="0"/>
        <v>799000</v>
      </c>
      <c r="I373" s="5">
        <f>F373-SUMIFS(Pedidos!G:G, Pedidos!D:D, C373, Pedidos!E:E, E373, Pedidos!F:F, B373)</f>
        <v>93</v>
      </c>
      <c r="J373" s="10">
        <f t="shared" si="1"/>
        <v>743070</v>
      </c>
    </row>
    <row r="374" spans="1:10" ht="15.75" customHeight="1">
      <c r="A374" s="5" t="s">
        <v>420</v>
      </c>
      <c r="B374" s="6" t="s">
        <v>468</v>
      </c>
      <c r="C374" s="11" t="s">
        <v>62</v>
      </c>
      <c r="D374" s="5"/>
      <c r="E374" s="12" t="s">
        <v>63</v>
      </c>
      <c r="F374" s="8">
        <v>3</v>
      </c>
      <c r="G374" s="9">
        <v>329</v>
      </c>
      <c r="H374" s="10">
        <f t="shared" si="0"/>
        <v>987</v>
      </c>
      <c r="I374" s="5">
        <f>F374-SUMIFS(Pedidos!G:G, Pedidos!D:D, C374, Pedidos!E:E, E374, Pedidos!F:F, B374)</f>
        <v>3</v>
      </c>
      <c r="J374" s="10">
        <f t="shared" si="1"/>
        <v>987</v>
      </c>
    </row>
    <row r="375" spans="1:10" ht="15.75" customHeight="1">
      <c r="A375" s="5" t="s">
        <v>420</v>
      </c>
      <c r="B375" s="6" t="s">
        <v>469</v>
      </c>
      <c r="C375" s="5" t="s">
        <v>424</v>
      </c>
      <c r="D375" s="7" t="s">
        <v>470</v>
      </c>
      <c r="E375" s="5">
        <v>18</v>
      </c>
      <c r="F375" s="8">
        <v>200</v>
      </c>
      <c r="G375" s="9">
        <v>14137</v>
      </c>
      <c r="H375" s="10">
        <f t="shared" si="0"/>
        <v>2827400</v>
      </c>
      <c r="I375" s="5">
        <f>F375-SUMIFS(Pedidos!G:G, Pedidos!D:D, C375, Pedidos!E:E, E375, Pedidos!F:F, B375)</f>
        <v>167</v>
      </c>
      <c r="J375" s="10">
        <f t="shared" si="1"/>
        <v>2360879</v>
      </c>
    </row>
    <row r="376" spans="1:10" ht="15.75" customHeight="1">
      <c r="A376" s="5" t="s">
        <v>420</v>
      </c>
      <c r="B376" s="6" t="s">
        <v>471</v>
      </c>
      <c r="C376" s="11" t="s">
        <v>62</v>
      </c>
      <c r="D376" s="5"/>
      <c r="E376" s="12" t="s">
        <v>63</v>
      </c>
      <c r="F376" s="8">
        <v>156</v>
      </c>
      <c r="G376" s="9">
        <v>2.95</v>
      </c>
      <c r="H376" s="10">
        <f t="shared" si="0"/>
        <v>460.20000000000005</v>
      </c>
      <c r="I376" s="5">
        <f>F376-SUMIFS(Pedidos!G:G, Pedidos!D:D, C376, Pedidos!E:E, E376, Pedidos!F:F, B376)</f>
        <v>156</v>
      </c>
      <c r="J376" s="10">
        <f t="shared" si="1"/>
        <v>460.20000000000005</v>
      </c>
    </row>
    <row r="377" spans="1:10" ht="15.75" customHeight="1">
      <c r="A377" s="5" t="s">
        <v>420</v>
      </c>
      <c r="B377" s="6" t="s">
        <v>472</v>
      </c>
      <c r="C377" s="11" t="s">
        <v>62</v>
      </c>
      <c r="D377" s="5"/>
      <c r="E377" s="12" t="s">
        <v>63</v>
      </c>
      <c r="F377" s="8">
        <v>10</v>
      </c>
      <c r="G377" s="9">
        <v>6.5</v>
      </c>
      <c r="H377" s="10">
        <f t="shared" si="0"/>
        <v>65</v>
      </c>
      <c r="I377" s="5">
        <f>F377-SUMIFS(Pedidos!G:G, Pedidos!D:D, C377, Pedidos!E:E, E377, Pedidos!F:F, B377)</f>
        <v>10</v>
      </c>
      <c r="J377" s="10">
        <f t="shared" si="1"/>
        <v>65</v>
      </c>
    </row>
    <row r="378" spans="1:10" ht="15.75" customHeight="1">
      <c r="A378" s="5" t="s">
        <v>473</v>
      </c>
      <c r="B378" s="6" t="s">
        <v>474</v>
      </c>
      <c r="C378" s="11" t="s">
        <v>62</v>
      </c>
      <c r="D378" s="5"/>
      <c r="E378" s="14" t="s">
        <v>63</v>
      </c>
      <c r="F378" s="8">
        <v>64</v>
      </c>
      <c r="G378" s="9">
        <v>3985</v>
      </c>
      <c r="H378" s="10">
        <f t="shared" si="0"/>
        <v>255040</v>
      </c>
      <c r="I378" s="5">
        <f>F378-SUMIFS(Pedidos!G:G, Pedidos!D:D, C378, Pedidos!E:E, E378, Pedidos!F:F, B378)</f>
        <v>59</v>
      </c>
      <c r="J378" s="10">
        <f t="shared" si="1"/>
        <v>235115</v>
      </c>
    </row>
    <row r="379" spans="1:10" ht="15.75" customHeight="1">
      <c r="A379" s="5" t="s">
        <v>473</v>
      </c>
      <c r="B379" s="6" t="s">
        <v>475</v>
      </c>
      <c r="C379" s="11" t="s">
        <v>62</v>
      </c>
      <c r="D379" s="5"/>
      <c r="E379" s="14" t="s">
        <v>63</v>
      </c>
      <c r="F379" s="8">
        <v>67</v>
      </c>
      <c r="G379" s="9">
        <v>1175.5999999999999</v>
      </c>
      <c r="H379" s="10">
        <f t="shared" si="0"/>
        <v>78765.2</v>
      </c>
      <c r="I379" s="5">
        <f>F379-SUMIFS(Pedidos!G:G, Pedidos!D:D, C379, Pedidos!E:E, E379, Pedidos!F:F, B379)</f>
        <v>58</v>
      </c>
      <c r="J379" s="10">
        <f t="shared" si="1"/>
        <v>68184.799999999988</v>
      </c>
    </row>
    <row r="380" spans="1:10" ht="15.75" customHeight="1">
      <c r="A380" s="5" t="s">
        <v>473</v>
      </c>
      <c r="B380" s="6" t="s">
        <v>476</v>
      </c>
      <c r="C380" s="11" t="s">
        <v>62</v>
      </c>
      <c r="D380" s="5"/>
      <c r="E380" s="14" t="s">
        <v>63</v>
      </c>
      <c r="F380" s="8">
        <v>4</v>
      </c>
      <c r="G380" s="9">
        <v>8975</v>
      </c>
      <c r="H380" s="10">
        <f t="shared" si="0"/>
        <v>35900</v>
      </c>
      <c r="I380" s="5">
        <f>F380-SUMIFS(Pedidos!G:G, Pedidos!D:D, C380, Pedidos!E:E, E380, Pedidos!F:F, B380)</f>
        <v>4</v>
      </c>
      <c r="J380" s="10">
        <f t="shared" si="1"/>
        <v>35900</v>
      </c>
    </row>
    <row r="381" spans="1:10" ht="15.75" customHeight="1">
      <c r="A381" s="5" t="s">
        <v>473</v>
      </c>
      <c r="B381" s="6" t="s">
        <v>477</v>
      </c>
      <c r="C381" s="11" t="s">
        <v>62</v>
      </c>
      <c r="D381" s="5"/>
      <c r="E381" s="14" t="s">
        <v>63</v>
      </c>
      <c r="F381" s="8">
        <v>74</v>
      </c>
      <c r="G381" s="9">
        <v>2870</v>
      </c>
      <c r="H381" s="10">
        <f t="shared" si="0"/>
        <v>212380</v>
      </c>
      <c r="I381" s="5">
        <f>F381-SUMIFS(Pedidos!G:G, Pedidos!D:D, C381, Pedidos!E:E, E381, Pedidos!F:F, B381)</f>
        <v>60</v>
      </c>
      <c r="J381" s="10">
        <f t="shared" si="1"/>
        <v>172200</v>
      </c>
    </row>
    <row r="382" spans="1:10" ht="15.75" customHeight="1">
      <c r="A382" s="5" t="s">
        <v>473</v>
      </c>
      <c r="B382" s="6" t="s">
        <v>478</v>
      </c>
      <c r="C382" s="5" t="s">
        <v>479</v>
      </c>
      <c r="D382" s="7" t="s">
        <v>480</v>
      </c>
      <c r="E382" s="15">
        <v>1</v>
      </c>
      <c r="F382" s="8">
        <v>100</v>
      </c>
      <c r="G382" s="9">
        <v>384.94</v>
      </c>
      <c r="H382" s="10">
        <f t="shared" si="0"/>
        <v>38494</v>
      </c>
      <c r="I382" s="5">
        <f>F382-SUMIFS(Pedidos!G:G, Pedidos!D:D, C382, Pedidos!E:E, E382, Pedidos!F:F, B382)</f>
        <v>100</v>
      </c>
      <c r="J382" s="10">
        <f t="shared" si="1"/>
        <v>38494</v>
      </c>
    </row>
    <row r="383" spans="1:10" ht="15.75" customHeight="1">
      <c r="A383" s="5" t="s">
        <v>473</v>
      </c>
      <c r="B383" s="6" t="s">
        <v>481</v>
      </c>
      <c r="C383" s="11" t="s">
        <v>62</v>
      </c>
      <c r="D383" s="5"/>
      <c r="E383" s="14" t="s">
        <v>63</v>
      </c>
      <c r="F383" s="8">
        <v>117</v>
      </c>
      <c r="G383" s="9">
        <v>298</v>
      </c>
      <c r="H383" s="10">
        <f t="shared" si="0"/>
        <v>34866</v>
      </c>
      <c r="I383" s="5">
        <f>F383-SUMIFS(Pedidos!G:G, Pedidos!D:D, C383, Pedidos!E:E, E383, Pedidos!F:F, B383)</f>
        <v>94</v>
      </c>
      <c r="J383" s="10">
        <f t="shared" si="1"/>
        <v>28012</v>
      </c>
    </row>
    <row r="384" spans="1:10" ht="15.75" customHeight="1">
      <c r="A384" s="5" t="s">
        <v>473</v>
      </c>
      <c r="B384" s="6" t="s">
        <v>482</v>
      </c>
      <c r="C384" s="11" t="s">
        <v>62</v>
      </c>
      <c r="D384" s="5"/>
      <c r="E384" s="14" t="s">
        <v>63</v>
      </c>
      <c r="F384" s="8">
        <v>281</v>
      </c>
      <c r="G384" s="9">
        <v>13.6</v>
      </c>
      <c r="H384" s="10">
        <f t="shared" si="0"/>
        <v>3821.6</v>
      </c>
      <c r="I384" s="5">
        <f>F384-SUMIFS(Pedidos!G:G, Pedidos!D:D, C384, Pedidos!E:E, E384, Pedidos!F:F, B384)</f>
        <v>238</v>
      </c>
      <c r="J384" s="10">
        <f t="shared" si="1"/>
        <v>3236.7999999999997</v>
      </c>
    </row>
    <row r="385" spans="1:10" ht="15.75" customHeight="1">
      <c r="A385" s="5" t="s">
        <v>473</v>
      </c>
      <c r="B385" s="6" t="s">
        <v>483</v>
      </c>
      <c r="C385" s="11" t="s">
        <v>62</v>
      </c>
      <c r="D385" s="5"/>
      <c r="E385" s="14" t="s">
        <v>63</v>
      </c>
      <c r="F385" s="8">
        <v>325</v>
      </c>
      <c r="G385" s="9">
        <v>14.6</v>
      </c>
      <c r="H385" s="10">
        <f t="shared" si="0"/>
        <v>4745</v>
      </c>
      <c r="I385" s="5">
        <f>F385-SUMIFS(Pedidos!G:G, Pedidos!D:D, C385, Pedidos!E:E, E385, Pedidos!F:F, B385)</f>
        <v>304</v>
      </c>
      <c r="J385" s="10">
        <f t="shared" si="1"/>
        <v>4438.3999999999996</v>
      </c>
    </row>
    <row r="386" spans="1:10" ht="15.75" customHeight="1">
      <c r="A386" s="5" t="s">
        <v>473</v>
      </c>
      <c r="B386" s="6" t="s">
        <v>484</v>
      </c>
      <c r="C386" s="11" t="s">
        <v>62</v>
      </c>
      <c r="D386" s="5"/>
      <c r="E386" s="14" t="s">
        <v>63</v>
      </c>
      <c r="F386" s="8">
        <v>94</v>
      </c>
      <c r="G386" s="9">
        <v>384.94</v>
      </c>
      <c r="H386" s="10">
        <f t="shared" si="0"/>
        <v>36184.36</v>
      </c>
      <c r="I386" s="5">
        <f>F386-SUMIFS(Pedidos!G:G, Pedidos!D:D, C386, Pedidos!E:E, E386, Pedidos!F:F, B386)</f>
        <v>70</v>
      </c>
      <c r="J386" s="10">
        <f t="shared" si="1"/>
        <v>26945.8</v>
      </c>
    </row>
    <row r="387" spans="1:10" ht="15.75" customHeight="1">
      <c r="A387" s="5" t="s">
        <v>473</v>
      </c>
      <c r="B387" s="6" t="s">
        <v>485</v>
      </c>
      <c r="C387" s="11" t="s">
        <v>62</v>
      </c>
      <c r="D387" s="5"/>
      <c r="E387" s="14" t="s">
        <v>63</v>
      </c>
      <c r="F387" s="8">
        <v>53</v>
      </c>
      <c r="G387" s="9">
        <v>17.8</v>
      </c>
      <c r="H387" s="10">
        <f t="shared" si="0"/>
        <v>943.40000000000009</v>
      </c>
      <c r="I387" s="5">
        <f>F387-SUMIFS(Pedidos!G:G, Pedidos!D:D, C387, Pedidos!E:E, E387, Pedidos!F:F, B387)</f>
        <v>53</v>
      </c>
      <c r="J387" s="10">
        <f t="shared" si="1"/>
        <v>943.40000000000009</v>
      </c>
    </row>
    <row r="388" spans="1:10" ht="15.75" customHeight="1">
      <c r="A388" s="5" t="s">
        <v>473</v>
      </c>
      <c r="B388" s="6" t="s">
        <v>486</v>
      </c>
      <c r="C388" s="11" t="s">
        <v>62</v>
      </c>
      <c r="D388" s="5"/>
      <c r="E388" s="14" t="s">
        <v>63</v>
      </c>
      <c r="F388" s="8">
        <v>423</v>
      </c>
      <c r="G388" s="9">
        <v>1966.7</v>
      </c>
      <c r="H388" s="10">
        <f t="shared" si="0"/>
        <v>831914.1</v>
      </c>
      <c r="I388" s="5">
        <f>F388-SUMIFS(Pedidos!G:G, Pedidos!D:D, C388, Pedidos!E:E, E388, Pedidos!F:F, B388)</f>
        <v>330</v>
      </c>
      <c r="J388" s="10">
        <f t="shared" si="1"/>
        <v>649011</v>
      </c>
    </row>
    <row r="389" spans="1:10" ht="15.75" customHeight="1">
      <c r="A389" s="5" t="s">
        <v>473</v>
      </c>
      <c r="B389" s="6" t="s">
        <v>487</v>
      </c>
      <c r="C389" s="11" t="s">
        <v>62</v>
      </c>
      <c r="D389" s="5"/>
      <c r="E389" s="14" t="s">
        <v>63</v>
      </c>
      <c r="F389" s="8">
        <v>41</v>
      </c>
      <c r="G389" s="9">
        <v>98.8</v>
      </c>
      <c r="H389" s="10">
        <f t="shared" si="0"/>
        <v>4050.7999999999997</v>
      </c>
      <c r="I389" s="5">
        <f>F389-SUMIFS(Pedidos!G:G, Pedidos!D:D, C389, Pedidos!E:E, E389, Pedidos!F:F, B389)</f>
        <v>41</v>
      </c>
      <c r="J389" s="10">
        <f t="shared" si="1"/>
        <v>4050.7999999999997</v>
      </c>
    </row>
    <row r="390" spans="1:10" ht="15.75" customHeight="1">
      <c r="A390" s="5" t="s">
        <v>473</v>
      </c>
      <c r="B390" s="6" t="s">
        <v>488</v>
      </c>
      <c r="C390" s="5" t="s">
        <v>489</v>
      </c>
      <c r="D390" s="7" t="s">
        <v>490</v>
      </c>
      <c r="E390" s="15">
        <v>2</v>
      </c>
      <c r="F390" s="8">
        <v>100</v>
      </c>
      <c r="G390" s="9">
        <v>4317.66</v>
      </c>
      <c r="H390" s="10">
        <f t="shared" si="0"/>
        <v>431766</v>
      </c>
      <c r="I390" s="5">
        <f>F390-SUMIFS(Pedidos!G:G, Pedidos!D:D, C390, Pedidos!E:E, E390, Pedidos!F:F, B390)</f>
        <v>67</v>
      </c>
      <c r="J390" s="10">
        <f t="shared" si="1"/>
        <v>289283.21999999997</v>
      </c>
    </row>
    <row r="391" spans="1:10" ht="15.75" customHeight="1">
      <c r="A391" s="5" t="s">
        <v>473</v>
      </c>
      <c r="B391" s="6" t="s">
        <v>491</v>
      </c>
      <c r="C391" s="5" t="s">
        <v>479</v>
      </c>
      <c r="D391" s="5" t="s">
        <v>492</v>
      </c>
      <c r="E391" s="15">
        <v>3</v>
      </c>
      <c r="F391" s="8">
        <v>100</v>
      </c>
      <c r="G391" s="9">
        <v>2793.28</v>
      </c>
      <c r="H391" s="10">
        <f t="shared" si="0"/>
        <v>279328</v>
      </c>
      <c r="I391" s="5">
        <f>F391-SUMIFS(Pedidos!G:G, Pedidos!D:D, C391, Pedidos!E:E, E391, Pedidos!F:F, B391)</f>
        <v>76</v>
      </c>
      <c r="J391" s="10">
        <f t="shared" si="1"/>
        <v>212289.28000000003</v>
      </c>
    </row>
    <row r="392" spans="1:10" ht="15.75" customHeight="1">
      <c r="A392" s="5" t="s">
        <v>473</v>
      </c>
      <c r="B392" s="6" t="s">
        <v>493</v>
      </c>
      <c r="C392" s="5" t="s">
        <v>479</v>
      </c>
      <c r="D392" s="5" t="s">
        <v>494</v>
      </c>
      <c r="E392" s="15">
        <v>4</v>
      </c>
      <c r="F392" s="8">
        <v>100</v>
      </c>
      <c r="G392" s="9">
        <v>2793.28</v>
      </c>
      <c r="H392" s="10">
        <f t="shared" si="0"/>
        <v>279328</v>
      </c>
      <c r="I392" s="5">
        <f>F392-SUMIFS(Pedidos!G:G, Pedidos!D:D, C392, Pedidos!E:E, E392, Pedidos!F:F, B392)</f>
        <v>76</v>
      </c>
      <c r="J392" s="10">
        <f t="shared" si="1"/>
        <v>212289.28000000003</v>
      </c>
    </row>
    <row r="393" spans="1:10" ht="15.75" customHeight="1">
      <c r="A393" s="5" t="s">
        <v>473</v>
      </c>
      <c r="B393" s="6" t="s">
        <v>495</v>
      </c>
      <c r="C393" s="5" t="s">
        <v>479</v>
      </c>
      <c r="D393" s="5" t="s">
        <v>496</v>
      </c>
      <c r="E393" s="15">
        <v>5</v>
      </c>
      <c r="F393" s="8">
        <v>1000</v>
      </c>
      <c r="G393" s="9">
        <v>104.28</v>
      </c>
      <c r="H393" s="10">
        <f t="shared" si="0"/>
        <v>104280</v>
      </c>
      <c r="I393" s="5">
        <f>F393-SUMIFS(Pedidos!G:G, Pedidos!D:D, C393, Pedidos!E:E, E393, Pedidos!F:F, B393)</f>
        <v>330</v>
      </c>
      <c r="J393" s="10">
        <f t="shared" si="1"/>
        <v>34412.400000000001</v>
      </c>
    </row>
    <row r="394" spans="1:10" ht="15.75" customHeight="1">
      <c r="A394" s="5" t="s">
        <v>473</v>
      </c>
      <c r="B394" s="6" t="s">
        <v>497</v>
      </c>
      <c r="C394" s="11" t="s">
        <v>62</v>
      </c>
      <c r="D394" s="5"/>
      <c r="E394" s="14" t="s">
        <v>63</v>
      </c>
      <c r="F394" s="8">
        <v>1569</v>
      </c>
      <c r="G394" s="9">
        <v>59.38</v>
      </c>
      <c r="H394" s="10">
        <f t="shared" si="0"/>
        <v>93167.22</v>
      </c>
      <c r="I394" s="5">
        <f>F394-SUMIFS(Pedidos!G:G, Pedidos!D:D, C394, Pedidos!E:E, E394, Pedidos!F:F, B394)</f>
        <v>1160</v>
      </c>
      <c r="J394" s="10">
        <f t="shared" si="1"/>
        <v>68880.800000000003</v>
      </c>
    </row>
    <row r="395" spans="1:10" ht="15.75" customHeight="1">
      <c r="A395" s="5" t="s">
        <v>473</v>
      </c>
      <c r="B395" s="6" t="s">
        <v>498</v>
      </c>
      <c r="C395" s="5" t="s">
        <v>479</v>
      </c>
      <c r="D395" s="7" t="s">
        <v>496</v>
      </c>
      <c r="E395" s="15">
        <v>6</v>
      </c>
      <c r="F395" s="8">
        <v>500</v>
      </c>
      <c r="G395" s="9">
        <v>104.28</v>
      </c>
      <c r="H395" s="10">
        <f t="shared" si="0"/>
        <v>52140</v>
      </c>
      <c r="I395" s="5">
        <f>F395-SUMIFS(Pedidos!G:G, Pedidos!D:D, C395, Pedidos!E:E, E395, Pedidos!F:F, B395)</f>
        <v>500</v>
      </c>
      <c r="J395" s="10">
        <f t="shared" si="1"/>
        <v>52140</v>
      </c>
    </row>
    <row r="396" spans="1:10" ht="15.75" customHeight="1">
      <c r="A396" s="5" t="s">
        <v>473</v>
      </c>
      <c r="B396" s="6" t="s">
        <v>498</v>
      </c>
      <c r="C396" s="5" t="s">
        <v>62</v>
      </c>
      <c r="D396" s="5" t="s">
        <v>496</v>
      </c>
      <c r="E396" s="15" t="s">
        <v>63</v>
      </c>
      <c r="F396" s="8">
        <v>498</v>
      </c>
      <c r="G396" s="9">
        <v>59.3</v>
      </c>
      <c r="H396" s="10">
        <f t="shared" si="0"/>
        <v>29531.399999999998</v>
      </c>
      <c r="I396" s="5">
        <f>F396-SUMIFS(Pedidos!G:G, Pedidos!D:D, C396, Pedidos!E:E, E396, Pedidos!F:F, B396)</f>
        <v>384</v>
      </c>
      <c r="J396" s="10">
        <f t="shared" si="1"/>
        <v>22771.199999999997</v>
      </c>
    </row>
    <row r="397" spans="1:10" ht="15.75" customHeight="1">
      <c r="A397" s="5" t="s">
        <v>473</v>
      </c>
      <c r="B397" s="6" t="s">
        <v>499</v>
      </c>
      <c r="C397" s="11" t="s">
        <v>62</v>
      </c>
      <c r="D397" s="5"/>
      <c r="E397" s="14" t="s">
        <v>63</v>
      </c>
      <c r="F397" s="8">
        <v>429</v>
      </c>
      <c r="G397" s="9">
        <v>9.27</v>
      </c>
      <c r="H397" s="10">
        <f t="shared" si="0"/>
        <v>3976.83</v>
      </c>
      <c r="I397" s="5">
        <f>F397-SUMIFS(Pedidos!G:G, Pedidos!D:D, C397, Pedidos!E:E, E397, Pedidos!F:F, B397)</f>
        <v>349</v>
      </c>
      <c r="J397" s="10">
        <f t="shared" si="1"/>
        <v>3235.23</v>
      </c>
    </row>
    <row r="398" spans="1:10" ht="15.75" customHeight="1">
      <c r="A398" s="5" t="s">
        <v>473</v>
      </c>
      <c r="B398" s="6" t="s">
        <v>499</v>
      </c>
      <c r="C398" s="11" t="s">
        <v>68</v>
      </c>
      <c r="D398" s="5"/>
      <c r="E398" s="14" t="s">
        <v>63</v>
      </c>
      <c r="F398" s="8">
        <v>750</v>
      </c>
      <c r="G398" s="9">
        <v>54</v>
      </c>
      <c r="H398" s="10">
        <f t="shared" si="0"/>
        <v>40500</v>
      </c>
      <c r="I398" s="5">
        <f>F398-SUMIFS(Pedidos!G:G, Pedidos!D:D, C398, Pedidos!E:E, E398, Pedidos!F:F, B398)</f>
        <v>750</v>
      </c>
      <c r="J398" s="10">
        <f t="shared" si="1"/>
        <v>40500</v>
      </c>
    </row>
    <row r="399" spans="1:10" ht="15.75" customHeight="1">
      <c r="A399" s="5" t="s">
        <v>473</v>
      </c>
      <c r="B399" s="6" t="s">
        <v>500</v>
      </c>
      <c r="C399" s="11" t="s">
        <v>62</v>
      </c>
      <c r="D399" s="5"/>
      <c r="E399" s="14" t="s">
        <v>63</v>
      </c>
      <c r="F399" s="8">
        <v>258</v>
      </c>
      <c r="G399" s="9">
        <v>15.6</v>
      </c>
      <c r="H399" s="10">
        <f t="shared" si="0"/>
        <v>4024.7999999999997</v>
      </c>
      <c r="I399" s="5">
        <f>F399-SUMIFS(Pedidos!G:G, Pedidos!D:D, C399, Pedidos!E:E, E399, Pedidos!F:F, B399)</f>
        <v>209</v>
      </c>
      <c r="J399" s="10">
        <f t="shared" si="1"/>
        <v>3260.4</v>
      </c>
    </row>
    <row r="400" spans="1:10" ht="15.75" customHeight="1">
      <c r="A400" s="5" t="s">
        <v>473</v>
      </c>
      <c r="B400" s="6" t="s">
        <v>500</v>
      </c>
      <c r="C400" s="11" t="s">
        <v>68</v>
      </c>
      <c r="D400" s="5"/>
      <c r="E400" s="14" t="s">
        <v>63</v>
      </c>
      <c r="F400" s="8">
        <v>550</v>
      </c>
      <c r="G400" s="9">
        <v>98.66</v>
      </c>
      <c r="H400" s="10">
        <f t="shared" si="0"/>
        <v>54263</v>
      </c>
      <c r="I400" s="5">
        <f>F400-SUMIFS(Pedidos!G:G, Pedidos!D:D, C400, Pedidos!E:E, E400, Pedidos!F:F, B400)</f>
        <v>550</v>
      </c>
      <c r="J400" s="10">
        <f t="shared" si="1"/>
        <v>54263</v>
      </c>
    </row>
    <row r="401" spans="1:10" ht="15.75" customHeight="1">
      <c r="A401" s="5" t="s">
        <v>473</v>
      </c>
      <c r="B401" s="6" t="s">
        <v>501</v>
      </c>
      <c r="C401" s="5" t="s">
        <v>489</v>
      </c>
      <c r="D401" s="7" t="s">
        <v>502</v>
      </c>
      <c r="E401" s="15">
        <v>7</v>
      </c>
      <c r="F401" s="8">
        <v>100</v>
      </c>
      <c r="G401" s="9">
        <v>259.7</v>
      </c>
      <c r="H401" s="10">
        <f t="shared" si="0"/>
        <v>25970</v>
      </c>
      <c r="I401" s="5">
        <f>F401-SUMIFS(Pedidos!G:G, Pedidos!D:D, C401, Pedidos!E:E, E401, Pedidos!F:F, B401)</f>
        <v>100</v>
      </c>
      <c r="J401" s="10">
        <f t="shared" si="1"/>
        <v>25970</v>
      </c>
    </row>
    <row r="402" spans="1:10" ht="15.75" customHeight="1">
      <c r="A402" s="5" t="s">
        <v>473</v>
      </c>
      <c r="B402" s="6" t="s">
        <v>501</v>
      </c>
      <c r="C402" s="5" t="s">
        <v>62</v>
      </c>
      <c r="D402" s="5" t="s">
        <v>502</v>
      </c>
      <c r="E402" s="15" t="s">
        <v>63</v>
      </c>
      <c r="F402" s="8">
        <v>201</v>
      </c>
      <c r="G402" s="9">
        <v>83.9</v>
      </c>
      <c r="H402" s="10">
        <f t="shared" si="0"/>
        <v>16863.900000000001</v>
      </c>
      <c r="I402" s="5">
        <f>F402-SUMIFS(Pedidos!G:G, Pedidos!D:D, C402, Pedidos!E:E, E402, Pedidos!F:F, B402)</f>
        <v>126</v>
      </c>
      <c r="J402" s="10">
        <f t="shared" si="1"/>
        <v>10571.400000000001</v>
      </c>
    </row>
    <row r="403" spans="1:10" ht="15.75" customHeight="1">
      <c r="A403" s="5" t="s">
        <v>473</v>
      </c>
      <c r="B403" s="6" t="s">
        <v>503</v>
      </c>
      <c r="C403" s="11" t="s">
        <v>62</v>
      </c>
      <c r="D403" s="5"/>
      <c r="E403" s="14" t="s">
        <v>63</v>
      </c>
      <c r="F403" s="8">
        <v>236</v>
      </c>
      <c r="G403" s="9">
        <v>16.3</v>
      </c>
      <c r="H403" s="10">
        <f t="shared" si="0"/>
        <v>3846.8</v>
      </c>
      <c r="I403" s="5">
        <f>F403-SUMIFS(Pedidos!G:G, Pedidos!D:D, C403, Pedidos!E:E, E403, Pedidos!F:F, B403)</f>
        <v>171</v>
      </c>
      <c r="J403" s="10">
        <f t="shared" si="1"/>
        <v>2787.3</v>
      </c>
    </row>
    <row r="404" spans="1:10" ht="15.75" customHeight="1">
      <c r="A404" s="5" t="s">
        <v>473</v>
      </c>
      <c r="B404" s="6" t="s">
        <v>503</v>
      </c>
      <c r="C404" s="11" t="s">
        <v>68</v>
      </c>
      <c r="D404" s="5"/>
      <c r="E404" s="14" t="s">
        <v>63</v>
      </c>
      <c r="F404" s="8">
        <v>535</v>
      </c>
      <c r="G404" s="9">
        <v>152</v>
      </c>
      <c r="H404" s="10">
        <f t="shared" si="0"/>
        <v>81320</v>
      </c>
      <c r="I404" s="5">
        <f>F404-SUMIFS(Pedidos!G:G, Pedidos!D:D, C404, Pedidos!E:E, E404, Pedidos!F:F, B404)</f>
        <v>535</v>
      </c>
      <c r="J404" s="10">
        <f t="shared" si="1"/>
        <v>81320</v>
      </c>
    </row>
    <row r="405" spans="1:10" ht="15.75" customHeight="1">
      <c r="A405" s="5" t="s">
        <v>473</v>
      </c>
      <c r="B405" s="6" t="s">
        <v>504</v>
      </c>
      <c r="C405" s="11" t="s">
        <v>62</v>
      </c>
      <c r="D405" s="5"/>
      <c r="E405" s="14" t="s">
        <v>63</v>
      </c>
      <c r="F405" s="8">
        <v>20</v>
      </c>
      <c r="G405" s="9">
        <v>493</v>
      </c>
      <c r="H405" s="10">
        <f t="shared" si="0"/>
        <v>9860</v>
      </c>
      <c r="I405" s="5">
        <f>F405-SUMIFS(Pedidos!G:G, Pedidos!D:D, C405, Pedidos!E:E, E405, Pedidos!F:F, B405)</f>
        <v>20</v>
      </c>
      <c r="J405" s="10">
        <f t="shared" si="1"/>
        <v>9860</v>
      </c>
    </row>
    <row r="406" spans="1:10" ht="15.75" customHeight="1">
      <c r="A406" s="5" t="s">
        <v>473</v>
      </c>
      <c r="B406" s="6" t="s">
        <v>505</v>
      </c>
      <c r="C406" s="11" t="s">
        <v>62</v>
      </c>
      <c r="D406" s="5"/>
      <c r="E406" s="14" t="s">
        <v>63</v>
      </c>
      <c r="F406" s="8">
        <v>20</v>
      </c>
      <c r="G406" s="9">
        <v>245</v>
      </c>
      <c r="H406" s="10">
        <f t="shared" si="0"/>
        <v>4900</v>
      </c>
      <c r="I406" s="5">
        <f>F406-SUMIFS(Pedidos!G:G, Pedidos!D:D, C406, Pedidos!E:E, E406, Pedidos!F:F, B406)</f>
        <v>20</v>
      </c>
      <c r="J406" s="10">
        <f t="shared" si="1"/>
        <v>4900</v>
      </c>
    </row>
    <row r="407" spans="1:10" ht="15.75" customHeight="1">
      <c r="A407" s="5" t="s">
        <v>473</v>
      </c>
      <c r="B407" s="6" t="s">
        <v>506</v>
      </c>
      <c r="C407" s="11" t="s">
        <v>62</v>
      </c>
      <c r="D407" s="5"/>
      <c r="E407" s="14" t="s">
        <v>63</v>
      </c>
      <c r="F407" s="8">
        <v>16</v>
      </c>
      <c r="G407" s="9">
        <v>68.22</v>
      </c>
      <c r="H407" s="10">
        <f t="shared" si="0"/>
        <v>1091.52</v>
      </c>
      <c r="I407" s="5">
        <f>F407-SUMIFS(Pedidos!G:G, Pedidos!D:D, C407, Pedidos!E:E, E407, Pedidos!F:F, B407)</f>
        <v>16</v>
      </c>
      <c r="J407" s="10">
        <f t="shared" si="1"/>
        <v>1091.52</v>
      </c>
    </row>
    <row r="408" spans="1:10" ht="15.75" customHeight="1">
      <c r="A408" s="5" t="s">
        <v>473</v>
      </c>
      <c r="B408" s="6" t="s">
        <v>506</v>
      </c>
      <c r="C408" s="11" t="s">
        <v>68</v>
      </c>
      <c r="D408" s="5"/>
      <c r="E408" s="14" t="s">
        <v>63</v>
      </c>
      <c r="F408" s="8">
        <v>50</v>
      </c>
      <c r="G408" s="9">
        <v>64.39</v>
      </c>
      <c r="H408" s="10">
        <f t="shared" si="0"/>
        <v>3219.5</v>
      </c>
      <c r="I408" s="5">
        <f>F408-SUMIFS(Pedidos!G:G, Pedidos!D:D, C408, Pedidos!E:E, E408, Pedidos!F:F, B408)</f>
        <v>50</v>
      </c>
      <c r="J408" s="10">
        <f t="shared" si="1"/>
        <v>3219.5</v>
      </c>
    </row>
    <row r="409" spans="1:10" ht="15.75" customHeight="1">
      <c r="A409" s="5" t="s">
        <v>473</v>
      </c>
      <c r="B409" s="6" t="s">
        <v>506</v>
      </c>
      <c r="C409" s="11" t="s">
        <v>120</v>
      </c>
      <c r="D409" s="5"/>
      <c r="E409" s="14" t="s">
        <v>63</v>
      </c>
      <c r="F409" s="8">
        <v>50</v>
      </c>
      <c r="G409" s="9">
        <v>46</v>
      </c>
      <c r="H409" s="10">
        <f t="shared" si="0"/>
        <v>2300</v>
      </c>
      <c r="I409" s="5">
        <f>F409-SUMIFS(Pedidos!G:G, Pedidos!D:D, C409, Pedidos!E:E, E409, Pedidos!F:F, B409)</f>
        <v>50</v>
      </c>
      <c r="J409" s="10">
        <f t="shared" si="1"/>
        <v>2300</v>
      </c>
    </row>
    <row r="410" spans="1:10" ht="15.75" customHeight="1">
      <c r="A410" s="5" t="s">
        <v>473</v>
      </c>
      <c r="B410" s="6" t="s">
        <v>507</v>
      </c>
      <c r="C410" s="11" t="s">
        <v>62</v>
      </c>
      <c r="D410" s="5"/>
      <c r="E410" s="14" t="s">
        <v>63</v>
      </c>
      <c r="F410" s="8">
        <v>45</v>
      </c>
      <c r="G410" s="9">
        <v>38.700000000000003</v>
      </c>
      <c r="H410" s="10">
        <f t="shared" si="0"/>
        <v>1741.5000000000002</v>
      </c>
      <c r="I410" s="5">
        <f>F410-SUMIFS(Pedidos!G:G, Pedidos!D:D, C410, Pedidos!E:E, E410, Pedidos!F:F, B410)</f>
        <v>45</v>
      </c>
      <c r="J410" s="10">
        <f t="shared" si="1"/>
        <v>1741.5000000000002</v>
      </c>
    </row>
    <row r="411" spans="1:10" ht="15.75" customHeight="1">
      <c r="A411" s="5" t="s">
        <v>473</v>
      </c>
      <c r="B411" s="6" t="s">
        <v>507</v>
      </c>
      <c r="C411" s="11" t="s">
        <v>68</v>
      </c>
      <c r="D411" s="5"/>
      <c r="E411" s="14" t="s">
        <v>63</v>
      </c>
      <c r="F411" s="8">
        <v>60</v>
      </c>
      <c r="G411" s="9">
        <v>155.34</v>
      </c>
      <c r="H411" s="10">
        <f t="shared" si="0"/>
        <v>9320.4</v>
      </c>
      <c r="I411" s="5">
        <f>F411-SUMIFS(Pedidos!G:G, Pedidos!D:D, C411, Pedidos!E:E, E411, Pedidos!F:F, B411)</f>
        <v>60</v>
      </c>
      <c r="J411" s="10">
        <f t="shared" si="1"/>
        <v>9320.4</v>
      </c>
    </row>
    <row r="412" spans="1:10" ht="15.75" customHeight="1">
      <c r="A412" s="5" t="s">
        <v>473</v>
      </c>
      <c r="B412" s="6" t="s">
        <v>508</v>
      </c>
      <c r="C412" s="11" t="s">
        <v>62</v>
      </c>
      <c r="D412" s="5"/>
      <c r="E412" s="14" t="s">
        <v>63</v>
      </c>
      <c r="F412" s="8">
        <v>15</v>
      </c>
      <c r="G412" s="9">
        <v>672.53</v>
      </c>
      <c r="H412" s="10">
        <f t="shared" si="0"/>
        <v>10087.949999999999</v>
      </c>
      <c r="I412" s="5">
        <f>F412-SUMIFS(Pedidos!G:G, Pedidos!D:D, C412, Pedidos!E:E, E412, Pedidos!F:F, B412)</f>
        <v>15</v>
      </c>
      <c r="J412" s="10">
        <f t="shared" si="1"/>
        <v>10087.949999999999</v>
      </c>
    </row>
    <row r="413" spans="1:10" ht="15.75" customHeight="1">
      <c r="A413" s="5" t="s">
        <v>473</v>
      </c>
      <c r="B413" s="6" t="s">
        <v>509</v>
      </c>
      <c r="C413" s="11" t="s">
        <v>62</v>
      </c>
      <c r="D413" s="5"/>
      <c r="E413" s="14" t="s">
        <v>63</v>
      </c>
      <c r="F413" s="8">
        <v>1176</v>
      </c>
      <c r="G413" s="9">
        <v>53.58</v>
      </c>
      <c r="H413" s="10">
        <f t="shared" si="0"/>
        <v>63010.079999999994</v>
      </c>
      <c r="I413" s="5">
        <f>F413-SUMIFS(Pedidos!G:G, Pedidos!D:D, C413, Pedidos!E:E, E413, Pedidos!F:F, B413)</f>
        <v>1176</v>
      </c>
      <c r="J413" s="10">
        <f t="shared" si="1"/>
        <v>63010.079999999994</v>
      </c>
    </row>
    <row r="414" spans="1:10" ht="15.75" customHeight="1">
      <c r="A414" s="5" t="s">
        <v>473</v>
      </c>
      <c r="B414" s="6" t="s">
        <v>510</v>
      </c>
      <c r="C414" s="11" t="s">
        <v>62</v>
      </c>
      <c r="D414" s="5"/>
      <c r="E414" s="14" t="s">
        <v>63</v>
      </c>
      <c r="F414" s="8">
        <v>1193</v>
      </c>
      <c r="G414" s="9">
        <v>25.91</v>
      </c>
      <c r="H414" s="10">
        <f t="shared" si="0"/>
        <v>30910.63</v>
      </c>
      <c r="I414" s="5">
        <f>F414-SUMIFS(Pedidos!G:G, Pedidos!D:D, C414, Pedidos!E:E, E414, Pedidos!F:F, B414)</f>
        <v>1193</v>
      </c>
      <c r="J414" s="10">
        <f t="shared" si="1"/>
        <v>30910.63</v>
      </c>
    </row>
    <row r="415" spans="1:10" ht="15.75" customHeight="1">
      <c r="A415" s="5" t="s">
        <v>473</v>
      </c>
      <c r="B415" s="6" t="s">
        <v>511</v>
      </c>
      <c r="C415" s="5" t="s">
        <v>512</v>
      </c>
      <c r="D415" s="7" t="s">
        <v>513</v>
      </c>
      <c r="E415" s="15">
        <v>8</v>
      </c>
      <c r="F415" s="8">
        <v>500</v>
      </c>
      <c r="G415" s="9">
        <v>1966.7</v>
      </c>
      <c r="H415" s="10">
        <f t="shared" si="0"/>
        <v>983350</v>
      </c>
      <c r="I415" s="5">
        <f>F415-SUMIFS(Pedidos!G:G, Pedidos!D:D, C415, Pedidos!E:E, E415, Pedidos!F:F, B415)</f>
        <v>500</v>
      </c>
      <c r="J415" s="10">
        <f t="shared" si="1"/>
        <v>983350</v>
      </c>
    </row>
    <row r="416" spans="1:10" ht="15.75" customHeight="1">
      <c r="A416" s="5" t="s">
        <v>473</v>
      </c>
      <c r="B416" s="6" t="s">
        <v>514</v>
      </c>
      <c r="C416" s="11" t="s">
        <v>62</v>
      </c>
      <c r="D416" s="7"/>
      <c r="E416" s="14" t="s">
        <v>63</v>
      </c>
      <c r="F416" s="8">
        <v>540</v>
      </c>
      <c r="G416" s="9">
        <v>118.4</v>
      </c>
      <c r="H416" s="10">
        <f t="shared" si="0"/>
        <v>63936</v>
      </c>
      <c r="I416" s="5">
        <f>F416-SUMIFS(Pedidos!G:G, Pedidos!D:D, C416, Pedidos!E:E, E416, Pedidos!F:F, B416)</f>
        <v>71</v>
      </c>
      <c r="J416" s="10">
        <f t="shared" si="1"/>
        <v>8406.4</v>
      </c>
    </row>
    <row r="417" spans="1:10" ht="15.75" customHeight="1">
      <c r="A417" s="5" t="s">
        <v>473</v>
      </c>
      <c r="B417" s="6" t="s">
        <v>515</v>
      </c>
      <c r="C417" s="11" t="s">
        <v>62</v>
      </c>
      <c r="D417" s="5"/>
      <c r="E417" s="14" t="s">
        <v>63</v>
      </c>
      <c r="F417" s="8">
        <v>1570</v>
      </c>
      <c r="G417" s="9">
        <v>26</v>
      </c>
      <c r="H417" s="10">
        <f t="shared" si="0"/>
        <v>40820</v>
      </c>
      <c r="I417" s="5">
        <f>F417-SUMIFS(Pedidos!G:G, Pedidos!D:D, C417, Pedidos!E:E, E417, Pedidos!F:F, B417)</f>
        <v>1570</v>
      </c>
      <c r="J417" s="10">
        <f t="shared" si="1"/>
        <v>40820</v>
      </c>
    </row>
    <row r="418" spans="1:10" ht="15.75" customHeight="1">
      <c r="A418" s="5" t="s">
        <v>473</v>
      </c>
      <c r="B418" s="6" t="s">
        <v>516</v>
      </c>
      <c r="C418" s="11" t="s">
        <v>62</v>
      </c>
      <c r="D418" s="5"/>
      <c r="E418" s="14" t="s">
        <v>63</v>
      </c>
      <c r="F418" s="8">
        <v>495</v>
      </c>
      <c r="G418" s="9">
        <v>7.8</v>
      </c>
      <c r="H418" s="10">
        <f t="shared" si="0"/>
        <v>3861</v>
      </c>
      <c r="I418" s="5">
        <f>F418-SUMIFS(Pedidos!G:G, Pedidos!D:D, C418, Pedidos!E:E, E418, Pedidos!F:F, B418)</f>
        <v>360</v>
      </c>
      <c r="J418" s="10">
        <f t="shared" si="1"/>
        <v>2808</v>
      </c>
    </row>
    <row r="419" spans="1:10" ht="15.75" customHeight="1">
      <c r="A419" s="5" t="s">
        <v>473</v>
      </c>
      <c r="B419" s="6" t="s">
        <v>516</v>
      </c>
      <c r="C419" s="11" t="s">
        <v>68</v>
      </c>
      <c r="D419" s="5"/>
      <c r="E419" s="14" t="s">
        <v>63</v>
      </c>
      <c r="F419" s="8">
        <v>1000</v>
      </c>
      <c r="G419" s="9">
        <v>52</v>
      </c>
      <c r="H419" s="10">
        <f t="shared" si="0"/>
        <v>52000</v>
      </c>
      <c r="I419" s="5">
        <f>F419-SUMIFS(Pedidos!G:G, Pedidos!D:D, C419, Pedidos!E:E, E419, Pedidos!F:F, B419)</f>
        <v>1000</v>
      </c>
      <c r="J419" s="10">
        <f t="shared" si="1"/>
        <v>52000</v>
      </c>
    </row>
    <row r="420" spans="1:10" ht="15.75" customHeight="1">
      <c r="A420" s="5" t="s">
        <v>473</v>
      </c>
      <c r="B420" s="6" t="s">
        <v>517</v>
      </c>
      <c r="C420" s="5" t="s">
        <v>479</v>
      </c>
      <c r="D420" s="7" t="s">
        <v>518</v>
      </c>
      <c r="E420" s="15">
        <v>9</v>
      </c>
      <c r="F420" s="8">
        <v>500</v>
      </c>
      <c r="G420" s="9">
        <v>310.02999999999997</v>
      </c>
      <c r="H420" s="10">
        <f t="shared" si="0"/>
        <v>155015</v>
      </c>
      <c r="I420" s="5">
        <f>F420-SUMIFS(Pedidos!G:G, Pedidos!D:D, C420, Pedidos!E:E, E420, Pedidos!F:F, B420)</f>
        <v>69</v>
      </c>
      <c r="J420" s="10">
        <f t="shared" si="1"/>
        <v>21392.07</v>
      </c>
    </row>
    <row r="421" spans="1:10" ht="15.75" customHeight="1">
      <c r="A421" s="5" t="s">
        <v>473</v>
      </c>
      <c r="B421" s="6" t="s">
        <v>519</v>
      </c>
      <c r="C421" s="5" t="s">
        <v>520</v>
      </c>
      <c r="D421" s="5" t="s">
        <v>521</v>
      </c>
      <c r="E421" s="15">
        <v>10</v>
      </c>
      <c r="F421" s="8">
        <v>1000</v>
      </c>
      <c r="G421" s="9">
        <v>294.83</v>
      </c>
      <c r="H421" s="10">
        <f t="shared" si="0"/>
        <v>294830</v>
      </c>
      <c r="I421" s="5">
        <f>F421-SUMIFS(Pedidos!G:G, Pedidos!D:D, C421, Pedidos!E:E, E421, Pedidos!F:F, B421)</f>
        <v>745</v>
      </c>
      <c r="J421" s="10">
        <f t="shared" si="1"/>
        <v>219648.34999999998</v>
      </c>
    </row>
    <row r="422" spans="1:10" ht="15.75" customHeight="1">
      <c r="A422" s="5" t="s">
        <v>473</v>
      </c>
      <c r="B422" s="6" t="s">
        <v>522</v>
      </c>
      <c r="C422" s="11" t="s">
        <v>62</v>
      </c>
      <c r="D422" s="5"/>
      <c r="E422" s="14" t="s">
        <v>63</v>
      </c>
      <c r="F422" s="8">
        <v>717</v>
      </c>
      <c r="G422" s="9">
        <v>20.59</v>
      </c>
      <c r="H422" s="10">
        <f t="shared" si="0"/>
        <v>14763.03</v>
      </c>
      <c r="I422" s="5">
        <f>F422-SUMIFS(Pedidos!G:G, Pedidos!D:D, C422, Pedidos!E:E, E422, Pedidos!F:F, B422)</f>
        <v>672</v>
      </c>
      <c r="J422" s="10">
        <f t="shared" si="1"/>
        <v>13836.48</v>
      </c>
    </row>
    <row r="423" spans="1:10" ht="15.75" customHeight="1">
      <c r="A423" s="5" t="s">
        <v>473</v>
      </c>
      <c r="B423" s="6" t="s">
        <v>522</v>
      </c>
      <c r="C423" s="11" t="s">
        <v>68</v>
      </c>
      <c r="D423" s="5"/>
      <c r="E423" s="14" t="s">
        <v>63</v>
      </c>
      <c r="F423" s="8">
        <v>1500</v>
      </c>
      <c r="G423" s="9">
        <v>143.66</v>
      </c>
      <c r="H423" s="10">
        <f t="shared" si="0"/>
        <v>215490</v>
      </c>
      <c r="I423" s="5">
        <f>F423-SUMIFS(Pedidos!G:G, Pedidos!D:D, C423, Pedidos!E:E, E423, Pedidos!F:F, B423)</f>
        <v>1500</v>
      </c>
      <c r="J423" s="10">
        <f t="shared" si="1"/>
        <v>215490</v>
      </c>
    </row>
    <row r="424" spans="1:10" ht="15.75" customHeight="1">
      <c r="A424" s="5" t="s">
        <v>473</v>
      </c>
      <c r="B424" s="6" t="s">
        <v>523</v>
      </c>
      <c r="C424" s="11" t="s">
        <v>62</v>
      </c>
      <c r="D424" s="5"/>
      <c r="E424" s="14" t="s">
        <v>63</v>
      </c>
      <c r="F424" s="8">
        <v>60</v>
      </c>
      <c r="G424" s="9">
        <v>59.5</v>
      </c>
      <c r="H424" s="10">
        <f t="shared" si="0"/>
        <v>3570</v>
      </c>
      <c r="I424" s="5">
        <f>F424-SUMIFS(Pedidos!G:G, Pedidos!D:D, C424, Pedidos!E:E, E424, Pedidos!F:F, B424)</f>
        <v>30</v>
      </c>
      <c r="J424" s="10">
        <f t="shared" si="1"/>
        <v>1785</v>
      </c>
    </row>
    <row r="425" spans="1:10" ht="15.75" customHeight="1">
      <c r="A425" s="5" t="s">
        <v>473</v>
      </c>
      <c r="B425" s="6" t="s">
        <v>524</v>
      </c>
      <c r="C425" s="11" t="s">
        <v>62</v>
      </c>
      <c r="D425" s="5"/>
      <c r="E425" s="14" t="s">
        <v>63</v>
      </c>
      <c r="F425" s="8">
        <v>6366</v>
      </c>
      <c r="G425" s="9">
        <v>0.66</v>
      </c>
      <c r="H425" s="10">
        <f t="shared" si="0"/>
        <v>4201.5600000000004</v>
      </c>
      <c r="I425" s="5">
        <f>F425-SUMIFS(Pedidos!G:G, Pedidos!D:D, C425, Pedidos!E:E, E425, Pedidos!F:F, B425)</f>
        <v>6366</v>
      </c>
      <c r="J425" s="10">
        <f t="shared" si="1"/>
        <v>4201.5600000000004</v>
      </c>
    </row>
    <row r="426" spans="1:10" ht="15.75" customHeight="1">
      <c r="A426" s="5" t="s">
        <v>473</v>
      </c>
      <c r="B426" s="6" t="s">
        <v>524</v>
      </c>
      <c r="C426" s="11" t="s">
        <v>68</v>
      </c>
      <c r="D426" s="5"/>
      <c r="E426" s="14" t="s">
        <v>63</v>
      </c>
      <c r="F426" s="8">
        <v>200</v>
      </c>
      <c r="G426" s="9">
        <v>6.15</v>
      </c>
      <c r="H426" s="10">
        <f t="shared" si="0"/>
        <v>1230</v>
      </c>
      <c r="I426" s="5">
        <f>F426-SUMIFS(Pedidos!G:G, Pedidos!D:D, C426, Pedidos!E:E, E426, Pedidos!F:F, B426)</f>
        <v>200</v>
      </c>
      <c r="J426" s="10">
        <f t="shared" si="1"/>
        <v>1230</v>
      </c>
    </row>
    <row r="427" spans="1:10" ht="15.75" customHeight="1">
      <c r="A427" s="5" t="s">
        <v>473</v>
      </c>
      <c r="B427" s="6" t="s">
        <v>525</v>
      </c>
      <c r="C427" s="11" t="s">
        <v>62</v>
      </c>
      <c r="D427" s="5"/>
      <c r="E427" s="14" t="s">
        <v>63</v>
      </c>
      <c r="F427" s="8">
        <v>520</v>
      </c>
      <c r="G427" s="9">
        <v>19.8</v>
      </c>
      <c r="H427" s="10">
        <f t="shared" si="0"/>
        <v>10296</v>
      </c>
      <c r="I427" s="5">
        <f>F427-SUMIFS(Pedidos!G:G, Pedidos!D:D, C427, Pedidos!E:E, E427, Pedidos!F:F, B427)</f>
        <v>520</v>
      </c>
      <c r="J427" s="10">
        <f t="shared" si="1"/>
        <v>10296</v>
      </c>
    </row>
    <row r="428" spans="1:10" ht="15.75" customHeight="1">
      <c r="A428" s="5" t="s">
        <v>473</v>
      </c>
      <c r="B428" s="6" t="s">
        <v>526</v>
      </c>
      <c r="C428" s="5" t="s">
        <v>62</v>
      </c>
      <c r="D428" s="7" t="s">
        <v>527</v>
      </c>
      <c r="E428" s="15" t="s">
        <v>63</v>
      </c>
      <c r="F428" s="8">
        <v>195</v>
      </c>
      <c r="G428" s="9">
        <v>294.83</v>
      </c>
      <c r="H428" s="10">
        <f t="shared" si="0"/>
        <v>57491.85</v>
      </c>
      <c r="I428" s="5">
        <f>F428-SUMIFS(Pedidos!G:G, Pedidos!D:D, C428, Pedidos!E:E, E428, Pedidos!F:F, B428)</f>
        <v>195</v>
      </c>
      <c r="J428" s="10">
        <f t="shared" si="1"/>
        <v>57491.85</v>
      </c>
    </row>
    <row r="429" spans="1:10" ht="15.75" customHeight="1">
      <c r="A429" s="5" t="s">
        <v>473</v>
      </c>
      <c r="B429" s="6" t="s">
        <v>528</v>
      </c>
      <c r="C429" s="11" t="s">
        <v>62</v>
      </c>
      <c r="D429" s="5"/>
      <c r="E429" s="14" t="s">
        <v>63</v>
      </c>
      <c r="F429" s="8">
        <v>7766</v>
      </c>
      <c r="G429" s="9">
        <v>7.16</v>
      </c>
      <c r="H429" s="10">
        <f t="shared" si="0"/>
        <v>55604.56</v>
      </c>
      <c r="I429" s="5">
        <f>F429-SUMIFS(Pedidos!G:G, Pedidos!D:D, C429, Pedidos!E:E, E429, Pedidos!F:F, B429)</f>
        <v>7766</v>
      </c>
      <c r="J429" s="10">
        <f t="shared" si="1"/>
        <v>55604.56</v>
      </c>
    </row>
    <row r="430" spans="1:10" ht="15.75" customHeight="1">
      <c r="A430" s="5" t="s">
        <v>473</v>
      </c>
      <c r="B430" s="6" t="s">
        <v>529</v>
      </c>
      <c r="C430" s="11" t="s">
        <v>62</v>
      </c>
      <c r="D430" s="5"/>
      <c r="E430" s="14" t="s">
        <v>63</v>
      </c>
      <c r="F430" s="8">
        <v>122</v>
      </c>
      <c r="G430" s="9">
        <v>9.7200000000000006</v>
      </c>
      <c r="H430" s="10">
        <f t="shared" si="0"/>
        <v>1185.8400000000001</v>
      </c>
      <c r="I430" s="5">
        <f>F430-SUMIFS(Pedidos!G:G, Pedidos!D:D, C430, Pedidos!E:E, E430, Pedidos!F:F, B430)</f>
        <v>122</v>
      </c>
      <c r="J430" s="10">
        <f t="shared" si="1"/>
        <v>1185.8400000000001</v>
      </c>
    </row>
    <row r="431" spans="1:10" ht="15.75" customHeight="1">
      <c r="A431" s="5" t="s">
        <v>473</v>
      </c>
      <c r="B431" s="6" t="s">
        <v>529</v>
      </c>
      <c r="C431" s="11" t="s">
        <v>68</v>
      </c>
      <c r="D431" s="5"/>
      <c r="E431" s="14" t="s">
        <v>63</v>
      </c>
      <c r="F431" s="8">
        <v>150</v>
      </c>
      <c r="G431" s="9">
        <v>196</v>
      </c>
      <c r="H431" s="10">
        <f t="shared" si="0"/>
        <v>29400</v>
      </c>
      <c r="I431" s="5">
        <f>F431-SUMIFS(Pedidos!G:G, Pedidos!D:D, C431, Pedidos!E:E, E431, Pedidos!F:F, B431)</f>
        <v>150</v>
      </c>
      <c r="J431" s="10">
        <f t="shared" si="1"/>
        <v>29400</v>
      </c>
    </row>
    <row r="432" spans="1:10" ht="15.75" customHeight="1">
      <c r="A432" s="5" t="s">
        <v>473</v>
      </c>
      <c r="B432" s="6" t="s">
        <v>530</v>
      </c>
      <c r="C432" s="5" t="s">
        <v>531</v>
      </c>
      <c r="D432" s="7" t="s">
        <v>532</v>
      </c>
      <c r="E432" s="15">
        <v>11</v>
      </c>
      <c r="F432" s="8">
        <v>100</v>
      </c>
      <c r="G432" s="9">
        <v>667.6</v>
      </c>
      <c r="H432" s="10">
        <f t="shared" si="0"/>
        <v>66760</v>
      </c>
      <c r="I432" s="5">
        <f>F432-SUMIFS(Pedidos!G:G, Pedidos!D:D, C432, Pedidos!E:E, E432, Pedidos!F:F, B432)</f>
        <v>100</v>
      </c>
      <c r="J432" s="10">
        <f t="shared" si="1"/>
        <v>66760</v>
      </c>
    </row>
    <row r="433" spans="1:10" ht="15.75" customHeight="1">
      <c r="A433" s="5" t="s">
        <v>473</v>
      </c>
      <c r="B433" s="6" t="s">
        <v>530</v>
      </c>
      <c r="C433" s="5" t="s">
        <v>62</v>
      </c>
      <c r="D433" s="5" t="s">
        <v>532</v>
      </c>
      <c r="E433" s="15" t="s">
        <v>63</v>
      </c>
      <c r="F433" s="8">
        <v>68</v>
      </c>
      <c r="G433" s="9">
        <v>277.66000000000003</v>
      </c>
      <c r="H433" s="10">
        <f t="shared" si="0"/>
        <v>18880.88</v>
      </c>
      <c r="I433" s="5">
        <f>F433-SUMIFS(Pedidos!G:G, Pedidos!D:D, C433, Pedidos!E:E, E433, Pedidos!F:F, B433)</f>
        <v>68</v>
      </c>
      <c r="J433" s="10">
        <f t="shared" si="1"/>
        <v>18880.88</v>
      </c>
    </row>
    <row r="434" spans="1:10" ht="15.75" customHeight="1">
      <c r="A434" s="5" t="s">
        <v>473</v>
      </c>
      <c r="B434" s="6" t="s">
        <v>533</v>
      </c>
      <c r="C434" s="5" t="s">
        <v>531</v>
      </c>
      <c r="D434" s="5" t="s">
        <v>534</v>
      </c>
      <c r="E434" s="15">
        <v>12</v>
      </c>
      <c r="F434" s="8">
        <v>200</v>
      </c>
      <c r="G434" s="9">
        <v>667.6</v>
      </c>
      <c r="H434" s="10">
        <f t="shared" si="0"/>
        <v>133520</v>
      </c>
      <c r="I434" s="5">
        <f>F434-SUMIFS(Pedidos!G:G, Pedidos!D:D, C434, Pedidos!E:E, E434, Pedidos!F:F, B434)</f>
        <v>200</v>
      </c>
      <c r="J434" s="10">
        <f t="shared" si="1"/>
        <v>133520</v>
      </c>
    </row>
    <row r="435" spans="1:10" ht="15.75" customHeight="1">
      <c r="A435" s="5" t="s">
        <v>473</v>
      </c>
      <c r="B435" s="6" t="s">
        <v>533</v>
      </c>
      <c r="C435" s="5" t="s">
        <v>62</v>
      </c>
      <c r="D435" s="5" t="s">
        <v>534</v>
      </c>
      <c r="E435" s="15" t="s">
        <v>63</v>
      </c>
      <c r="F435" s="8">
        <v>76</v>
      </c>
      <c r="G435" s="9">
        <v>277.66000000000003</v>
      </c>
      <c r="H435" s="10">
        <f t="shared" si="0"/>
        <v>21102.160000000003</v>
      </c>
      <c r="I435" s="5">
        <f>F435-SUMIFS(Pedidos!G:G, Pedidos!D:D, C435, Pedidos!E:E, E435, Pedidos!F:F, B435)</f>
        <v>1</v>
      </c>
      <c r="J435" s="10">
        <f t="shared" si="1"/>
        <v>277.66000000000003</v>
      </c>
    </row>
    <row r="436" spans="1:10" ht="15.75" customHeight="1">
      <c r="A436" s="5" t="s">
        <v>473</v>
      </c>
      <c r="B436" s="6" t="s">
        <v>535</v>
      </c>
      <c r="C436" s="11" t="s">
        <v>62</v>
      </c>
      <c r="D436" s="5"/>
      <c r="E436" s="14" t="s">
        <v>63</v>
      </c>
      <c r="F436" s="8">
        <v>38</v>
      </c>
      <c r="G436" s="9">
        <v>1085</v>
      </c>
      <c r="H436" s="10">
        <f t="shared" si="0"/>
        <v>41230</v>
      </c>
      <c r="I436" s="5">
        <f>F436-SUMIFS(Pedidos!G:G, Pedidos!D:D, C436, Pedidos!E:E, E436, Pedidos!F:F, B436)</f>
        <v>38</v>
      </c>
      <c r="J436" s="10">
        <f t="shared" si="1"/>
        <v>41230</v>
      </c>
    </row>
    <row r="437" spans="1:10" ht="15.75" customHeight="1">
      <c r="A437" s="5" t="s">
        <v>473</v>
      </c>
      <c r="B437" s="6" t="s">
        <v>536</v>
      </c>
      <c r="C437" s="5" t="s">
        <v>489</v>
      </c>
      <c r="D437" s="7" t="s">
        <v>537</v>
      </c>
      <c r="E437" s="15">
        <v>13</v>
      </c>
      <c r="F437" s="8">
        <v>300</v>
      </c>
      <c r="G437" s="9">
        <v>254.7</v>
      </c>
      <c r="H437" s="10">
        <f t="shared" si="0"/>
        <v>76410</v>
      </c>
      <c r="I437" s="5">
        <f>F437-SUMIFS(Pedidos!G:G, Pedidos!D:D, C437, Pedidos!E:E, E437, Pedidos!F:F, B437)</f>
        <v>288</v>
      </c>
      <c r="J437" s="10">
        <f t="shared" si="1"/>
        <v>73353.599999999991</v>
      </c>
    </row>
    <row r="438" spans="1:10" ht="15.75" customHeight="1">
      <c r="A438" s="5" t="s">
        <v>473</v>
      </c>
      <c r="B438" s="6" t="s">
        <v>538</v>
      </c>
      <c r="C438" s="11" t="s">
        <v>62</v>
      </c>
      <c r="D438" s="5"/>
      <c r="E438" s="14" t="s">
        <v>63</v>
      </c>
      <c r="F438" s="8">
        <v>10</v>
      </c>
      <c r="G438" s="9">
        <v>173.42</v>
      </c>
      <c r="H438" s="10">
        <f t="shared" si="0"/>
        <v>1734.1999999999998</v>
      </c>
      <c r="I438" s="5">
        <f>F438-SUMIFS(Pedidos!G:G, Pedidos!D:D, C438, Pedidos!E:E, E438, Pedidos!F:F, B438)</f>
        <v>10</v>
      </c>
      <c r="J438" s="10">
        <f t="shared" si="1"/>
        <v>1734.1999999999998</v>
      </c>
    </row>
    <row r="439" spans="1:10" ht="15.75" customHeight="1">
      <c r="A439" s="5" t="s">
        <v>473</v>
      </c>
      <c r="B439" s="6" t="s">
        <v>539</v>
      </c>
      <c r="C439" s="11" t="s">
        <v>62</v>
      </c>
      <c r="D439" s="5"/>
      <c r="E439" s="14" t="s">
        <v>63</v>
      </c>
      <c r="F439" s="8">
        <v>13</v>
      </c>
      <c r="G439" s="9">
        <v>99</v>
      </c>
      <c r="H439" s="10">
        <f t="shared" si="0"/>
        <v>1287</v>
      </c>
      <c r="I439" s="5">
        <f>F439-SUMIFS(Pedidos!G:G, Pedidos!D:D, C439, Pedidos!E:E, E439, Pedidos!F:F, B439)</f>
        <v>13</v>
      </c>
      <c r="J439" s="10">
        <f t="shared" si="1"/>
        <v>1287</v>
      </c>
    </row>
    <row r="440" spans="1:10" ht="15.75" customHeight="1">
      <c r="A440" s="5" t="s">
        <v>473</v>
      </c>
      <c r="B440" s="6" t="s">
        <v>540</v>
      </c>
      <c r="C440" s="5" t="s">
        <v>489</v>
      </c>
      <c r="D440" s="7" t="s">
        <v>541</v>
      </c>
      <c r="E440" s="15">
        <v>14</v>
      </c>
      <c r="F440" s="8">
        <v>200</v>
      </c>
      <c r="G440" s="9">
        <v>1848</v>
      </c>
      <c r="H440" s="10">
        <f t="shared" si="0"/>
        <v>369600</v>
      </c>
      <c r="I440" s="5">
        <f>F440-SUMIFS(Pedidos!G:G, Pedidos!D:D, C440, Pedidos!E:E, E440, Pedidos!F:F, B440)</f>
        <v>110</v>
      </c>
      <c r="J440" s="10">
        <f t="shared" si="1"/>
        <v>203280</v>
      </c>
    </row>
    <row r="441" spans="1:10" ht="15.75" customHeight="1">
      <c r="A441" s="5" t="s">
        <v>473</v>
      </c>
      <c r="B441" s="6" t="s">
        <v>542</v>
      </c>
      <c r="C441" s="5" t="s">
        <v>479</v>
      </c>
      <c r="D441" s="5" t="s">
        <v>543</v>
      </c>
      <c r="E441" s="15">
        <v>15</v>
      </c>
      <c r="F441" s="8">
        <v>100</v>
      </c>
      <c r="G441" s="9">
        <v>2173.52</v>
      </c>
      <c r="H441" s="10">
        <f t="shared" si="0"/>
        <v>217352</v>
      </c>
      <c r="I441" s="5">
        <f>F441-SUMIFS(Pedidos!G:G, Pedidos!D:D, C441, Pedidos!E:E, E441, Pedidos!F:F, B441)</f>
        <v>19</v>
      </c>
      <c r="J441" s="10">
        <f t="shared" si="1"/>
        <v>41296.879999999997</v>
      </c>
    </row>
    <row r="442" spans="1:10" ht="15.75" customHeight="1">
      <c r="A442" s="5" t="s">
        <v>473</v>
      </c>
      <c r="B442" s="6" t="s">
        <v>544</v>
      </c>
      <c r="C442" s="5" t="s">
        <v>479</v>
      </c>
      <c r="D442" s="5" t="s">
        <v>545</v>
      </c>
      <c r="E442" s="15">
        <v>16</v>
      </c>
      <c r="F442" s="8">
        <v>250</v>
      </c>
      <c r="G442" s="9">
        <v>2173.52</v>
      </c>
      <c r="H442" s="10">
        <f t="shared" si="0"/>
        <v>543380</v>
      </c>
      <c r="I442" s="5">
        <f>F442-SUMIFS(Pedidos!G:G, Pedidos!D:D, C442, Pedidos!E:E, E442, Pedidos!F:F, B442)</f>
        <v>72</v>
      </c>
      <c r="J442" s="10">
        <f t="shared" si="1"/>
        <v>156493.44</v>
      </c>
    </row>
    <row r="443" spans="1:10" ht="15.75" customHeight="1">
      <c r="A443" s="5" t="s">
        <v>473</v>
      </c>
      <c r="B443" s="6" t="s">
        <v>546</v>
      </c>
      <c r="C443" s="5" t="s">
        <v>479</v>
      </c>
      <c r="D443" s="5" t="s">
        <v>547</v>
      </c>
      <c r="E443" s="15">
        <v>17</v>
      </c>
      <c r="F443" s="8">
        <v>100</v>
      </c>
      <c r="G443" s="9">
        <v>238.81</v>
      </c>
      <c r="H443" s="10">
        <f t="shared" si="0"/>
        <v>23881</v>
      </c>
      <c r="I443" s="5">
        <f>F443-SUMIFS(Pedidos!G:G, Pedidos!D:D, C443, Pedidos!E:E, E443, Pedidos!F:F, B443)</f>
        <v>100</v>
      </c>
      <c r="J443" s="10">
        <f t="shared" si="1"/>
        <v>23881</v>
      </c>
    </row>
    <row r="444" spans="1:10" ht="15.75" customHeight="1">
      <c r="A444" s="5" t="s">
        <v>473</v>
      </c>
      <c r="B444" s="6" t="s">
        <v>546</v>
      </c>
      <c r="C444" s="5" t="s">
        <v>62</v>
      </c>
      <c r="D444" s="5" t="s">
        <v>547</v>
      </c>
      <c r="E444" s="15" t="s">
        <v>63</v>
      </c>
      <c r="F444" s="8">
        <v>38</v>
      </c>
      <c r="G444" s="9">
        <v>187</v>
      </c>
      <c r="H444" s="10">
        <f t="shared" si="0"/>
        <v>7106</v>
      </c>
      <c r="I444" s="5">
        <f>F444-SUMIFS(Pedidos!G:G, Pedidos!D:D, C444, Pedidos!E:E, E444, Pedidos!F:F, B444)</f>
        <v>7</v>
      </c>
      <c r="J444" s="10">
        <f t="shared" si="1"/>
        <v>1309</v>
      </c>
    </row>
    <row r="445" spans="1:10" ht="15.75" customHeight="1">
      <c r="A445" s="5" t="s">
        <v>473</v>
      </c>
      <c r="B445" s="6" t="s">
        <v>548</v>
      </c>
      <c r="C445" s="5" t="s">
        <v>531</v>
      </c>
      <c r="D445" s="5" t="s">
        <v>549</v>
      </c>
      <c r="E445" s="15">
        <v>18</v>
      </c>
      <c r="F445" s="8">
        <v>10000</v>
      </c>
      <c r="G445" s="9">
        <v>44.54</v>
      </c>
      <c r="H445" s="10">
        <f t="shared" si="0"/>
        <v>445400</v>
      </c>
      <c r="I445" s="5">
        <f>F445-SUMIFS(Pedidos!G:G, Pedidos!D:D, C445, Pedidos!E:E, E445, Pedidos!F:F, B445)</f>
        <v>4850</v>
      </c>
      <c r="J445" s="10">
        <f t="shared" si="1"/>
        <v>216019</v>
      </c>
    </row>
    <row r="446" spans="1:10" ht="15.75" customHeight="1">
      <c r="A446" s="5" t="s">
        <v>473</v>
      </c>
      <c r="B446" s="6" t="s">
        <v>550</v>
      </c>
      <c r="C446" s="11" t="s">
        <v>62</v>
      </c>
      <c r="D446" s="5"/>
      <c r="E446" s="14" t="s">
        <v>63</v>
      </c>
      <c r="F446" s="8">
        <v>2470</v>
      </c>
      <c r="G446" s="9">
        <v>8.26</v>
      </c>
      <c r="H446" s="10">
        <f t="shared" si="0"/>
        <v>20402.2</v>
      </c>
      <c r="I446" s="5">
        <f>F446-SUMIFS(Pedidos!G:G, Pedidos!D:D, C446, Pedidos!E:E, E446, Pedidos!F:F, B446)</f>
        <v>1725</v>
      </c>
      <c r="J446" s="10">
        <f t="shared" si="1"/>
        <v>14248.5</v>
      </c>
    </row>
    <row r="447" spans="1:10" ht="15.75" customHeight="1">
      <c r="A447" s="5" t="s">
        <v>473</v>
      </c>
      <c r="B447" s="6" t="s">
        <v>551</v>
      </c>
      <c r="C447" s="11" t="s">
        <v>62</v>
      </c>
      <c r="D447" s="5"/>
      <c r="E447" s="14" t="s">
        <v>63</v>
      </c>
      <c r="F447" s="8">
        <v>405</v>
      </c>
      <c r="G447" s="9">
        <v>41</v>
      </c>
      <c r="H447" s="10">
        <f t="shared" si="0"/>
        <v>16605</v>
      </c>
      <c r="I447" s="5">
        <f>F447-SUMIFS(Pedidos!G:G, Pedidos!D:D, C447, Pedidos!E:E, E447, Pedidos!F:F, B447)</f>
        <v>321</v>
      </c>
      <c r="J447" s="10">
        <f t="shared" si="1"/>
        <v>13161</v>
      </c>
    </row>
    <row r="448" spans="1:10" ht="15.75" customHeight="1">
      <c r="A448" s="5" t="s">
        <v>473</v>
      </c>
      <c r="B448" s="6" t="s">
        <v>552</v>
      </c>
      <c r="C448" s="11" t="s">
        <v>62</v>
      </c>
      <c r="D448" s="5"/>
      <c r="E448" s="14" t="s">
        <v>63</v>
      </c>
      <c r="F448" s="8">
        <v>60</v>
      </c>
      <c r="G448" s="9">
        <v>52</v>
      </c>
      <c r="H448" s="10">
        <f t="shared" si="0"/>
        <v>3120</v>
      </c>
      <c r="I448" s="5">
        <f>F448-SUMIFS(Pedidos!G:G, Pedidos!D:D, C448, Pedidos!E:E, E448, Pedidos!F:F, B448)</f>
        <v>55</v>
      </c>
      <c r="J448" s="10">
        <f t="shared" si="1"/>
        <v>2860</v>
      </c>
    </row>
    <row r="449" spans="1:10" ht="15.75" customHeight="1">
      <c r="A449" s="5" t="s">
        <v>473</v>
      </c>
      <c r="B449" s="6" t="s">
        <v>553</v>
      </c>
      <c r="C449" s="5" t="s">
        <v>512</v>
      </c>
      <c r="D449" s="7" t="s">
        <v>554</v>
      </c>
      <c r="E449" s="15">
        <v>19</v>
      </c>
      <c r="F449" s="8">
        <v>50</v>
      </c>
      <c r="G449" s="9">
        <v>6560.4</v>
      </c>
      <c r="H449" s="10">
        <f t="shared" si="0"/>
        <v>328020</v>
      </c>
      <c r="I449" s="5">
        <f>F449-SUMIFS(Pedidos!G:G, Pedidos!D:D, C449, Pedidos!E:E, E449, Pedidos!F:F, B449)</f>
        <v>50</v>
      </c>
      <c r="J449" s="10">
        <f t="shared" si="1"/>
        <v>328020</v>
      </c>
    </row>
    <row r="450" spans="1:10" ht="15.75" customHeight="1">
      <c r="A450" s="5" t="s">
        <v>473</v>
      </c>
      <c r="B450" s="6" t="s">
        <v>555</v>
      </c>
      <c r="C450" s="11" t="s">
        <v>62</v>
      </c>
      <c r="D450" s="5"/>
      <c r="E450" s="14" t="s">
        <v>63</v>
      </c>
      <c r="F450" s="8">
        <v>120</v>
      </c>
      <c r="G450" s="9">
        <v>83</v>
      </c>
      <c r="H450" s="10">
        <f t="shared" si="0"/>
        <v>9960</v>
      </c>
      <c r="I450" s="5">
        <f>F450-SUMIFS(Pedidos!G:G, Pedidos!D:D, C450, Pedidos!E:E, E450, Pedidos!F:F, B450)</f>
        <v>120</v>
      </c>
      <c r="J450" s="10">
        <f t="shared" si="1"/>
        <v>9960</v>
      </c>
    </row>
    <row r="451" spans="1:10" ht="15.75" customHeight="1">
      <c r="A451" s="5" t="s">
        <v>473</v>
      </c>
      <c r="B451" s="6" t="s">
        <v>556</v>
      </c>
      <c r="C451" s="11" t="s">
        <v>62</v>
      </c>
      <c r="D451" s="5"/>
      <c r="E451" s="14" t="s">
        <v>63</v>
      </c>
      <c r="F451" s="8">
        <v>240</v>
      </c>
      <c r="G451" s="9">
        <v>83</v>
      </c>
      <c r="H451" s="10">
        <f t="shared" si="0"/>
        <v>19920</v>
      </c>
      <c r="I451" s="5">
        <f>F451-SUMIFS(Pedidos!G:G, Pedidos!D:D, C451, Pedidos!E:E, E451, Pedidos!F:F, B451)</f>
        <v>240</v>
      </c>
      <c r="J451" s="10">
        <f t="shared" si="1"/>
        <v>19920</v>
      </c>
    </row>
    <row r="452" spans="1:10" ht="15.75" customHeight="1">
      <c r="A452" s="5" t="s">
        <v>473</v>
      </c>
      <c r="B452" s="6" t="s">
        <v>557</v>
      </c>
      <c r="C452" s="11" t="s">
        <v>62</v>
      </c>
      <c r="D452" s="5"/>
      <c r="E452" s="14" t="s">
        <v>63</v>
      </c>
      <c r="F452" s="8">
        <v>265</v>
      </c>
      <c r="G452" s="9">
        <v>45.25</v>
      </c>
      <c r="H452" s="10">
        <f t="shared" si="0"/>
        <v>11991.25</v>
      </c>
      <c r="I452" s="5">
        <f>F452-SUMIFS(Pedidos!G:G, Pedidos!D:D, C452, Pedidos!E:E, E452, Pedidos!F:F, B452)</f>
        <v>86</v>
      </c>
      <c r="J452" s="10">
        <f t="shared" si="1"/>
        <v>3891.5</v>
      </c>
    </row>
    <row r="453" spans="1:10" ht="15.75" customHeight="1">
      <c r="A453" s="5" t="s">
        <v>473</v>
      </c>
      <c r="B453" s="6" t="s">
        <v>558</v>
      </c>
      <c r="C453" s="5" t="s">
        <v>559</v>
      </c>
      <c r="D453" s="7" t="s">
        <v>560</v>
      </c>
      <c r="E453" s="15">
        <v>20</v>
      </c>
      <c r="F453" s="8">
        <v>20</v>
      </c>
      <c r="G453" s="9">
        <v>9350</v>
      </c>
      <c r="H453" s="10">
        <f t="shared" si="0"/>
        <v>187000</v>
      </c>
      <c r="I453" s="5">
        <f>F453-SUMIFS(Pedidos!G:G, Pedidos!D:D, C453, Pedidos!E:E, E453, Pedidos!F:F, B453)</f>
        <v>4</v>
      </c>
      <c r="J453" s="10">
        <f t="shared" si="1"/>
        <v>37400</v>
      </c>
    </row>
    <row r="454" spans="1:10" ht="15.75" customHeight="1">
      <c r="A454" s="5" t="s">
        <v>473</v>
      </c>
      <c r="B454" s="6" t="s">
        <v>561</v>
      </c>
      <c r="C454" s="5" t="s">
        <v>559</v>
      </c>
      <c r="D454" s="5" t="s">
        <v>562</v>
      </c>
      <c r="E454" s="15">
        <v>21</v>
      </c>
      <c r="F454" s="8">
        <v>50</v>
      </c>
      <c r="G454" s="9">
        <v>2244</v>
      </c>
      <c r="H454" s="10">
        <f t="shared" si="0"/>
        <v>112200</v>
      </c>
      <c r="I454" s="5">
        <f>F454-SUMIFS(Pedidos!G:G, Pedidos!D:D, C454, Pedidos!E:E, E454, Pedidos!F:F, B454)</f>
        <v>50</v>
      </c>
      <c r="J454" s="10">
        <f t="shared" si="1"/>
        <v>112200</v>
      </c>
    </row>
    <row r="455" spans="1:10" ht="15.75" customHeight="1">
      <c r="A455" s="5" t="s">
        <v>473</v>
      </c>
      <c r="B455" s="6" t="s">
        <v>563</v>
      </c>
      <c r="C455" s="5" t="s">
        <v>512</v>
      </c>
      <c r="D455" s="5" t="s">
        <v>564</v>
      </c>
      <c r="E455" s="15">
        <v>22</v>
      </c>
      <c r="F455" s="8">
        <v>20</v>
      </c>
      <c r="G455" s="9">
        <v>18142.7</v>
      </c>
      <c r="H455" s="10">
        <f t="shared" si="0"/>
        <v>362854</v>
      </c>
      <c r="I455" s="5">
        <f>F455-SUMIFS(Pedidos!G:G, Pedidos!D:D, C455, Pedidos!E:E, E455, Pedidos!F:F, B455)</f>
        <v>13</v>
      </c>
      <c r="J455" s="10">
        <f t="shared" si="1"/>
        <v>235855.1</v>
      </c>
    </row>
    <row r="456" spans="1:10" ht="15.75" customHeight="1">
      <c r="A456" s="5" t="s">
        <v>473</v>
      </c>
      <c r="B456" s="6" t="s">
        <v>565</v>
      </c>
      <c r="C456" s="11" t="s">
        <v>62</v>
      </c>
      <c r="D456" s="5"/>
      <c r="E456" s="14" t="s">
        <v>63</v>
      </c>
      <c r="F456" s="8">
        <v>187</v>
      </c>
      <c r="G456" s="9">
        <v>168</v>
      </c>
      <c r="H456" s="10">
        <f t="shared" si="0"/>
        <v>31416</v>
      </c>
      <c r="I456" s="5">
        <f>F456-SUMIFS(Pedidos!G:G, Pedidos!D:D, C456, Pedidos!E:E, E456, Pedidos!F:F, B456)</f>
        <v>162</v>
      </c>
      <c r="J456" s="10">
        <f t="shared" si="1"/>
        <v>27216</v>
      </c>
    </row>
    <row r="457" spans="1:10" ht="15.75" customHeight="1">
      <c r="A457" s="5" t="s">
        <v>473</v>
      </c>
      <c r="B457" s="6" t="s">
        <v>566</v>
      </c>
      <c r="C457" s="11" t="s">
        <v>62</v>
      </c>
      <c r="D457" s="5"/>
      <c r="E457" s="14" t="s">
        <v>63</v>
      </c>
      <c r="F457" s="8">
        <v>201</v>
      </c>
      <c r="G457" s="9">
        <v>168</v>
      </c>
      <c r="H457" s="10">
        <f t="shared" si="0"/>
        <v>33768</v>
      </c>
      <c r="I457" s="5">
        <f>F457-SUMIFS(Pedidos!G:G, Pedidos!D:D, C457, Pedidos!E:E, E457, Pedidos!F:F, B457)</f>
        <v>178</v>
      </c>
      <c r="J457" s="10">
        <f t="shared" si="1"/>
        <v>29904</v>
      </c>
    </row>
    <row r="458" spans="1:10" ht="15.75" customHeight="1">
      <c r="A458" s="5" t="s">
        <v>473</v>
      </c>
      <c r="B458" s="6" t="s">
        <v>567</v>
      </c>
      <c r="C458" s="5" t="s">
        <v>568</v>
      </c>
      <c r="D458" s="7" t="s">
        <v>569</v>
      </c>
      <c r="E458" s="15">
        <v>23</v>
      </c>
      <c r="F458" s="8">
        <v>240</v>
      </c>
      <c r="G458" s="9">
        <v>377.98</v>
      </c>
      <c r="H458" s="10">
        <f t="shared" si="0"/>
        <v>90715.200000000012</v>
      </c>
      <c r="I458" s="5">
        <f>F458-SUMIFS(Pedidos!G:G, Pedidos!D:D, C458, Pedidos!E:E, E458, Pedidos!F:F, B458)</f>
        <v>240</v>
      </c>
      <c r="J458" s="10">
        <f t="shared" si="1"/>
        <v>90715.200000000012</v>
      </c>
    </row>
    <row r="459" spans="1:10" ht="15.75" customHeight="1">
      <c r="A459" s="5" t="s">
        <v>473</v>
      </c>
      <c r="B459" s="6" t="s">
        <v>567</v>
      </c>
      <c r="C459" s="5" t="s">
        <v>62</v>
      </c>
      <c r="D459" s="5" t="s">
        <v>569</v>
      </c>
      <c r="E459" s="15" t="s">
        <v>63</v>
      </c>
      <c r="F459" s="8">
        <v>115</v>
      </c>
      <c r="G459" s="9">
        <v>18.62</v>
      </c>
      <c r="H459" s="10">
        <f t="shared" si="0"/>
        <v>2141.3000000000002</v>
      </c>
      <c r="I459" s="5">
        <f>F459-SUMIFS(Pedidos!G:G, Pedidos!D:D, C459, Pedidos!E:E, E459, Pedidos!F:F, B459)</f>
        <v>115</v>
      </c>
      <c r="J459" s="10">
        <f t="shared" si="1"/>
        <v>2141.3000000000002</v>
      </c>
    </row>
    <row r="460" spans="1:10" ht="15.75" customHeight="1">
      <c r="A460" s="5" t="s">
        <v>473</v>
      </c>
      <c r="B460" s="6" t="s">
        <v>570</v>
      </c>
      <c r="C460" s="5" t="s">
        <v>568</v>
      </c>
      <c r="D460" s="5" t="s">
        <v>571</v>
      </c>
      <c r="E460" s="15">
        <v>24</v>
      </c>
      <c r="F460" s="8">
        <v>240</v>
      </c>
      <c r="G460" s="9">
        <v>377.98</v>
      </c>
      <c r="H460" s="10">
        <f t="shared" si="0"/>
        <v>90715.200000000012</v>
      </c>
      <c r="I460" s="5">
        <f>F460-SUMIFS(Pedidos!G:G, Pedidos!D:D, C460, Pedidos!E:E, E460, Pedidos!F:F, B460)</f>
        <v>240</v>
      </c>
      <c r="J460" s="10">
        <f t="shared" si="1"/>
        <v>90715.200000000012</v>
      </c>
    </row>
    <row r="461" spans="1:10" ht="15.75" customHeight="1">
      <c r="A461" s="5" t="s">
        <v>473</v>
      </c>
      <c r="B461" s="6" t="s">
        <v>572</v>
      </c>
      <c r="C461" s="5" t="s">
        <v>568</v>
      </c>
      <c r="D461" s="5" t="s">
        <v>573</v>
      </c>
      <c r="E461" s="15">
        <v>25</v>
      </c>
      <c r="F461" s="8">
        <v>240</v>
      </c>
      <c r="G461" s="9">
        <v>377.98</v>
      </c>
      <c r="H461" s="10">
        <f t="shared" si="0"/>
        <v>90715.200000000012</v>
      </c>
      <c r="I461" s="5">
        <f>F461-SUMIFS(Pedidos!G:G, Pedidos!D:D, C461, Pedidos!E:E, E461, Pedidos!F:F, B461)</f>
        <v>240</v>
      </c>
      <c r="J461" s="10">
        <f t="shared" si="1"/>
        <v>90715.200000000012</v>
      </c>
    </row>
    <row r="462" spans="1:10" ht="14.25" customHeight="1">
      <c r="A462" s="5" t="s">
        <v>473</v>
      </c>
      <c r="B462" s="6" t="s">
        <v>572</v>
      </c>
      <c r="C462" s="5" t="s">
        <v>62</v>
      </c>
      <c r="D462" s="5" t="s">
        <v>573</v>
      </c>
      <c r="E462" s="15" t="s">
        <v>63</v>
      </c>
      <c r="F462" s="8">
        <v>102</v>
      </c>
      <c r="G462" s="9">
        <v>18.62</v>
      </c>
      <c r="H462" s="10">
        <f t="shared" si="0"/>
        <v>1899.24</v>
      </c>
      <c r="I462" s="5">
        <f>F462-SUMIFS(Pedidos!G:G, Pedidos!D:D, C462, Pedidos!E:E, E462, Pedidos!F:F, B462)</f>
        <v>102</v>
      </c>
      <c r="J462" s="10">
        <f t="shared" si="1"/>
        <v>1899.24</v>
      </c>
    </row>
    <row r="463" spans="1:10" ht="15.75" customHeight="1">
      <c r="A463" s="5" t="s">
        <v>473</v>
      </c>
      <c r="B463" s="6" t="s">
        <v>574</v>
      </c>
      <c r="C463" s="5" t="s">
        <v>568</v>
      </c>
      <c r="D463" s="5" t="s">
        <v>575</v>
      </c>
      <c r="E463" s="15">
        <v>26</v>
      </c>
      <c r="F463" s="8">
        <v>240</v>
      </c>
      <c r="G463" s="9">
        <v>377.98</v>
      </c>
      <c r="H463" s="10">
        <f t="shared" si="0"/>
        <v>90715.200000000012</v>
      </c>
      <c r="I463" s="5">
        <f>F463-SUMIFS(Pedidos!G:G, Pedidos!D:D, C463, Pedidos!E:E, E463, Pedidos!F:F, B463)</f>
        <v>240</v>
      </c>
      <c r="J463" s="10">
        <f t="shared" si="1"/>
        <v>90715.200000000012</v>
      </c>
    </row>
    <row r="464" spans="1:10" ht="15.75" customHeight="1">
      <c r="A464" s="5" t="s">
        <v>473</v>
      </c>
      <c r="B464" s="6" t="s">
        <v>574</v>
      </c>
      <c r="C464" s="5" t="s">
        <v>62</v>
      </c>
      <c r="D464" s="5" t="s">
        <v>575</v>
      </c>
      <c r="E464" s="15" t="s">
        <v>63</v>
      </c>
      <c r="F464" s="8">
        <v>160</v>
      </c>
      <c r="G464" s="9">
        <v>18.62</v>
      </c>
      <c r="H464" s="10">
        <f t="shared" si="0"/>
        <v>2979.2000000000003</v>
      </c>
      <c r="I464" s="5">
        <f>F464-SUMIFS(Pedidos!G:G, Pedidos!D:D, C464, Pedidos!E:E, E464, Pedidos!F:F, B464)</f>
        <v>151</v>
      </c>
      <c r="J464" s="10">
        <f t="shared" si="1"/>
        <v>2811.6200000000003</v>
      </c>
    </row>
    <row r="465" spans="1:10" ht="15.75" customHeight="1">
      <c r="A465" s="5" t="s">
        <v>473</v>
      </c>
      <c r="B465" s="6" t="s">
        <v>576</v>
      </c>
      <c r="C465" s="11" t="s">
        <v>62</v>
      </c>
      <c r="D465" s="5"/>
      <c r="E465" s="14" t="s">
        <v>63</v>
      </c>
      <c r="F465" s="8">
        <v>50</v>
      </c>
      <c r="G465" s="9">
        <v>3.3</v>
      </c>
      <c r="H465" s="10">
        <f t="shared" si="0"/>
        <v>165</v>
      </c>
      <c r="I465" s="5">
        <f>F465-SUMIFS(Pedidos!G:G, Pedidos!D:D, C465, Pedidos!E:E, E465, Pedidos!F:F, B465)</f>
        <v>18</v>
      </c>
      <c r="J465" s="10">
        <f t="shared" si="1"/>
        <v>59.4</v>
      </c>
    </row>
    <row r="466" spans="1:10" ht="15.75" customHeight="1">
      <c r="A466" s="5" t="s">
        <v>473</v>
      </c>
      <c r="B466" s="6" t="s">
        <v>577</v>
      </c>
      <c r="C466" s="11" t="s">
        <v>62</v>
      </c>
      <c r="D466" s="5"/>
      <c r="E466" s="14" t="s">
        <v>63</v>
      </c>
      <c r="F466" s="8">
        <v>37</v>
      </c>
      <c r="G466" s="9">
        <v>229.9</v>
      </c>
      <c r="H466" s="10">
        <f t="shared" si="0"/>
        <v>8506.3000000000011</v>
      </c>
      <c r="I466" s="5">
        <f>F466-SUMIFS(Pedidos!G:G, Pedidos!D:D, C466, Pedidos!E:E, E466, Pedidos!F:F, B466)</f>
        <v>26</v>
      </c>
      <c r="J466" s="10">
        <f t="shared" si="1"/>
        <v>5977.4000000000005</v>
      </c>
    </row>
    <row r="467" spans="1:10" ht="15.75" customHeight="1">
      <c r="A467" s="5" t="s">
        <v>473</v>
      </c>
      <c r="B467" s="6" t="s">
        <v>578</v>
      </c>
      <c r="C467" s="11" t="s">
        <v>62</v>
      </c>
      <c r="D467" s="5"/>
      <c r="E467" s="14" t="s">
        <v>63</v>
      </c>
      <c r="F467" s="8">
        <v>27</v>
      </c>
      <c r="G467" s="9">
        <v>229.9</v>
      </c>
      <c r="H467" s="10">
        <f t="shared" si="0"/>
        <v>6207.3</v>
      </c>
      <c r="I467" s="5">
        <f>F467-SUMIFS(Pedidos!G:G, Pedidos!D:D, C467, Pedidos!E:E, E467, Pedidos!F:F, B467)</f>
        <v>8</v>
      </c>
      <c r="J467" s="10">
        <f t="shared" si="1"/>
        <v>1839.2</v>
      </c>
    </row>
    <row r="468" spans="1:10" ht="15.75" customHeight="1">
      <c r="A468" s="5" t="s">
        <v>473</v>
      </c>
      <c r="B468" s="6" t="s">
        <v>579</v>
      </c>
      <c r="C468" s="11" t="s">
        <v>62</v>
      </c>
      <c r="D468" s="5"/>
      <c r="E468" s="14" t="s">
        <v>63</v>
      </c>
      <c r="F468" s="8">
        <v>232</v>
      </c>
      <c r="G468" s="9">
        <v>180.29</v>
      </c>
      <c r="H468" s="10">
        <f t="shared" si="0"/>
        <v>41827.279999999999</v>
      </c>
      <c r="I468" s="5">
        <f>F468-SUMIFS(Pedidos!G:G, Pedidos!D:D, C468, Pedidos!E:E, E468, Pedidos!F:F, B468)</f>
        <v>213</v>
      </c>
      <c r="J468" s="10">
        <f t="shared" si="1"/>
        <v>38401.769999999997</v>
      </c>
    </row>
    <row r="469" spans="1:10" ht="15.75" customHeight="1">
      <c r="A469" s="5" t="s">
        <v>473</v>
      </c>
      <c r="B469" s="6" t="s">
        <v>580</v>
      </c>
      <c r="C469" s="11" t="s">
        <v>62</v>
      </c>
      <c r="D469" s="5"/>
      <c r="E469" s="14" t="s">
        <v>63</v>
      </c>
      <c r="F469" s="8">
        <v>205</v>
      </c>
      <c r="G469" s="9">
        <v>180.29</v>
      </c>
      <c r="H469" s="10">
        <f t="shared" si="0"/>
        <v>36959.449999999997</v>
      </c>
      <c r="I469" s="5">
        <f>F469-SUMIFS(Pedidos!G:G, Pedidos!D:D, C469, Pedidos!E:E, E469, Pedidos!F:F, B469)</f>
        <v>192</v>
      </c>
      <c r="J469" s="10">
        <f t="shared" si="1"/>
        <v>34615.68</v>
      </c>
    </row>
    <row r="470" spans="1:10" ht="15.75" customHeight="1">
      <c r="A470" s="5" t="s">
        <v>473</v>
      </c>
      <c r="B470" s="6" t="s">
        <v>581</v>
      </c>
      <c r="C470" s="11" t="s">
        <v>62</v>
      </c>
      <c r="D470" s="5"/>
      <c r="E470" s="14" t="s">
        <v>63</v>
      </c>
      <c r="F470" s="8">
        <v>240</v>
      </c>
      <c r="G470" s="9">
        <v>180.29</v>
      </c>
      <c r="H470" s="10">
        <f t="shared" si="0"/>
        <v>43269.599999999999</v>
      </c>
      <c r="I470" s="5">
        <f>F470-SUMIFS(Pedidos!G:G, Pedidos!D:D, C470, Pedidos!E:E, E470, Pedidos!F:F, B470)</f>
        <v>217</v>
      </c>
      <c r="J470" s="10">
        <f t="shared" si="1"/>
        <v>39122.93</v>
      </c>
    </row>
    <row r="471" spans="1:10" ht="15.75" customHeight="1">
      <c r="A471" s="5" t="s">
        <v>473</v>
      </c>
      <c r="B471" s="6" t="s">
        <v>582</v>
      </c>
      <c r="C471" s="11" t="s">
        <v>62</v>
      </c>
      <c r="D471" s="5"/>
      <c r="E471" s="14" t="s">
        <v>63</v>
      </c>
      <c r="F471" s="8">
        <v>294</v>
      </c>
      <c r="G471" s="9">
        <v>180.29</v>
      </c>
      <c r="H471" s="10">
        <f t="shared" si="0"/>
        <v>53005.259999999995</v>
      </c>
      <c r="I471" s="5">
        <f>F471-SUMIFS(Pedidos!G:G, Pedidos!D:D, C471, Pedidos!E:E, E471, Pedidos!F:F, B471)</f>
        <v>281</v>
      </c>
      <c r="J471" s="10">
        <f t="shared" si="1"/>
        <v>50661.49</v>
      </c>
    </row>
    <row r="472" spans="1:10" ht="15.75" customHeight="1">
      <c r="A472" s="5" t="s">
        <v>473</v>
      </c>
      <c r="B472" s="6" t="s">
        <v>583</v>
      </c>
      <c r="C472" s="11" t="s">
        <v>62</v>
      </c>
      <c r="D472" s="5"/>
      <c r="E472" s="14" t="s">
        <v>63</v>
      </c>
      <c r="F472" s="8">
        <v>201</v>
      </c>
      <c r="G472" s="9">
        <v>180.29</v>
      </c>
      <c r="H472" s="10">
        <f t="shared" si="0"/>
        <v>36238.29</v>
      </c>
      <c r="I472" s="5">
        <f>F472-SUMIFS(Pedidos!G:G, Pedidos!D:D, C472, Pedidos!E:E, E472, Pedidos!F:F, B472)</f>
        <v>191</v>
      </c>
      <c r="J472" s="10">
        <f t="shared" si="1"/>
        <v>34435.39</v>
      </c>
    </row>
    <row r="473" spans="1:10" ht="15.75" customHeight="1">
      <c r="A473" s="5" t="s">
        <v>473</v>
      </c>
      <c r="B473" s="6" t="s">
        <v>584</v>
      </c>
      <c r="C473" s="11" t="s">
        <v>62</v>
      </c>
      <c r="D473" s="5"/>
      <c r="E473" s="14" t="s">
        <v>63</v>
      </c>
      <c r="F473" s="8">
        <v>221</v>
      </c>
      <c r="G473" s="9">
        <v>180.29</v>
      </c>
      <c r="H473" s="10">
        <f t="shared" si="0"/>
        <v>39844.089999999997</v>
      </c>
      <c r="I473" s="5">
        <f>F473-SUMIFS(Pedidos!G:G, Pedidos!D:D, C473, Pedidos!E:E, E473, Pedidos!F:F, B473)</f>
        <v>221</v>
      </c>
      <c r="J473" s="10">
        <f t="shared" si="1"/>
        <v>39844.089999999997</v>
      </c>
    </row>
    <row r="474" spans="1:10" ht="15.75" customHeight="1">
      <c r="A474" s="5" t="s">
        <v>473</v>
      </c>
      <c r="B474" s="6" t="s">
        <v>585</v>
      </c>
      <c r="C474" s="5" t="s">
        <v>586</v>
      </c>
      <c r="D474" s="7" t="s">
        <v>587</v>
      </c>
      <c r="E474" s="15">
        <v>1</v>
      </c>
      <c r="F474" s="8">
        <v>1000</v>
      </c>
      <c r="G474" s="9">
        <v>4310</v>
      </c>
      <c r="H474" s="10">
        <f t="shared" si="0"/>
        <v>4310000</v>
      </c>
      <c r="I474" s="5">
        <f>F474-SUMIFS(Pedidos!G:G, Pedidos!D:D, C474, Pedidos!E:E, E474, Pedidos!F:F, B474)</f>
        <v>814</v>
      </c>
      <c r="J474" s="10">
        <f t="shared" si="1"/>
        <v>3508340</v>
      </c>
    </row>
    <row r="475" spans="1:10" ht="15.75" customHeight="1">
      <c r="A475" s="5" t="s">
        <v>473</v>
      </c>
      <c r="B475" s="6" t="s">
        <v>588</v>
      </c>
      <c r="C475" s="11" t="s">
        <v>62</v>
      </c>
      <c r="D475" s="5"/>
      <c r="E475" s="14" t="s">
        <v>63</v>
      </c>
      <c r="F475" s="8">
        <v>391</v>
      </c>
      <c r="G475" s="9">
        <v>1880</v>
      </c>
      <c r="H475" s="10">
        <f t="shared" si="0"/>
        <v>735080</v>
      </c>
      <c r="I475" s="5">
        <f>F475-SUMIFS(Pedidos!G:G, Pedidos!D:D, C475, Pedidos!E:E, E475, Pedidos!F:F, B475)</f>
        <v>334</v>
      </c>
      <c r="J475" s="10">
        <f t="shared" si="1"/>
        <v>627920</v>
      </c>
    </row>
    <row r="476" spans="1:10" ht="15.75" customHeight="1">
      <c r="A476" s="5" t="s">
        <v>473</v>
      </c>
      <c r="B476" s="6" t="s">
        <v>589</v>
      </c>
      <c r="C476" s="11" t="s">
        <v>62</v>
      </c>
      <c r="D476" s="5"/>
      <c r="E476" s="14" t="s">
        <v>63</v>
      </c>
      <c r="F476" s="8">
        <v>5</v>
      </c>
      <c r="G476" s="9">
        <v>4089.8</v>
      </c>
      <c r="H476" s="10">
        <f t="shared" si="0"/>
        <v>20449</v>
      </c>
      <c r="I476" s="5">
        <f>F476-SUMIFS(Pedidos!G:G, Pedidos!D:D, C476, Pedidos!E:E, E476, Pedidos!F:F, B476)</f>
        <v>5</v>
      </c>
      <c r="J476" s="10">
        <f t="shared" si="1"/>
        <v>20449</v>
      </c>
    </row>
    <row r="477" spans="1:10" ht="15.75" customHeight="1">
      <c r="A477" s="5" t="s">
        <v>473</v>
      </c>
      <c r="B477" s="6" t="s">
        <v>590</v>
      </c>
      <c r="C477" s="11" t="s">
        <v>62</v>
      </c>
      <c r="D477" s="5"/>
      <c r="E477" s="14" t="s">
        <v>63</v>
      </c>
      <c r="F477" s="8">
        <v>12</v>
      </c>
      <c r="G477" s="9">
        <v>135</v>
      </c>
      <c r="H477" s="10">
        <f t="shared" si="0"/>
        <v>1620</v>
      </c>
      <c r="I477" s="5">
        <f>F477-SUMIFS(Pedidos!G:G, Pedidos!D:D, C477, Pedidos!E:E, E477, Pedidos!F:F, B477)</f>
        <v>12</v>
      </c>
      <c r="J477" s="10">
        <f t="shared" si="1"/>
        <v>1620</v>
      </c>
    </row>
    <row r="478" spans="1:10" ht="15.75" customHeight="1">
      <c r="A478" s="5" t="s">
        <v>473</v>
      </c>
      <c r="B478" s="6" t="s">
        <v>591</v>
      </c>
      <c r="C478" s="11" t="s">
        <v>62</v>
      </c>
      <c r="D478" s="5"/>
      <c r="E478" s="14" t="s">
        <v>63</v>
      </c>
      <c r="F478" s="8">
        <v>806</v>
      </c>
      <c r="G478" s="9">
        <v>1</v>
      </c>
      <c r="H478" s="10">
        <f t="shared" si="0"/>
        <v>806</v>
      </c>
      <c r="I478" s="5">
        <f>F478-SUMIFS(Pedidos!G:G, Pedidos!D:D, C478, Pedidos!E:E, E478, Pedidos!F:F, B478)</f>
        <v>806</v>
      </c>
      <c r="J478" s="10">
        <f t="shared" si="1"/>
        <v>806</v>
      </c>
    </row>
    <row r="479" spans="1:10" ht="15.75" customHeight="1">
      <c r="A479" s="5" t="s">
        <v>473</v>
      </c>
      <c r="B479" s="6" t="s">
        <v>592</v>
      </c>
      <c r="C479" s="11" t="s">
        <v>62</v>
      </c>
      <c r="D479" s="5"/>
      <c r="E479" s="14" t="s">
        <v>63</v>
      </c>
      <c r="F479" s="8">
        <v>62</v>
      </c>
      <c r="G479" s="9">
        <v>2.8</v>
      </c>
      <c r="H479" s="10">
        <f t="shared" si="0"/>
        <v>173.6</v>
      </c>
      <c r="I479" s="5">
        <f>F479-SUMIFS(Pedidos!G:G, Pedidos!D:D, C479, Pedidos!E:E, E479, Pedidos!F:F, B479)</f>
        <v>62</v>
      </c>
      <c r="J479" s="10">
        <f t="shared" si="1"/>
        <v>173.6</v>
      </c>
    </row>
    <row r="480" spans="1:10" ht="15.75" customHeight="1">
      <c r="A480" s="5" t="s">
        <v>473</v>
      </c>
      <c r="B480" s="6" t="s">
        <v>593</v>
      </c>
      <c r="C480" s="11" t="s">
        <v>62</v>
      </c>
      <c r="D480" s="5"/>
      <c r="E480" s="14" t="s">
        <v>63</v>
      </c>
      <c r="F480" s="8">
        <v>22</v>
      </c>
      <c r="G480" s="16">
        <v>93.5</v>
      </c>
      <c r="H480" s="10">
        <f t="shared" si="0"/>
        <v>2057</v>
      </c>
      <c r="I480" s="5">
        <f>F480-SUMIFS(Pedidos!G:G, Pedidos!D:D, C480, Pedidos!E:E, E480, Pedidos!F:F, B480)</f>
        <v>13</v>
      </c>
      <c r="J480" s="10">
        <f t="shared" si="1"/>
        <v>1215.5</v>
      </c>
    </row>
    <row r="481" spans="1:10" ht="15.75" customHeight="1">
      <c r="A481" s="5" t="s">
        <v>473</v>
      </c>
      <c r="B481" s="6" t="s">
        <v>593</v>
      </c>
      <c r="C481" s="11" t="s">
        <v>68</v>
      </c>
      <c r="D481" s="5"/>
      <c r="E481" s="14" t="s">
        <v>63</v>
      </c>
      <c r="F481" s="8">
        <v>30</v>
      </c>
      <c r="G481" s="16">
        <v>498</v>
      </c>
      <c r="H481" s="10">
        <f t="shared" si="0"/>
        <v>14940</v>
      </c>
      <c r="I481" s="5">
        <f>F481-SUMIFS(Pedidos!G:G, Pedidos!D:D, C481, Pedidos!E:E, E481, Pedidos!F:F, B481)</f>
        <v>30</v>
      </c>
      <c r="J481" s="10">
        <f t="shared" si="1"/>
        <v>14940</v>
      </c>
    </row>
    <row r="482" spans="1:10" ht="15.75" customHeight="1">
      <c r="A482" s="5" t="s">
        <v>473</v>
      </c>
      <c r="B482" s="6" t="s">
        <v>594</v>
      </c>
      <c r="C482" s="11" t="s">
        <v>62</v>
      </c>
      <c r="D482" s="5"/>
      <c r="E482" s="14" t="s">
        <v>63</v>
      </c>
      <c r="F482" s="8">
        <v>27</v>
      </c>
      <c r="G482" s="16">
        <v>765</v>
      </c>
      <c r="H482" s="10">
        <f t="shared" si="0"/>
        <v>20655</v>
      </c>
      <c r="I482" s="5">
        <f>F482-SUMIFS(Pedidos!G:G, Pedidos!D:D, C482, Pedidos!E:E, E482, Pedidos!F:F, B482)</f>
        <v>27</v>
      </c>
      <c r="J482" s="10">
        <f t="shared" si="1"/>
        <v>20655</v>
      </c>
    </row>
    <row r="483" spans="1:10" ht="15.75" customHeight="1">
      <c r="A483" s="5" t="s">
        <v>473</v>
      </c>
      <c r="B483" s="6" t="s">
        <v>595</v>
      </c>
      <c r="C483" s="11" t="s">
        <v>62</v>
      </c>
      <c r="D483" s="5"/>
      <c r="E483" s="14" t="s">
        <v>63</v>
      </c>
      <c r="F483" s="8">
        <v>63</v>
      </c>
      <c r="G483" s="16">
        <v>188.4</v>
      </c>
      <c r="H483" s="10">
        <f t="shared" si="0"/>
        <v>11869.2</v>
      </c>
      <c r="I483" s="5">
        <f>F483-SUMIFS(Pedidos!G:G, Pedidos!D:D, C483, Pedidos!E:E, E483, Pedidos!F:F, B483)</f>
        <v>63</v>
      </c>
      <c r="J483" s="10">
        <f t="shared" si="1"/>
        <v>11869.2</v>
      </c>
    </row>
    <row r="484" spans="1:10" ht="15.75" customHeight="1">
      <c r="A484" s="5" t="s">
        <v>473</v>
      </c>
      <c r="B484" s="6" t="s">
        <v>596</v>
      </c>
      <c r="C484" s="11" t="s">
        <v>62</v>
      </c>
      <c r="D484" s="5"/>
      <c r="E484" s="14" t="s">
        <v>63</v>
      </c>
      <c r="F484" s="8">
        <v>38</v>
      </c>
      <c r="G484" s="16">
        <v>196.4</v>
      </c>
      <c r="H484" s="10">
        <f t="shared" si="0"/>
        <v>7463.2</v>
      </c>
      <c r="I484" s="5">
        <f>F484-SUMIFS(Pedidos!G:G, Pedidos!D:D, C484, Pedidos!E:E, E484, Pedidos!F:F, B484)</f>
        <v>38</v>
      </c>
      <c r="J484" s="10">
        <f t="shared" si="1"/>
        <v>7463.2</v>
      </c>
    </row>
    <row r="485" spans="1:10" ht="15.75" customHeight="1">
      <c r="A485" s="5" t="s">
        <v>473</v>
      </c>
      <c r="B485" s="6" t="s">
        <v>597</v>
      </c>
      <c r="C485" s="11" t="s">
        <v>62</v>
      </c>
      <c r="D485" s="5"/>
      <c r="E485" s="14" t="s">
        <v>63</v>
      </c>
      <c r="F485" s="8">
        <v>47</v>
      </c>
      <c r="G485" s="16">
        <v>28.16</v>
      </c>
      <c r="H485" s="10">
        <f t="shared" si="0"/>
        <v>1323.52</v>
      </c>
      <c r="I485" s="5">
        <f>F485-SUMIFS(Pedidos!G:G, Pedidos!D:D, C485, Pedidos!E:E, E485, Pedidos!F:F, B485)</f>
        <v>47</v>
      </c>
      <c r="J485" s="10">
        <f t="shared" si="1"/>
        <v>1323.52</v>
      </c>
    </row>
    <row r="486" spans="1:10" ht="15.75" customHeight="1">
      <c r="A486" s="5" t="s">
        <v>473</v>
      </c>
      <c r="B486" s="6" t="s">
        <v>598</v>
      </c>
      <c r="C486" s="11" t="s">
        <v>62</v>
      </c>
      <c r="D486" s="5"/>
      <c r="E486" s="14" t="s">
        <v>63</v>
      </c>
      <c r="F486" s="8">
        <v>113</v>
      </c>
      <c r="G486" s="16">
        <v>111.49</v>
      </c>
      <c r="H486" s="10">
        <f t="shared" si="0"/>
        <v>12598.369999999999</v>
      </c>
      <c r="I486" s="5">
        <f>F486-SUMIFS(Pedidos!G:G, Pedidos!D:D, C486, Pedidos!E:E, E486, Pedidos!F:F, B486)</f>
        <v>94</v>
      </c>
      <c r="J486" s="10">
        <f t="shared" si="1"/>
        <v>10480.06</v>
      </c>
    </row>
    <row r="487" spans="1:10" ht="15.75" customHeight="1">
      <c r="A487" s="5" t="s">
        <v>473</v>
      </c>
      <c r="B487" s="6" t="s">
        <v>599</v>
      </c>
      <c r="C487" s="11" t="s">
        <v>62</v>
      </c>
      <c r="D487" s="5"/>
      <c r="E487" s="14" t="s">
        <v>63</v>
      </c>
      <c r="F487" s="8">
        <v>10</v>
      </c>
      <c r="G487" s="16">
        <v>1825</v>
      </c>
      <c r="H487" s="10">
        <f t="shared" si="0"/>
        <v>18250</v>
      </c>
      <c r="I487" s="5">
        <f>F487-SUMIFS(Pedidos!G:G, Pedidos!D:D, C487, Pedidos!E:E, E487, Pedidos!F:F, B487)</f>
        <v>10</v>
      </c>
      <c r="J487" s="10">
        <f t="shared" si="1"/>
        <v>18250</v>
      </c>
    </row>
    <row r="488" spans="1:10" ht="15.75" customHeight="1">
      <c r="A488" s="5" t="s">
        <v>473</v>
      </c>
      <c r="B488" s="6" t="s">
        <v>600</v>
      </c>
      <c r="C488" s="11" t="s">
        <v>62</v>
      </c>
      <c r="D488" s="5"/>
      <c r="E488" s="14" t="s">
        <v>63</v>
      </c>
      <c r="F488" s="8">
        <v>10</v>
      </c>
      <c r="G488" s="16">
        <v>568</v>
      </c>
      <c r="H488" s="10">
        <f t="shared" si="0"/>
        <v>5680</v>
      </c>
      <c r="I488" s="5">
        <f>F488-SUMIFS(Pedidos!G:G, Pedidos!D:D, C488, Pedidos!E:E, E488, Pedidos!F:F, B488)</f>
        <v>10</v>
      </c>
      <c r="J488" s="10">
        <f t="shared" si="1"/>
        <v>5680</v>
      </c>
    </row>
    <row r="489" spans="1:10" ht="15.75" customHeight="1">
      <c r="A489" s="5" t="s">
        <v>473</v>
      </c>
      <c r="B489" s="6" t="s">
        <v>601</v>
      </c>
      <c r="C489" s="11" t="s">
        <v>62</v>
      </c>
      <c r="D489" s="5"/>
      <c r="E489" s="14" t="s">
        <v>63</v>
      </c>
      <c r="F489" s="8">
        <v>390</v>
      </c>
      <c r="G489" s="9">
        <v>29.8</v>
      </c>
      <c r="H489" s="10">
        <f t="shared" si="0"/>
        <v>11622</v>
      </c>
      <c r="I489" s="5">
        <f>F489-SUMIFS(Pedidos!G:G, Pedidos!D:D, C489, Pedidos!E:E, E489, Pedidos!F:F, B489)</f>
        <v>390</v>
      </c>
      <c r="J489" s="10">
        <f t="shared" si="1"/>
        <v>11622</v>
      </c>
    </row>
    <row r="490" spans="1:10" ht="15.75" customHeight="1">
      <c r="A490" s="5" t="s">
        <v>473</v>
      </c>
      <c r="B490" s="6" t="s">
        <v>602</v>
      </c>
      <c r="C490" s="5" t="s">
        <v>489</v>
      </c>
      <c r="D490" s="7" t="s">
        <v>603</v>
      </c>
      <c r="E490" s="15">
        <v>27</v>
      </c>
      <c r="F490" s="8">
        <v>420</v>
      </c>
      <c r="G490" s="9">
        <v>202.6</v>
      </c>
      <c r="H490" s="10">
        <f t="shared" si="0"/>
        <v>85092</v>
      </c>
      <c r="I490" s="5">
        <f>F490-SUMIFS(Pedidos!G:G, Pedidos!D:D, C490, Pedidos!E:E, E490, Pedidos!F:F, B490)</f>
        <v>223</v>
      </c>
      <c r="J490" s="10">
        <f t="shared" si="1"/>
        <v>45179.799999999996</v>
      </c>
    </row>
    <row r="491" spans="1:10" ht="15.75" customHeight="1">
      <c r="A491" s="5" t="s">
        <v>473</v>
      </c>
      <c r="B491" s="6" t="s">
        <v>604</v>
      </c>
      <c r="C491" s="5" t="s">
        <v>489</v>
      </c>
      <c r="D491" s="5" t="s">
        <v>605</v>
      </c>
      <c r="E491" s="15">
        <v>28</v>
      </c>
      <c r="F491" s="8">
        <v>420</v>
      </c>
      <c r="G491" s="9">
        <v>202.6</v>
      </c>
      <c r="H491" s="10">
        <f t="shared" si="0"/>
        <v>85092</v>
      </c>
      <c r="I491" s="5">
        <f>F491-SUMIFS(Pedidos!G:G, Pedidos!D:D, C491, Pedidos!E:E, E491, Pedidos!F:F, B491)</f>
        <v>234</v>
      </c>
      <c r="J491" s="10">
        <f t="shared" si="1"/>
        <v>47408.4</v>
      </c>
    </row>
    <row r="492" spans="1:10" ht="15.75" customHeight="1">
      <c r="A492" s="5" t="s">
        <v>473</v>
      </c>
      <c r="B492" s="6" t="s">
        <v>606</v>
      </c>
      <c r="C492" s="5" t="s">
        <v>489</v>
      </c>
      <c r="D492" s="5" t="s">
        <v>607</v>
      </c>
      <c r="E492" s="15">
        <v>29</v>
      </c>
      <c r="F492" s="8">
        <v>420</v>
      </c>
      <c r="G492" s="9">
        <v>202.6</v>
      </c>
      <c r="H492" s="10">
        <f t="shared" si="0"/>
        <v>85092</v>
      </c>
      <c r="I492" s="5">
        <f>F492-SUMIFS(Pedidos!G:G, Pedidos!D:D, C492, Pedidos!E:E, E492, Pedidos!F:F, B492)</f>
        <v>224</v>
      </c>
      <c r="J492" s="10">
        <f t="shared" si="1"/>
        <v>45382.400000000001</v>
      </c>
    </row>
    <row r="493" spans="1:10" ht="15.75" customHeight="1">
      <c r="A493" s="5" t="s">
        <v>473</v>
      </c>
      <c r="B493" s="6" t="s">
        <v>608</v>
      </c>
      <c r="C493" s="5" t="s">
        <v>489</v>
      </c>
      <c r="D493" s="5" t="s">
        <v>607</v>
      </c>
      <c r="E493" s="15">
        <v>30</v>
      </c>
      <c r="F493" s="8">
        <v>420</v>
      </c>
      <c r="G493" s="9">
        <v>202.6</v>
      </c>
      <c r="H493" s="10">
        <f t="shared" si="0"/>
        <v>85092</v>
      </c>
      <c r="I493" s="5">
        <f>F493-SUMIFS(Pedidos!G:G, Pedidos!D:D, C493, Pedidos!E:E, E493, Pedidos!F:F, B493)</f>
        <v>230</v>
      </c>
      <c r="J493" s="10">
        <f t="shared" si="1"/>
        <v>46598</v>
      </c>
    </row>
    <row r="494" spans="1:10" ht="15.75" customHeight="1">
      <c r="A494" s="5" t="s">
        <v>473</v>
      </c>
      <c r="B494" s="6" t="s">
        <v>609</v>
      </c>
      <c r="C494" s="5" t="s">
        <v>489</v>
      </c>
      <c r="D494" s="5" t="s">
        <v>607</v>
      </c>
      <c r="E494" s="15">
        <v>31</v>
      </c>
      <c r="F494" s="8">
        <v>420</v>
      </c>
      <c r="G494" s="9">
        <v>202.6</v>
      </c>
      <c r="H494" s="10">
        <f t="shared" si="0"/>
        <v>85092</v>
      </c>
      <c r="I494" s="5">
        <f>F494-SUMIFS(Pedidos!G:G, Pedidos!D:D, C494, Pedidos!E:E, E494, Pedidos!F:F, B494)</f>
        <v>224</v>
      </c>
      <c r="J494" s="10">
        <f t="shared" si="1"/>
        <v>45382.400000000001</v>
      </c>
    </row>
    <row r="495" spans="1:10" ht="15.75" customHeight="1">
      <c r="A495" s="5" t="s">
        <v>473</v>
      </c>
      <c r="B495" s="6" t="s">
        <v>610</v>
      </c>
      <c r="C495" s="11" t="s">
        <v>62</v>
      </c>
      <c r="D495" s="5"/>
      <c r="E495" s="14" t="s">
        <v>63</v>
      </c>
      <c r="F495" s="8">
        <v>907</v>
      </c>
      <c r="G495" s="9">
        <v>363</v>
      </c>
      <c r="H495" s="10">
        <f t="shared" si="0"/>
        <v>329241</v>
      </c>
      <c r="I495" s="5">
        <f>F495-SUMIFS(Pedidos!G:G, Pedidos!D:D, C495, Pedidos!E:E, E495, Pedidos!F:F, B495)</f>
        <v>898</v>
      </c>
      <c r="J495" s="10">
        <f t="shared" si="1"/>
        <v>325974</v>
      </c>
    </row>
    <row r="496" spans="1:10" ht="15.75" customHeight="1">
      <c r="A496" s="5" t="s">
        <v>473</v>
      </c>
      <c r="B496" s="6" t="s">
        <v>611</v>
      </c>
      <c r="C496" s="5" t="s">
        <v>479</v>
      </c>
      <c r="D496" s="7" t="s">
        <v>612</v>
      </c>
      <c r="E496" s="15">
        <v>32</v>
      </c>
      <c r="F496" s="8">
        <v>100</v>
      </c>
      <c r="G496" s="9">
        <v>142.08000000000001</v>
      </c>
      <c r="H496" s="10">
        <f t="shared" si="0"/>
        <v>14208.000000000002</v>
      </c>
      <c r="I496" s="5">
        <f>F496-SUMIFS(Pedidos!G:G, Pedidos!D:D, C496, Pedidos!E:E, E496, Pedidos!F:F, B496)</f>
        <v>10</v>
      </c>
      <c r="J496" s="10">
        <f t="shared" si="1"/>
        <v>1420.8000000000002</v>
      </c>
    </row>
    <row r="497" spans="1:10" ht="15.75" customHeight="1">
      <c r="A497" s="5" t="s">
        <v>473</v>
      </c>
      <c r="B497" s="6" t="s">
        <v>613</v>
      </c>
      <c r="C497" s="11" t="s">
        <v>62</v>
      </c>
      <c r="D497" s="5"/>
      <c r="E497" s="14" t="s">
        <v>63</v>
      </c>
      <c r="F497" s="8">
        <v>40</v>
      </c>
      <c r="G497" s="9">
        <v>38</v>
      </c>
      <c r="H497" s="10">
        <f t="shared" si="0"/>
        <v>1520</v>
      </c>
      <c r="I497" s="5">
        <f>F497-SUMIFS(Pedidos!G:G, Pedidos!D:D, C497, Pedidos!E:E, E497, Pedidos!F:F, B497)</f>
        <v>39</v>
      </c>
      <c r="J497" s="10">
        <f t="shared" si="1"/>
        <v>1482</v>
      </c>
    </row>
    <row r="498" spans="1:10" ht="15.75" customHeight="1">
      <c r="A498" s="5" t="s">
        <v>473</v>
      </c>
      <c r="B498" s="6" t="s">
        <v>613</v>
      </c>
      <c r="C498" s="11" t="s">
        <v>68</v>
      </c>
      <c r="D498" s="5"/>
      <c r="E498" s="14" t="s">
        <v>63</v>
      </c>
      <c r="F498" s="8">
        <v>20</v>
      </c>
      <c r="G498" s="9">
        <v>138.47999999999999</v>
      </c>
      <c r="H498" s="10">
        <f t="shared" si="0"/>
        <v>2769.6</v>
      </c>
      <c r="I498" s="5">
        <f>F498-SUMIFS(Pedidos!G:G, Pedidos!D:D, C498, Pedidos!E:E, E498, Pedidos!F:F, B498)</f>
        <v>20</v>
      </c>
      <c r="J498" s="10">
        <f t="shared" si="1"/>
        <v>2769.6</v>
      </c>
    </row>
    <row r="499" spans="1:10" ht="15.75" customHeight="1">
      <c r="A499" s="5" t="s">
        <v>473</v>
      </c>
      <c r="B499" s="6" t="s">
        <v>614</v>
      </c>
      <c r="C499" s="11" t="s">
        <v>62</v>
      </c>
      <c r="D499" s="5"/>
      <c r="E499" s="14" t="s">
        <v>63</v>
      </c>
      <c r="F499" s="8">
        <v>28</v>
      </c>
      <c r="G499" s="9">
        <v>58</v>
      </c>
      <c r="H499" s="10">
        <f t="shared" si="0"/>
        <v>1624</v>
      </c>
      <c r="I499" s="5">
        <f>F499-SUMIFS(Pedidos!G:G, Pedidos!D:D, C499, Pedidos!E:E, E499, Pedidos!F:F, B499)</f>
        <v>28</v>
      </c>
      <c r="J499" s="10">
        <f t="shared" si="1"/>
        <v>1624</v>
      </c>
    </row>
    <row r="500" spans="1:10" ht="15.75" customHeight="1">
      <c r="A500" s="5" t="s">
        <v>473</v>
      </c>
      <c r="B500" s="6" t="s">
        <v>614</v>
      </c>
      <c r="C500" s="11" t="s">
        <v>68</v>
      </c>
      <c r="D500" s="5"/>
      <c r="E500" s="14" t="s">
        <v>63</v>
      </c>
      <c r="F500" s="8">
        <v>20</v>
      </c>
      <c r="G500" s="9">
        <v>178</v>
      </c>
      <c r="H500" s="10">
        <f t="shared" si="0"/>
        <v>3560</v>
      </c>
      <c r="I500" s="5">
        <f>F500-SUMIFS(Pedidos!G:G, Pedidos!D:D, C500, Pedidos!E:E, E500, Pedidos!F:F, B500)</f>
        <v>20</v>
      </c>
      <c r="J500" s="10">
        <f t="shared" si="1"/>
        <v>3560</v>
      </c>
    </row>
    <row r="501" spans="1:10" ht="15.75" customHeight="1">
      <c r="A501" s="5" t="s">
        <v>473</v>
      </c>
      <c r="B501" s="6" t="s">
        <v>615</v>
      </c>
      <c r="C501" s="11" t="s">
        <v>62</v>
      </c>
      <c r="D501" s="5"/>
      <c r="E501" s="14" t="s">
        <v>63</v>
      </c>
      <c r="F501" s="8">
        <v>453</v>
      </c>
      <c r="G501" s="9">
        <v>138</v>
      </c>
      <c r="H501" s="10">
        <f t="shared" si="0"/>
        <v>62514</v>
      </c>
      <c r="I501" s="5">
        <f>F501-SUMIFS(Pedidos!G:G, Pedidos!D:D, C501, Pedidos!E:E, E501, Pedidos!F:F, B501)</f>
        <v>453</v>
      </c>
      <c r="J501" s="10">
        <f t="shared" si="1"/>
        <v>62514</v>
      </c>
    </row>
    <row r="502" spans="1:10" ht="15.75" customHeight="1">
      <c r="A502" s="5" t="s">
        <v>473</v>
      </c>
      <c r="B502" s="6" t="s">
        <v>616</v>
      </c>
      <c r="C502" s="11" t="s">
        <v>62</v>
      </c>
      <c r="D502" s="5"/>
      <c r="E502" s="14" t="s">
        <v>63</v>
      </c>
      <c r="F502" s="8">
        <v>4269</v>
      </c>
      <c r="G502" s="9">
        <v>0.42399999999999999</v>
      </c>
      <c r="H502" s="10">
        <f t="shared" si="0"/>
        <v>1810.056</v>
      </c>
      <c r="I502" s="5">
        <f>F502-SUMIFS(Pedidos!G:G, Pedidos!D:D, C502, Pedidos!E:E, E502, Pedidos!F:F, B502)</f>
        <v>4269</v>
      </c>
      <c r="J502" s="10">
        <f t="shared" si="1"/>
        <v>1810.056</v>
      </c>
    </row>
    <row r="503" spans="1:10" ht="15.75" customHeight="1">
      <c r="A503" s="5" t="s">
        <v>473</v>
      </c>
      <c r="B503" s="6" t="s">
        <v>617</v>
      </c>
      <c r="C503" s="11" t="s">
        <v>62</v>
      </c>
      <c r="D503" s="5"/>
      <c r="E503" s="14" t="s">
        <v>63</v>
      </c>
      <c r="F503" s="8">
        <v>4510</v>
      </c>
      <c r="G503" s="9">
        <v>13.74</v>
      </c>
      <c r="H503" s="10">
        <f t="shared" si="0"/>
        <v>61967.4</v>
      </c>
      <c r="I503" s="5">
        <f>F503-SUMIFS(Pedidos!G:G, Pedidos!D:D, C503, Pedidos!E:E, E503, Pedidos!F:F, B503)</f>
        <v>4420</v>
      </c>
      <c r="J503" s="10">
        <f t="shared" si="1"/>
        <v>60730.8</v>
      </c>
    </row>
    <row r="504" spans="1:10" ht="15.75" customHeight="1">
      <c r="A504" s="5" t="s">
        <v>473</v>
      </c>
      <c r="B504" s="6" t="s">
        <v>618</v>
      </c>
      <c r="C504" s="11" t="s">
        <v>62</v>
      </c>
      <c r="D504" s="5"/>
      <c r="E504" s="14" t="s">
        <v>63</v>
      </c>
      <c r="F504" s="8">
        <v>1110</v>
      </c>
      <c r="G504" s="17">
        <v>0.91</v>
      </c>
      <c r="H504" s="10">
        <f t="shared" si="0"/>
        <v>1010.1</v>
      </c>
      <c r="I504" s="5">
        <f>F504-SUMIFS(Pedidos!G:G, Pedidos!D:D, C504, Pedidos!E:E, E504, Pedidos!F:F, B504)</f>
        <v>1110</v>
      </c>
      <c r="J504" s="10">
        <f t="shared" si="1"/>
        <v>1010.1</v>
      </c>
    </row>
    <row r="505" spans="1:10" ht="15.75" customHeight="1">
      <c r="A505" s="5" t="s">
        <v>473</v>
      </c>
      <c r="B505" s="6" t="s">
        <v>619</v>
      </c>
      <c r="C505" s="11" t="s">
        <v>62</v>
      </c>
      <c r="D505" s="5"/>
      <c r="E505" s="14" t="s">
        <v>63</v>
      </c>
      <c r="F505" s="8">
        <v>5830</v>
      </c>
      <c r="G505" s="17">
        <v>13.977</v>
      </c>
      <c r="H505" s="10">
        <f t="shared" si="0"/>
        <v>81485.91</v>
      </c>
      <c r="I505" s="5">
        <f>F505-SUMIFS(Pedidos!G:G, Pedidos!D:D, C505, Pedidos!E:E, E505, Pedidos!F:F, B505)</f>
        <v>5580</v>
      </c>
      <c r="J505" s="10">
        <f t="shared" si="1"/>
        <v>77991.66</v>
      </c>
    </row>
    <row r="506" spans="1:10" ht="15.75" customHeight="1">
      <c r="A506" s="5" t="s">
        <v>473</v>
      </c>
      <c r="B506" s="6" t="s">
        <v>619</v>
      </c>
      <c r="C506" s="11" t="s">
        <v>68</v>
      </c>
      <c r="D506" s="5"/>
      <c r="E506" s="14" t="s">
        <v>63</v>
      </c>
      <c r="F506" s="8">
        <v>10000</v>
      </c>
      <c r="G506" s="17">
        <v>12.96</v>
      </c>
      <c r="H506" s="10">
        <f t="shared" si="0"/>
        <v>129600.00000000001</v>
      </c>
      <c r="I506" s="5">
        <f>F506-SUMIFS(Pedidos!G:G, Pedidos!D:D, C506, Pedidos!E:E, E506, Pedidos!F:F, B506)</f>
        <v>10000</v>
      </c>
      <c r="J506" s="10">
        <f t="shared" si="1"/>
        <v>129600.00000000001</v>
      </c>
    </row>
    <row r="507" spans="1:10" ht="15.75" customHeight="1">
      <c r="A507" s="5" t="s">
        <v>473</v>
      </c>
      <c r="B507" s="6" t="s">
        <v>620</v>
      </c>
      <c r="C507" s="11" t="s">
        <v>62</v>
      </c>
      <c r="D507" s="5"/>
      <c r="E507" s="14" t="s">
        <v>63</v>
      </c>
      <c r="F507" s="8">
        <v>4200</v>
      </c>
      <c r="G507" s="17">
        <v>4.3499999999999996</v>
      </c>
      <c r="H507" s="10">
        <f t="shared" si="0"/>
        <v>18270</v>
      </c>
      <c r="I507" s="5">
        <f>F507-SUMIFS(Pedidos!G:G, Pedidos!D:D, C507, Pedidos!E:E, E507, Pedidos!F:F, B507)</f>
        <v>4200</v>
      </c>
      <c r="J507" s="10">
        <f t="shared" si="1"/>
        <v>18270</v>
      </c>
    </row>
    <row r="508" spans="1:10" ht="15.75" customHeight="1">
      <c r="A508" s="5" t="s">
        <v>473</v>
      </c>
      <c r="B508" s="6" t="s">
        <v>621</v>
      </c>
      <c r="C508" s="11" t="s">
        <v>62</v>
      </c>
      <c r="D508" s="5"/>
      <c r="E508" s="14" t="s">
        <v>63</v>
      </c>
      <c r="F508" s="8">
        <v>4605</v>
      </c>
      <c r="G508" s="17">
        <v>5.17</v>
      </c>
      <c r="H508" s="10">
        <f t="shared" si="0"/>
        <v>23807.85</v>
      </c>
      <c r="I508" s="5">
        <f>F508-SUMIFS(Pedidos!G:G, Pedidos!D:D, C508, Pedidos!E:E, E508, Pedidos!F:F, B508)</f>
        <v>4605</v>
      </c>
      <c r="J508" s="10">
        <f t="shared" si="1"/>
        <v>23807.85</v>
      </c>
    </row>
    <row r="509" spans="1:10" ht="15.75" customHeight="1">
      <c r="A509" s="5" t="s">
        <v>473</v>
      </c>
      <c r="B509" s="6" t="s">
        <v>622</v>
      </c>
      <c r="C509" s="11" t="s">
        <v>62</v>
      </c>
      <c r="D509" s="5"/>
      <c r="E509" s="14" t="s">
        <v>63</v>
      </c>
      <c r="F509" s="8">
        <v>4735</v>
      </c>
      <c r="G509" s="17">
        <v>4.2225999999999999</v>
      </c>
      <c r="H509" s="10">
        <f t="shared" si="0"/>
        <v>19994.010999999999</v>
      </c>
      <c r="I509" s="5">
        <f>F509-SUMIFS(Pedidos!G:G, Pedidos!D:D, C509, Pedidos!E:E, E509, Pedidos!F:F, B509)</f>
        <v>4735</v>
      </c>
      <c r="J509" s="10">
        <f t="shared" si="1"/>
        <v>19994.010999999999</v>
      </c>
    </row>
    <row r="510" spans="1:10" ht="15.75" customHeight="1">
      <c r="A510" s="5" t="s">
        <v>473</v>
      </c>
      <c r="B510" s="6" t="s">
        <v>623</v>
      </c>
      <c r="C510" s="11" t="s">
        <v>62</v>
      </c>
      <c r="D510" s="5"/>
      <c r="E510" s="14" t="s">
        <v>63</v>
      </c>
      <c r="F510" s="8">
        <v>12875</v>
      </c>
      <c r="G510" s="17">
        <v>13.95</v>
      </c>
      <c r="H510" s="10">
        <f t="shared" si="0"/>
        <v>179606.25</v>
      </c>
      <c r="I510" s="5">
        <f>F510-SUMIFS(Pedidos!G:G, Pedidos!D:D, C510, Pedidos!E:E, E510, Pedidos!F:F, B510)</f>
        <v>12875</v>
      </c>
      <c r="J510" s="10">
        <f t="shared" si="1"/>
        <v>179606.25</v>
      </c>
    </row>
    <row r="511" spans="1:10" ht="15.75" customHeight="1">
      <c r="A511" s="5" t="s">
        <v>473</v>
      </c>
      <c r="B511" s="6" t="s">
        <v>624</v>
      </c>
      <c r="C511" s="11" t="s">
        <v>62</v>
      </c>
      <c r="D511" s="5"/>
      <c r="E511" s="14" t="s">
        <v>63</v>
      </c>
      <c r="F511" s="8">
        <v>11780</v>
      </c>
      <c r="G511" s="17">
        <v>16.98</v>
      </c>
      <c r="H511" s="10">
        <f t="shared" si="0"/>
        <v>200024.4</v>
      </c>
      <c r="I511" s="5">
        <f>F511-SUMIFS(Pedidos!G:G, Pedidos!D:D, C511, Pedidos!E:E, E511, Pedidos!F:F, B511)</f>
        <v>11265</v>
      </c>
      <c r="J511" s="10">
        <f t="shared" si="1"/>
        <v>191279.7</v>
      </c>
    </row>
    <row r="512" spans="1:10" ht="15.75" customHeight="1">
      <c r="A512" s="5" t="s">
        <v>473</v>
      </c>
      <c r="B512" s="6" t="s">
        <v>625</v>
      </c>
      <c r="C512" s="11" t="s">
        <v>62</v>
      </c>
      <c r="D512" s="5"/>
      <c r="E512" s="14" t="s">
        <v>63</v>
      </c>
      <c r="F512" s="8">
        <v>2175</v>
      </c>
      <c r="G512" s="17">
        <v>4.8899999999999997</v>
      </c>
      <c r="H512" s="10">
        <f t="shared" si="0"/>
        <v>10635.75</v>
      </c>
      <c r="I512" s="5">
        <f>F512-SUMIFS(Pedidos!G:G, Pedidos!D:D, C512, Pedidos!E:E, E512, Pedidos!F:F, B512)</f>
        <v>2175</v>
      </c>
      <c r="J512" s="10">
        <f t="shared" si="1"/>
        <v>10635.75</v>
      </c>
    </row>
    <row r="513" spans="1:10" ht="15.75" customHeight="1">
      <c r="A513" s="5" t="s">
        <v>473</v>
      </c>
      <c r="B513" s="6" t="s">
        <v>626</v>
      </c>
      <c r="C513" s="11" t="s">
        <v>62</v>
      </c>
      <c r="D513" s="5"/>
      <c r="E513" s="14" t="s">
        <v>63</v>
      </c>
      <c r="F513" s="8">
        <v>2618</v>
      </c>
      <c r="G513" s="17">
        <v>5.58</v>
      </c>
      <c r="H513" s="10">
        <f t="shared" si="0"/>
        <v>14608.44</v>
      </c>
      <c r="I513" s="5">
        <f>F513-SUMIFS(Pedidos!G:G, Pedidos!D:D, C513, Pedidos!E:E, E513, Pedidos!F:F, B513)</f>
        <v>2618</v>
      </c>
      <c r="J513" s="10">
        <f t="shared" si="1"/>
        <v>14608.44</v>
      </c>
    </row>
    <row r="514" spans="1:10" ht="15.75" customHeight="1">
      <c r="A514" s="5" t="s">
        <v>473</v>
      </c>
      <c r="B514" s="6" t="s">
        <v>627</v>
      </c>
      <c r="C514" s="11" t="s">
        <v>62</v>
      </c>
      <c r="D514" s="5"/>
      <c r="E514" s="14" t="s">
        <v>63</v>
      </c>
      <c r="F514" s="8">
        <v>7150</v>
      </c>
      <c r="G514" s="17">
        <v>5.16</v>
      </c>
      <c r="H514" s="10">
        <f t="shared" si="0"/>
        <v>36894</v>
      </c>
      <c r="I514" s="5">
        <f>F514-SUMIFS(Pedidos!G:G, Pedidos!D:D, C514, Pedidos!E:E, E514, Pedidos!F:F, B514)</f>
        <v>7050</v>
      </c>
      <c r="J514" s="10">
        <f t="shared" si="1"/>
        <v>36378</v>
      </c>
    </row>
    <row r="515" spans="1:10" ht="15.75" customHeight="1">
      <c r="A515" s="5" t="s">
        <v>473</v>
      </c>
      <c r="B515" s="6" t="s">
        <v>628</v>
      </c>
      <c r="C515" s="5" t="s">
        <v>479</v>
      </c>
      <c r="D515" s="7" t="s">
        <v>629</v>
      </c>
      <c r="E515" s="15">
        <v>33</v>
      </c>
      <c r="F515" s="8">
        <v>500</v>
      </c>
      <c r="G515" s="9">
        <v>1092.1600000000001</v>
      </c>
      <c r="H515" s="10">
        <f t="shared" si="0"/>
        <v>546080</v>
      </c>
      <c r="I515" s="5">
        <f>F515-SUMIFS(Pedidos!G:G, Pedidos!D:D, C515, Pedidos!E:E, E515, Pedidos!F:F, B515)</f>
        <v>452</v>
      </c>
      <c r="J515" s="10">
        <f t="shared" si="1"/>
        <v>493656.32000000007</v>
      </c>
    </row>
    <row r="516" spans="1:10" ht="15.75" customHeight="1">
      <c r="A516" s="5" t="s">
        <v>473</v>
      </c>
      <c r="B516" s="6" t="s">
        <v>630</v>
      </c>
      <c r="C516" s="11" t="s">
        <v>62</v>
      </c>
      <c r="D516" s="5"/>
      <c r="E516" s="14" t="s">
        <v>63</v>
      </c>
      <c r="F516" s="8">
        <v>141</v>
      </c>
      <c r="G516" s="9">
        <v>273</v>
      </c>
      <c r="H516" s="10">
        <f t="shared" si="0"/>
        <v>38493</v>
      </c>
      <c r="I516" s="5">
        <f>F516-SUMIFS(Pedidos!G:G, Pedidos!D:D, C516, Pedidos!E:E, E516, Pedidos!F:F, B516)</f>
        <v>84</v>
      </c>
      <c r="J516" s="10">
        <f t="shared" si="1"/>
        <v>22932</v>
      </c>
    </row>
    <row r="517" spans="1:10" ht="15.75" customHeight="1">
      <c r="A517" s="5" t="s">
        <v>473</v>
      </c>
      <c r="B517" s="6" t="s">
        <v>631</v>
      </c>
      <c r="C517" s="5" t="s">
        <v>489</v>
      </c>
      <c r="D517" s="7" t="s">
        <v>632</v>
      </c>
      <c r="E517" s="15">
        <v>34</v>
      </c>
      <c r="F517" s="8">
        <v>100</v>
      </c>
      <c r="G517" s="9">
        <v>1566.6</v>
      </c>
      <c r="H517" s="10">
        <f t="shared" si="0"/>
        <v>156660</v>
      </c>
      <c r="I517" s="5">
        <f>F517-SUMIFS(Pedidos!G:G, Pedidos!D:D, C517, Pedidos!E:E, E517, Pedidos!F:F, B517)</f>
        <v>96</v>
      </c>
      <c r="J517" s="10">
        <f t="shared" si="1"/>
        <v>150393.59999999998</v>
      </c>
    </row>
    <row r="518" spans="1:10" ht="15.75" customHeight="1">
      <c r="A518" s="5" t="s">
        <v>473</v>
      </c>
      <c r="B518" s="6" t="s">
        <v>633</v>
      </c>
      <c r="C518" s="11" t="s">
        <v>62</v>
      </c>
      <c r="D518" s="5"/>
      <c r="E518" s="14" t="s">
        <v>63</v>
      </c>
      <c r="F518" s="8">
        <v>7</v>
      </c>
      <c r="G518" s="5">
        <v>74.05</v>
      </c>
      <c r="H518" s="10">
        <f t="shared" si="0"/>
        <v>518.35</v>
      </c>
      <c r="I518" s="5">
        <f>F518-SUMIFS(Pedidos!G:G, Pedidos!D:D, C518, Pedidos!E:E, E518, Pedidos!F:F, B518)</f>
        <v>4</v>
      </c>
      <c r="J518" s="10">
        <f t="shared" si="1"/>
        <v>296.2</v>
      </c>
    </row>
    <row r="519" spans="1:10" ht="15.75" customHeight="1">
      <c r="A519" s="5" t="s">
        <v>473</v>
      </c>
      <c r="B519" s="6" t="s">
        <v>633</v>
      </c>
      <c r="C519" s="11" t="s">
        <v>68</v>
      </c>
      <c r="D519" s="5"/>
      <c r="E519" s="14" t="s">
        <v>63</v>
      </c>
      <c r="F519" s="8">
        <v>30</v>
      </c>
      <c r="G519" s="5">
        <v>38.799999999999997</v>
      </c>
      <c r="H519" s="10">
        <f t="shared" si="0"/>
        <v>1164</v>
      </c>
      <c r="I519" s="5">
        <f>F519-SUMIFS(Pedidos!G:G, Pedidos!D:D, C519, Pedidos!E:E, E519, Pedidos!F:F, B519)</f>
        <v>30</v>
      </c>
      <c r="J519" s="10">
        <f t="shared" si="1"/>
        <v>1164</v>
      </c>
    </row>
    <row r="520" spans="1:10" ht="15.75" customHeight="1">
      <c r="A520" s="5" t="s">
        <v>473</v>
      </c>
      <c r="B520" s="6" t="s">
        <v>634</v>
      </c>
      <c r="C520" s="5" t="s">
        <v>62</v>
      </c>
      <c r="D520" s="7" t="s">
        <v>635</v>
      </c>
      <c r="E520" s="15" t="s">
        <v>63</v>
      </c>
      <c r="F520" s="8">
        <v>181</v>
      </c>
      <c r="G520" s="9">
        <v>7.69</v>
      </c>
      <c r="H520" s="10">
        <f t="shared" si="0"/>
        <v>1391.89</v>
      </c>
      <c r="I520" s="5">
        <f>F520-SUMIFS(Pedidos!G:G, Pedidos!D:D, C520, Pedidos!E:E, E520, Pedidos!F:F, B520)</f>
        <v>181</v>
      </c>
      <c r="J520" s="10">
        <f t="shared" si="1"/>
        <v>1391.89</v>
      </c>
    </row>
    <row r="521" spans="1:10" ht="15.75" customHeight="1">
      <c r="A521" s="5" t="s">
        <v>636</v>
      </c>
      <c r="B521" s="6" t="s">
        <v>637</v>
      </c>
      <c r="C521" s="11" t="s">
        <v>62</v>
      </c>
      <c r="D521" s="5"/>
      <c r="E521" s="12" t="s">
        <v>63</v>
      </c>
      <c r="F521" s="8">
        <v>16</v>
      </c>
      <c r="G521" s="9">
        <v>1.18</v>
      </c>
      <c r="H521" s="10">
        <f t="shared" si="0"/>
        <v>18.88</v>
      </c>
      <c r="I521" s="5">
        <f>F521-SUMIFS(Pedidos!G:G, Pedidos!D:D, C521, Pedidos!E:E, E521, Pedidos!F:F, B521)</f>
        <v>16</v>
      </c>
      <c r="J521" s="10">
        <f t="shared" si="1"/>
        <v>18.88</v>
      </c>
    </row>
    <row r="522" spans="1:10" ht="15.75" customHeight="1">
      <c r="A522" s="5" t="s">
        <v>636</v>
      </c>
      <c r="B522" s="6" t="s">
        <v>637</v>
      </c>
      <c r="C522" s="11" t="s">
        <v>68</v>
      </c>
      <c r="D522" s="5"/>
      <c r="E522" s="12" t="s">
        <v>63</v>
      </c>
      <c r="F522" s="8">
        <v>30</v>
      </c>
      <c r="G522" s="9">
        <v>0.95</v>
      </c>
      <c r="H522" s="10">
        <f t="shared" si="0"/>
        <v>28.5</v>
      </c>
      <c r="I522" s="5">
        <f>F522-SUMIFS(Pedidos!G:G, Pedidos!D:D, C522, Pedidos!E:E, E522, Pedidos!F:F, B522)</f>
        <v>30</v>
      </c>
      <c r="J522" s="10">
        <f t="shared" si="1"/>
        <v>28.5</v>
      </c>
    </row>
    <row r="523" spans="1:10" ht="15.75" customHeight="1">
      <c r="A523" s="5" t="s">
        <v>636</v>
      </c>
      <c r="B523" s="6" t="s">
        <v>637</v>
      </c>
      <c r="C523" s="11" t="s">
        <v>120</v>
      </c>
      <c r="D523" s="5"/>
      <c r="E523" s="12" t="s">
        <v>63</v>
      </c>
      <c r="F523" s="8">
        <v>50</v>
      </c>
      <c r="G523" s="9">
        <v>0.8</v>
      </c>
      <c r="H523" s="10">
        <f t="shared" si="0"/>
        <v>40</v>
      </c>
      <c r="I523" s="5">
        <f>F523-SUMIFS(Pedidos!G:G, Pedidos!D:D, C523, Pedidos!E:E, E523, Pedidos!F:F, B523)</f>
        <v>50</v>
      </c>
      <c r="J523" s="10">
        <f t="shared" si="1"/>
        <v>40</v>
      </c>
    </row>
    <row r="524" spans="1:10" ht="15.75" customHeight="1">
      <c r="A524" s="5" t="s">
        <v>636</v>
      </c>
      <c r="B524" s="6" t="s">
        <v>638</v>
      </c>
      <c r="C524" s="11" t="s">
        <v>62</v>
      </c>
      <c r="D524" s="5"/>
      <c r="E524" s="12" t="s">
        <v>63</v>
      </c>
      <c r="F524" s="8">
        <v>13</v>
      </c>
      <c r="G524" s="9">
        <v>2.95</v>
      </c>
      <c r="H524" s="10">
        <f t="shared" si="0"/>
        <v>38.35</v>
      </c>
      <c r="I524" s="5">
        <f>F524-SUMIFS(Pedidos!G:G, Pedidos!D:D, C524, Pedidos!E:E, E524, Pedidos!F:F, B524)</f>
        <v>13</v>
      </c>
      <c r="J524" s="10">
        <f t="shared" si="1"/>
        <v>38.35</v>
      </c>
    </row>
    <row r="525" spans="1:10" ht="15.75" customHeight="1">
      <c r="A525" s="5" t="s">
        <v>636</v>
      </c>
      <c r="B525" s="6" t="s">
        <v>638</v>
      </c>
      <c r="C525" s="11" t="s">
        <v>68</v>
      </c>
      <c r="D525" s="5"/>
      <c r="E525" s="12" t="s">
        <v>63</v>
      </c>
      <c r="F525" s="8">
        <v>30</v>
      </c>
      <c r="G525" s="9">
        <v>2.75</v>
      </c>
      <c r="H525" s="10">
        <f t="shared" si="0"/>
        <v>82.5</v>
      </c>
      <c r="I525" s="5">
        <f>F525-SUMIFS(Pedidos!G:G, Pedidos!D:D, C525, Pedidos!E:E, E525, Pedidos!F:F, B525)</f>
        <v>30</v>
      </c>
      <c r="J525" s="10">
        <f t="shared" si="1"/>
        <v>82.5</v>
      </c>
    </row>
    <row r="526" spans="1:10" ht="15.75" customHeight="1">
      <c r="A526" s="5" t="s">
        <v>636</v>
      </c>
      <c r="B526" s="6" t="s">
        <v>638</v>
      </c>
      <c r="C526" s="11" t="s">
        <v>120</v>
      </c>
      <c r="D526" s="5"/>
      <c r="E526" s="12" t="s">
        <v>63</v>
      </c>
      <c r="F526" s="8">
        <v>50</v>
      </c>
      <c r="G526" s="9">
        <v>2.5</v>
      </c>
      <c r="H526" s="10">
        <f t="shared" si="0"/>
        <v>125</v>
      </c>
      <c r="I526" s="5">
        <f>F526-SUMIFS(Pedidos!G:G, Pedidos!D:D, C526, Pedidos!E:E, E526, Pedidos!F:F, B526)</f>
        <v>50</v>
      </c>
      <c r="J526" s="10">
        <f t="shared" si="1"/>
        <v>125</v>
      </c>
    </row>
    <row r="527" spans="1:10" ht="15.75" customHeight="1">
      <c r="A527" s="5" t="s">
        <v>636</v>
      </c>
      <c r="B527" s="6" t="s">
        <v>639</v>
      </c>
      <c r="C527" s="11" t="s">
        <v>62</v>
      </c>
      <c r="D527" s="5"/>
      <c r="E527" s="12" t="s">
        <v>63</v>
      </c>
      <c r="F527" s="8">
        <v>24</v>
      </c>
      <c r="G527" s="9">
        <v>1.18</v>
      </c>
      <c r="H527" s="10">
        <f t="shared" si="0"/>
        <v>28.32</v>
      </c>
      <c r="I527" s="5">
        <f>F527-SUMIFS(Pedidos!G:G, Pedidos!D:D, C527, Pedidos!E:E, E527, Pedidos!F:F, B527)</f>
        <v>24</v>
      </c>
      <c r="J527" s="10">
        <f t="shared" si="1"/>
        <v>28.32</v>
      </c>
    </row>
    <row r="528" spans="1:10" ht="15.75" customHeight="1">
      <c r="A528" s="5" t="s">
        <v>636</v>
      </c>
      <c r="B528" s="6" t="s">
        <v>639</v>
      </c>
      <c r="C528" s="11" t="s">
        <v>68</v>
      </c>
      <c r="D528" s="5"/>
      <c r="E528" s="12" t="s">
        <v>63</v>
      </c>
      <c r="F528" s="8">
        <v>40</v>
      </c>
      <c r="G528" s="9">
        <v>0.95</v>
      </c>
      <c r="H528" s="10">
        <f t="shared" si="0"/>
        <v>38</v>
      </c>
      <c r="I528" s="5">
        <f>F528-SUMIFS(Pedidos!G:G, Pedidos!D:D, C528, Pedidos!E:E, E528, Pedidos!F:F, B528)</f>
        <v>40</v>
      </c>
      <c r="J528" s="10">
        <f t="shared" si="1"/>
        <v>38</v>
      </c>
    </row>
    <row r="529" spans="1:10" ht="15.75" customHeight="1">
      <c r="A529" s="5" t="s">
        <v>636</v>
      </c>
      <c r="B529" s="6" t="s">
        <v>639</v>
      </c>
      <c r="C529" s="11" t="s">
        <v>120</v>
      </c>
      <c r="D529" s="5"/>
      <c r="E529" s="12" t="s">
        <v>63</v>
      </c>
      <c r="F529" s="8">
        <v>80</v>
      </c>
      <c r="G529" s="9">
        <v>0.8</v>
      </c>
      <c r="H529" s="10">
        <f t="shared" si="0"/>
        <v>64</v>
      </c>
      <c r="I529" s="5">
        <f>F529-SUMIFS(Pedidos!G:G, Pedidos!D:D, C529, Pedidos!E:E, E529, Pedidos!F:F, B529)</f>
        <v>80</v>
      </c>
      <c r="J529" s="10">
        <f t="shared" si="1"/>
        <v>64</v>
      </c>
    </row>
    <row r="530" spans="1:10" ht="15.75" customHeight="1">
      <c r="A530" s="5" t="s">
        <v>636</v>
      </c>
      <c r="B530" s="6" t="s">
        <v>640</v>
      </c>
      <c r="C530" s="11" t="s">
        <v>62</v>
      </c>
      <c r="D530" s="5"/>
      <c r="E530" s="12" t="s">
        <v>63</v>
      </c>
      <c r="F530" s="8">
        <v>56</v>
      </c>
      <c r="G530" s="9">
        <v>257</v>
      </c>
      <c r="H530" s="10">
        <f t="shared" si="0"/>
        <v>14392</v>
      </c>
      <c r="I530" s="5">
        <f>F530-SUMIFS(Pedidos!G:G, Pedidos!D:D, C530, Pedidos!E:E, E530, Pedidos!F:F, B530)</f>
        <v>56</v>
      </c>
      <c r="J530" s="10">
        <f t="shared" si="1"/>
        <v>14392</v>
      </c>
    </row>
    <row r="531" spans="1:10" ht="15.75" customHeight="1">
      <c r="A531" s="5" t="s">
        <v>636</v>
      </c>
      <c r="B531" s="6" t="s">
        <v>640</v>
      </c>
      <c r="C531" s="11" t="s">
        <v>68</v>
      </c>
      <c r="D531" s="5"/>
      <c r="E531" s="12" t="s">
        <v>63</v>
      </c>
      <c r="F531" s="8">
        <v>90</v>
      </c>
      <c r="G531" s="9">
        <v>338.69</v>
      </c>
      <c r="H531" s="10">
        <f t="shared" si="0"/>
        <v>30482.1</v>
      </c>
      <c r="I531" s="5">
        <f>F531-SUMIFS(Pedidos!G:G, Pedidos!D:D, C531, Pedidos!E:E, E531, Pedidos!F:F, B531)</f>
        <v>90</v>
      </c>
      <c r="J531" s="10">
        <f t="shared" si="1"/>
        <v>30482.1</v>
      </c>
    </row>
    <row r="532" spans="1:10" ht="15.75" customHeight="1">
      <c r="A532" s="5" t="s">
        <v>636</v>
      </c>
      <c r="B532" s="6" t="s">
        <v>641</v>
      </c>
      <c r="C532" s="11" t="s">
        <v>62</v>
      </c>
      <c r="D532" s="5"/>
      <c r="E532" s="12" t="s">
        <v>63</v>
      </c>
      <c r="F532" s="8">
        <v>40</v>
      </c>
      <c r="G532" s="9">
        <v>1748</v>
      </c>
      <c r="H532" s="10">
        <f t="shared" si="0"/>
        <v>69920</v>
      </c>
      <c r="I532" s="5">
        <f>F532-SUMIFS(Pedidos!G:G, Pedidos!D:D, C532, Pedidos!E:E, E532, Pedidos!F:F, B532)</f>
        <v>40</v>
      </c>
      <c r="J532" s="10">
        <f t="shared" si="1"/>
        <v>69920</v>
      </c>
    </row>
    <row r="533" spans="1:10" ht="15.75" customHeight="1">
      <c r="A533" s="5" t="s">
        <v>636</v>
      </c>
      <c r="B533" s="6" t="s">
        <v>642</v>
      </c>
      <c r="C533" s="11" t="s">
        <v>62</v>
      </c>
      <c r="D533" s="5"/>
      <c r="E533" s="12" t="s">
        <v>63</v>
      </c>
      <c r="F533" s="8">
        <v>6</v>
      </c>
      <c r="G533" s="9">
        <v>16.52</v>
      </c>
      <c r="H533" s="10">
        <f t="shared" si="0"/>
        <v>99.12</v>
      </c>
      <c r="I533" s="5">
        <f>F533-SUMIFS(Pedidos!G:G, Pedidos!D:D, C533, Pedidos!E:E, E533, Pedidos!F:F, B533)</f>
        <v>6</v>
      </c>
      <c r="J533" s="10">
        <f t="shared" si="1"/>
        <v>99.12</v>
      </c>
    </row>
    <row r="534" spans="1:10" ht="15.75" customHeight="1">
      <c r="A534" s="5" t="s">
        <v>636</v>
      </c>
      <c r="B534" s="6" t="s">
        <v>643</v>
      </c>
      <c r="C534" s="11" t="s">
        <v>62</v>
      </c>
      <c r="D534" s="5"/>
      <c r="E534" s="12" t="s">
        <v>63</v>
      </c>
      <c r="F534" s="8">
        <v>25</v>
      </c>
      <c r="G534" s="9">
        <v>12214.68</v>
      </c>
      <c r="H534" s="10">
        <f t="shared" si="0"/>
        <v>305367</v>
      </c>
      <c r="I534" s="5">
        <f>F534-SUMIFS(Pedidos!G:G, Pedidos!D:D, C534, Pedidos!E:E, E534, Pedidos!F:F, B534)</f>
        <v>25</v>
      </c>
      <c r="J534" s="10">
        <f t="shared" si="1"/>
        <v>305367</v>
      </c>
    </row>
    <row r="535" spans="1:10" ht="15.75" customHeight="1">
      <c r="A535" s="5" t="s">
        <v>636</v>
      </c>
      <c r="B535" s="6" t="s">
        <v>644</v>
      </c>
      <c r="C535" s="11" t="s">
        <v>62</v>
      </c>
      <c r="D535" s="5"/>
      <c r="E535" s="12" t="s">
        <v>63</v>
      </c>
      <c r="F535" s="8">
        <v>41</v>
      </c>
      <c r="G535" s="9">
        <v>12.01</v>
      </c>
      <c r="H535" s="10">
        <f t="shared" si="0"/>
        <v>492.40999999999997</v>
      </c>
      <c r="I535" s="5">
        <f>F535-SUMIFS(Pedidos!G:G, Pedidos!D:D, C535, Pedidos!E:E, E535, Pedidos!F:F, B535)</f>
        <v>41</v>
      </c>
      <c r="J535" s="10">
        <f t="shared" si="1"/>
        <v>492.40999999999997</v>
      </c>
    </row>
    <row r="536" spans="1:10" ht="15.75" customHeight="1">
      <c r="A536" s="5" t="s">
        <v>636</v>
      </c>
      <c r="B536" s="6" t="s">
        <v>645</v>
      </c>
      <c r="C536" s="11" t="s">
        <v>62</v>
      </c>
      <c r="D536" s="5"/>
      <c r="E536" s="12" t="s">
        <v>63</v>
      </c>
      <c r="F536" s="8">
        <v>80</v>
      </c>
      <c r="G536" s="9">
        <v>1.18</v>
      </c>
      <c r="H536" s="10">
        <f t="shared" si="0"/>
        <v>94.399999999999991</v>
      </c>
      <c r="I536" s="5">
        <f>F536-SUMIFS(Pedidos!G:G, Pedidos!D:D, C536, Pedidos!E:E, E536, Pedidos!F:F, B536)</f>
        <v>80</v>
      </c>
      <c r="J536" s="10">
        <f t="shared" si="1"/>
        <v>94.399999999999991</v>
      </c>
    </row>
    <row r="537" spans="1:10" ht="15.75" customHeight="1">
      <c r="A537" s="5" t="s">
        <v>636</v>
      </c>
      <c r="B537" s="6" t="s">
        <v>645</v>
      </c>
      <c r="C537" s="11" t="s">
        <v>68</v>
      </c>
      <c r="D537" s="5"/>
      <c r="E537" s="12" t="s">
        <v>63</v>
      </c>
      <c r="F537" s="8">
        <v>40</v>
      </c>
      <c r="G537" s="9">
        <v>0.95</v>
      </c>
      <c r="H537" s="10">
        <f t="shared" si="0"/>
        <v>38</v>
      </c>
      <c r="I537" s="5">
        <f>F537-SUMIFS(Pedidos!G:G, Pedidos!D:D, C537, Pedidos!E:E, E537, Pedidos!F:F, B537)</f>
        <v>40</v>
      </c>
      <c r="J537" s="10">
        <f t="shared" si="1"/>
        <v>38</v>
      </c>
    </row>
    <row r="538" spans="1:10" ht="15.75" customHeight="1">
      <c r="A538" s="5" t="s">
        <v>636</v>
      </c>
      <c r="B538" s="6" t="s">
        <v>645</v>
      </c>
      <c r="C538" s="11" t="s">
        <v>120</v>
      </c>
      <c r="D538" s="5"/>
      <c r="E538" s="12" t="s">
        <v>63</v>
      </c>
      <c r="F538" s="8">
        <v>80</v>
      </c>
      <c r="G538" s="9">
        <v>0.8</v>
      </c>
      <c r="H538" s="10">
        <f t="shared" si="0"/>
        <v>64</v>
      </c>
      <c r="I538" s="5">
        <f>F538-SUMIFS(Pedidos!G:G, Pedidos!D:D, C538, Pedidos!E:E, E538, Pedidos!F:F, B538)</f>
        <v>80</v>
      </c>
      <c r="J538" s="10">
        <f t="shared" si="1"/>
        <v>64</v>
      </c>
    </row>
    <row r="539" spans="1:10" ht="15.75" customHeight="1">
      <c r="A539" s="5" t="s">
        <v>646</v>
      </c>
      <c r="B539" s="6" t="s">
        <v>647</v>
      </c>
      <c r="C539" s="11" t="s">
        <v>62</v>
      </c>
      <c r="D539" s="5"/>
      <c r="E539" s="12" t="s">
        <v>63</v>
      </c>
      <c r="F539" s="8">
        <v>18</v>
      </c>
      <c r="G539" s="9">
        <v>275</v>
      </c>
      <c r="H539" s="10">
        <f t="shared" si="0"/>
        <v>4950</v>
      </c>
      <c r="I539" s="5">
        <f>F539-SUMIFS(Pedidos!G:G, Pedidos!D:D, C539, Pedidos!E:E, E539, Pedidos!F:F, B539)</f>
        <v>18</v>
      </c>
      <c r="J539" s="10">
        <f t="shared" si="1"/>
        <v>4950</v>
      </c>
    </row>
    <row r="540" spans="1:10" ht="15.75" customHeight="1">
      <c r="A540" s="5" t="s">
        <v>646</v>
      </c>
      <c r="B540" s="6" t="s">
        <v>648</v>
      </c>
      <c r="C540" s="11" t="s">
        <v>62</v>
      </c>
      <c r="D540" s="5"/>
      <c r="E540" s="12" t="s">
        <v>63</v>
      </c>
      <c r="F540" s="8">
        <v>26</v>
      </c>
      <c r="G540" s="9">
        <v>7995</v>
      </c>
      <c r="H540" s="10">
        <f t="shared" si="0"/>
        <v>207870</v>
      </c>
      <c r="I540" s="5">
        <f>F540-SUMIFS(Pedidos!G:G, Pedidos!D:D, C540, Pedidos!E:E, E540, Pedidos!F:F, B540)</f>
        <v>18</v>
      </c>
      <c r="J540" s="10">
        <f t="shared" si="1"/>
        <v>143910</v>
      </c>
    </row>
    <row r="541" spans="1:10" ht="15.75" customHeight="1">
      <c r="A541" s="5" t="s">
        <v>646</v>
      </c>
      <c r="B541" s="6" t="s">
        <v>649</v>
      </c>
      <c r="C541" s="11" t="s">
        <v>62</v>
      </c>
      <c r="D541" s="5"/>
      <c r="E541" s="12" t="s">
        <v>63</v>
      </c>
      <c r="F541" s="8">
        <v>12</v>
      </c>
      <c r="G541" s="9">
        <v>759.76</v>
      </c>
      <c r="H541" s="10">
        <f t="shared" si="0"/>
        <v>9117.119999999999</v>
      </c>
      <c r="I541" s="5">
        <f>F541-SUMIFS(Pedidos!G:G, Pedidos!D:D, C541, Pedidos!E:E, E541, Pedidos!F:F, B541)</f>
        <v>12</v>
      </c>
      <c r="J541" s="10">
        <f t="shared" si="1"/>
        <v>9117.119999999999</v>
      </c>
    </row>
    <row r="542" spans="1:10" ht="15.75" customHeight="1">
      <c r="A542" s="5" t="s">
        <v>646</v>
      </c>
      <c r="B542" s="6" t="s">
        <v>650</v>
      </c>
      <c r="C542" s="11" t="s">
        <v>62</v>
      </c>
      <c r="D542" s="5"/>
      <c r="E542" s="12" t="s">
        <v>63</v>
      </c>
      <c r="F542" s="8">
        <v>10</v>
      </c>
      <c r="G542" s="9">
        <v>12800</v>
      </c>
      <c r="H542" s="10">
        <f t="shared" si="0"/>
        <v>128000</v>
      </c>
      <c r="I542" s="5">
        <f>F542-SUMIFS(Pedidos!G:G, Pedidos!D:D, C542, Pedidos!E:E, E542, Pedidos!F:F, B542)</f>
        <v>10</v>
      </c>
      <c r="J542" s="10">
        <f t="shared" si="1"/>
        <v>128000</v>
      </c>
    </row>
    <row r="543" spans="1:10" ht="15.75" customHeight="1">
      <c r="A543" s="5" t="s">
        <v>646</v>
      </c>
      <c r="B543" s="6" t="s">
        <v>651</v>
      </c>
      <c r="C543" s="11" t="s">
        <v>62</v>
      </c>
      <c r="D543" s="5"/>
      <c r="E543" s="12" t="s">
        <v>63</v>
      </c>
      <c r="F543" s="8">
        <v>23</v>
      </c>
      <c r="G543" s="9">
        <v>1085</v>
      </c>
      <c r="H543" s="10">
        <f t="shared" si="0"/>
        <v>24955</v>
      </c>
      <c r="I543" s="5">
        <f>F543-SUMIFS(Pedidos!G:G, Pedidos!D:D, C543, Pedidos!E:E, E543, Pedidos!F:F, B543)</f>
        <v>21</v>
      </c>
      <c r="J543" s="10">
        <f t="shared" si="1"/>
        <v>22785</v>
      </c>
    </row>
    <row r="544" spans="1:10" ht="15.75" customHeight="1">
      <c r="A544" s="5" t="s">
        <v>646</v>
      </c>
      <c r="B544" s="6" t="s">
        <v>652</v>
      </c>
      <c r="C544" s="11" t="s">
        <v>62</v>
      </c>
      <c r="D544" s="5"/>
      <c r="E544" s="12" t="s">
        <v>63</v>
      </c>
      <c r="F544" s="8">
        <v>22</v>
      </c>
      <c r="G544" s="9">
        <v>464</v>
      </c>
      <c r="H544" s="10">
        <f t="shared" si="0"/>
        <v>10208</v>
      </c>
      <c r="I544" s="5">
        <f>F544-SUMIFS(Pedidos!G:G, Pedidos!D:D, C544, Pedidos!E:E, E544, Pedidos!F:F, B544)</f>
        <v>22</v>
      </c>
      <c r="J544" s="10">
        <f t="shared" si="1"/>
        <v>10208</v>
      </c>
    </row>
    <row r="545" spans="1:10" ht="15.75" customHeight="1">
      <c r="A545" s="5" t="s">
        <v>646</v>
      </c>
      <c r="B545" s="6" t="s">
        <v>653</v>
      </c>
      <c r="C545" s="11" t="s">
        <v>62</v>
      </c>
      <c r="D545" s="5"/>
      <c r="E545" s="12" t="s">
        <v>63</v>
      </c>
      <c r="F545" s="8">
        <v>27</v>
      </c>
      <c r="G545" s="9">
        <v>7150</v>
      </c>
      <c r="H545" s="10">
        <f t="shared" si="0"/>
        <v>193050</v>
      </c>
      <c r="I545" s="5">
        <f>F545-SUMIFS(Pedidos!G:G, Pedidos!D:D, C545, Pedidos!E:E, E545, Pedidos!F:F, B545)</f>
        <v>27</v>
      </c>
      <c r="J545" s="10">
        <f t="shared" si="1"/>
        <v>193050</v>
      </c>
    </row>
    <row r="546" spans="1:10" ht="15.75" customHeight="1">
      <c r="A546" s="5" t="s">
        <v>646</v>
      </c>
      <c r="B546" s="6" t="s">
        <v>654</v>
      </c>
      <c r="C546" s="11" t="s">
        <v>62</v>
      </c>
      <c r="D546" s="5"/>
      <c r="E546" s="12" t="s">
        <v>63</v>
      </c>
      <c r="F546" s="8">
        <v>6</v>
      </c>
      <c r="G546" s="9">
        <v>368</v>
      </c>
      <c r="H546" s="10">
        <f t="shared" si="0"/>
        <v>2208</v>
      </c>
      <c r="I546" s="5">
        <f>F546-SUMIFS(Pedidos!G:G, Pedidos!D:D, C546, Pedidos!E:E, E546, Pedidos!F:F, B546)</f>
        <v>6</v>
      </c>
      <c r="J546" s="10">
        <f t="shared" si="1"/>
        <v>2208</v>
      </c>
    </row>
    <row r="547" spans="1:10" ht="15.75" customHeight="1">
      <c r="A547" s="5" t="s">
        <v>646</v>
      </c>
      <c r="B547" s="6" t="s">
        <v>655</v>
      </c>
      <c r="C547" s="11" t="s">
        <v>62</v>
      </c>
      <c r="D547" s="5"/>
      <c r="E547" s="12" t="s">
        <v>63</v>
      </c>
      <c r="F547" s="8">
        <v>48</v>
      </c>
      <c r="G547" s="9">
        <v>7150</v>
      </c>
      <c r="H547" s="10">
        <f t="shared" si="0"/>
        <v>343200</v>
      </c>
      <c r="I547" s="5">
        <f>F547-SUMIFS(Pedidos!G:G, Pedidos!D:D, C547, Pedidos!E:E, E547, Pedidos!F:F, B547)</f>
        <v>48</v>
      </c>
      <c r="J547" s="10">
        <f t="shared" si="1"/>
        <v>343200</v>
      </c>
    </row>
    <row r="548" spans="1:10" ht="15.75" customHeight="1">
      <c r="A548" s="5" t="s">
        <v>646</v>
      </c>
      <c r="B548" s="6" t="s">
        <v>656</v>
      </c>
      <c r="C548" s="11" t="s">
        <v>62</v>
      </c>
      <c r="D548" s="5"/>
      <c r="E548" s="12" t="s">
        <v>63</v>
      </c>
      <c r="F548" s="8">
        <v>10</v>
      </c>
      <c r="G548" s="9">
        <v>32.1</v>
      </c>
      <c r="H548" s="10">
        <f t="shared" si="0"/>
        <v>321</v>
      </c>
      <c r="I548" s="5">
        <f>F548-SUMIFS(Pedidos!G:G, Pedidos!D:D, C548, Pedidos!E:E, E548, Pedidos!F:F, B548)</f>
        <v>10</v>
      </c>
      <c r="J548" s="10">
        <f t="shared" si="1"/>
        <v>321</v>
      </c>
    </row>
    <row r="549" spans="1:10" ht="15.75" customHeight="1">
      <c r="A549" s="5" t="s">
        <v>646</v>
      </c>
      <c r="B549" s="6" t="s">
        <v>657</v>
      </c>
      <c r="C549" s="11" t="s">
        <v>62</v>
      </c>
      <c r="D549" s="5"/>
      <c r="E549" s="12" t="s">
        <v>63</v>
      </c>
      <c r="F549" s="8">
        <v>41</v>
      </c>
      <c r="G549" s="9">
        <v>6530</v>
      </c>
      <c r="H549" s="10">
        <f t="shared" si="0"/>
        <v>267730</v>
      </c>
      <c r="I549" s="5">
        <f>F549-SUMIFS(Pedidos!G:G, Pedidos!D:D, C549, Pedidos!E:E, E549, Pedidos!F:F, B549)</f>
        <v>41</v>
      </c>
      <c r="J549" s="10">
        <f t="shared" si="1"/>
        <v>267730</v>
      </c>
    </row>
    <row r="550" spans="1:10" ht="15.75" customHeight="1">
      <c r="A550" s="5" t="s">
        <v>646</v>
      </c>
      <c r="B550" s="6" t="s">
        <v>658</v>
      </c>
      <c r="C550" s="11" t="s">
        <v>62</v>
      </c>
      <c r="D550" s="5"/>
      <c r="E550" s="12" t="s">
        <v>63</v>
      </c>
      <c r="F550" s="8">
        <v>107</v>
      </c>
      <c r="G550" s="9">
        <v>297.79000000000002</v>
      </c>
      <c r="H550" s="10">
        <f t="shared" si="0"/>
        <v>31863.530000000002</v>
      </c>
      <c r="I550" s="5">
        <f>F550-SUMIFS(Pedidos!G:G, Pedidos!D:D, C550, Pedidos!E:E, E550, Pedidos!F:F, B550)</f>
        <v>107</v>
      </c>
      <c r="J550" s="10">
        <f t="shared" si="1"/>
        <v>31863.530000000002</v>
      </c>
    </row>
    <row r="551" spans="1:10" ht="15.75" customHeight="1">
      <c r="A551" s="5" t="s">
        <v>646</v>
      </c>
      <c r="B551" s="6" t="s">
        <v>659</v>
      </c>
      <c r="C551" s="11" t="s">
        <v>62</v>
      </c>
      <c r="D551" s="5"/>
      <c r="E551" s="12" t="s">
        <v>63</v>
      </c>
      <c r="F551" s="8">
        <v>3</v>
      </c>
      <c r="G551" s="9">
        <v>43.2</v>
      </c>
      <c r="H551" s="10">
        <f t="shared" si="0"/>
        <v>129.60000000000002</v>
      </c>
      <c r="I551" s="5">
        <f>F551-SUMIFS(Pedidos!G:G, Pedidos!D:D, C551, Pedidos!E:E, E551, Pedidos!F:F, B551)</f>
        <v>3</v>
      </c>
      <c r="J551" s="10">
        <f t="shared" si="1"/>
        <v>129.60000000000002</v>
      </c>
    </row>
    <row r="552" spans="1:10" ht="15.75" customHeight="1">
      <c r="A552" s="5" t="s">
        <v>646</v>
      </c>
      <c r="B552" s="6" t="s">
        <v>659</v>
      </c>
      <c r="C552" s="11" t="s">
        <v>68</v>
      </c>
      <c r="D552" s="5"/>
      <c r="E552" s="12" t="s">
        <v>63</v>
      </c>
      <c r="F552" s="8">
        <v>8</v>
      </c>
      <c r="G552" s="9">
        <v>121</v>
      </c>
      <c r="H552" s="10">
        <f t="shared" si="0"/>
        <v>968</v>
      </c>
      <c r="I552" s="5">
        <f>F552-SUMIFS(Pedidos!G:G, Pedidos!D:D, C552, Pedidos!E:E, E552, Pedidos!F:F, B552)</f>
        <v>8</v>
      </c>
      <c r="J552" s="10">
        <f t="shared" si="1"/>
        <v>968</v>
      </c>
    </row>
    <row r="553" spans="1:10" ht="15.75" customHeight="1">
      <c r="A553" s="5" t="s">
        <v>646</v>
      </c>
      <c r="B553" s="6" t="s">
        <v>659</v>
      </c>
      <c r="C553" s="11" t="s">
        <v>120</v>
      </c>
      <c r="D553" s="5"/>
      <c r="E553" s="12" t="s">
        <v>63</v>
      </c>
      <c r="F553" s="8">
        <v>12</v>
      </c>
      <c r="G553" s="9">
        <v>328</v>
      </c>
      <c r="H553" s="10">
        <f t="shared" si="0"/>
        <v>3936</v>
      </c>
      <c r="I553" s="5">
        <f>F553-SUMIFS(Pedidos!G:G, Pedidos!D:D, C553, Pedidos!E:E, E553, Pedidos!F:F, B553)</f>
        <v>12</v>
      </c>
      <c r="J553" s="10">
        <f t="shared" si="1"/>
        <v>3936</v>
      </c>
    </row>
    <row r="554" spans="1:10" ht="15.75" customHeight="1">
      <c r="A554" s="5" t="s">
        <v>646</v>
      </c>
      <c r="B554" s="6" t="s">
        <v>660</v>
      </c>
      <c r="C554" s="11" t="s">
        <v>62</v>
      </c>
      <c r="D554" s="5"/>
      <c r="E554" s="12" t="s">
        <v>63</v>
      </c>
      <c r="F554" s="8">
        <v>76</v>
      </c>
      <c r="G554" s="9">
        <v>461.8</v>
      </c>
      <c r="H554" s="10">
        <f t="shared" si="0"/>
        <v>35096.800000000003</v>
      </c>
      <c r="I554" s="5">
        <f>F554-SUMIFS(Pedidos!G:G, Pedidos!D:D, C554, Pedidos!E:E, E554, Pedidos!F:F, B554)</f>
        <v>76</v>
      </c>
      <c r="J554" s="10">
        <f t="shared" si="1"/>
        <v>35096.800000000003</v>
      </c>
    </row>
    <row r="555" spans="1:10" ht="15.75" customHeight="1">
      <c r="A555" s="5" t="s">
        <v>646</v>
      </c>
      <c r="B555" s="6" t="s">
        <v>661</v>
      </c>
      <c r="C555" s="11" t="s">
        <v>62</v>
      </c>
      <c r="D555" s="5"/>
      <c r="E555" s="12" t="s">
        <v>63</v>
      </c>
      <c r="F555" s="8">
        <v>64</v>
      </c>
      <c r="G555" s="9">
        <v>481.6</v>
      </c>
      <c r="H555" s="10">
        <f t="shared" si="0"/>
        <v>30822.400000000001</v>
      </c>
      <c r="I555" s="5">
        <f>F555-SUMIFS(Pedidos!G:G, Pedidos!D:D, C555, Pedidos!E:E, E555, Pedidos!F:F, B555)</f>
        <v>57</v>
      </c>
      <c r="J555" s="10">
        <f t="shared" si="1"/>
        <v>27451.200000000001</v>
      </c>
    </row>
    <row r="556" spans="1:10" ht="15.75" customHeight="1">
      <c r="A556" s="5" t="s">
        <v>646</v>
      </c>
      <c r="B556" s="6" t="s">
        <v>662</v>
      </c>
      <c r="C556" s="11" t="s">
        <v>62</v>
      </c>
      <c r="D556" s="5"/>
      <c r="E556" s="12" t="s">
        <v>63</v>
      </c>
      <c r="F556" s="8">
        <v>19</v>
      </c>
      <c r="G556" s="9">
        <v>1480</v>
      </c>
      <c r="H556" s="10">
        <f t="shared" si="0"/>
        <v>28120</v>
      </c>
      <c r="I556" s="5">
        <f>F556-SUMIFS(Pedidos!G:G, Pedidos!D:D, C556, Pedidos!E:E, E556, Pedidos!F:F, B556)</f>
        <v>13</v>
      </c>
      <c r="J556" s="10">
        <f t="shared" si="1"/>
        <v>19240</v>
      </c>
    </row>
    <row r="557" spans="1:10" ht="15.75" customHeight="1">
      <c r="A557" s="5" t="s">
        <v>646</v>
      </c>
      <c r="B557" s="6" t="s">
        <v>663</v>
      </c>
      <c r="C557" s="11" t="s">
        <v>62</v>
      </c>
      <c r="D557" s="5"/>
      <c r="E557" s="12" t="s">
        <v>63</v>
      </c>
      <c r="F557" s="8">
        <v>35</v>
      </c>
      <c r="G557" s="9">
        <v>10200</v>
      </c>
      <c r="H557" s="10">
        <f t="shared" si="0"/>
        <v>357000</v>
      </c>
      <c r="I557" s="5">
        <f>F557-SUMIFS(Pedidos!G:G, Pedidos!D:D, C557, Pedidos!E:E, E557, Pedidos!F:F, B557)</f>
        <v>20</v>
      </c>
      <c r="J557" s="10">
        <f t="shared" si="1"/>
        <v>204000</v>
      </c>
    </row>
    <row r="558" spans="1:10" ht="15.75" customHeight="1">
      <c r="A558" s="5" t="s">
        <v>646</v>
      </c>
      <c r="B558" s="6" t="s">
        <v>664</v>
      </c>
      <c r="C558" s="11" t="s">
        <v>62</v>
      </c>
      <c r="D558" s="5"/>
      <c r="E558" s="12" t="s">
        <v>63</v>
      </c>
      <c r="F558" s="8">
        <v>23</v>
      </c>
      <c r="G558" s="9">
        <v>990</v>
      </c>
      <c r="H558" s="10">
        <f t="shared" si="0"/>
        <v>22770</v>
      </c>
      <c r="I558" s="5">
        <f>F558-SUMIFS(Pedidos!G:G, Pedidos!D:D, C558, Pedidos!E:E, E558, Pedidos!F:F, B558)</f>
        <v>23</v>
      </c>
      <c r="J558" s="10">
        <f t="shared" si="1"/>
        <v>22770</v>
      </c>
    </row>
    <row r="559" spans="1:10" ht="15.75" customHeight="1">
      <c r="A559" s="5" t="s">
        <v>646</v>
      </c>
      <c r="B559" s="6" t="s">
        <v>665</v>
      </c>
      <c r="C559" s="11" t="s">
        <v>62</v>
      </c>
      <c r="D559" s="5"/>
      <c r="E559" s="12" t="s">
        <v>63</v>
      </c>
      <c r="F559" s="8">
        <v>9</v>
      </c>
      <c r="G559" s="9">
        <v>6.9</v>
      </c>
      <c r="H559" s="10">
        <f t="shared" si="0"/>
        <v>62.1</v>
      </c>
      <c r="I559" s="5">
        <f>F559-SUMIFS(Pedidos!G:G, Pedidos!D:D, C559, Pedidos!E:E, E559, Pedidos!F:F, B559)</f>
        <v>9</v>
      </c>
      <c r="J559" s="10">
        <f t="shared" si="1"/>
        <v>62.1</v>
      </c>
    </row>
    <row r="560" spans="1:10" ht="15.75" customHeight="1">
      <c r="A560" s="5" t="s">
        <v>646</v>
      </c>
      <c r="B560" s="6" t="s">
        <v>666</v>
      </c>
      <c r="C560" s="11" t="s">
        <v>62</v>
      </c>
      <c r="D560" s="5"/>
      <c r="E560" s="12" t="s">
        <v>63</v>
      </c>
      <c r="F560" s="8">
        <v>9</v>
      </c>
      <c r="G560" s="9">
        <v>74.099999999999994</v>
      </c>
      <c r="H560" s="10">
        <f t="shared" si="0"/>
        <v>666.9</v>
      </c>
      <c r="I560" s="5">
        <f>F560-SUMIFS(Pedidos!G:G, Pedidos!D:D, C560, Pedidos!E:E, E560, Pedidos!F:F, B560)</f>
        <v>9</v>
      </c>
      <c r="J560" s="10">
        <f t="shared" si="1"/>
        <v>666.9</v>
      </c>
    </row>
    <row r="561" spans="1:10" ht="15.75" customHeight="1">
      <c r="A561" s="5" t="s">
        <v>646</v>
      </c>
      <c r="B561" s="6" t="s">
        <v>666</v>
      </c>
      <c r="C561" s="11" t="s">
        <v>68</v>
      </c>
      <c r="D561" s="5"/>
      <c r="E561" s="12" t="s">
        <v>63</v>
      </c>
      <c r="F561" s="8">
        <v>148</v>
      </c>
      <c r="G561" s="9">
        <v>585</v>
      </c>
      <c r="H561" s="10">
        <f t="shared" si="0"/>
        <v>86580</v>
      </c>
      <c r="I561" s="5">
        <f>F561-SUMIFS(Pedidos!G:G, Pedidos!D:D, C561, Pedidos!E:E, E561, Pedidos!F:F, B561)</f>
        <v>148</v>
      </c>
      <c r="J561" s="10">
        <f t="shared" si="1"/>
        <v>86580</v>
      </c>
    </row>
    <row r="562" spans="1:10" ht="15.75" customHeight="1">
      <c r="A562" s="5" t="s">
        <v>646</v>
      </c>
      <c r="B562" s="6" t="s">
        <v>666</v>
      </c>
      <c r="C562" s="11" t="s">
        <v>120</v>
      </c>
      <c r="D562" s="5"/>
      <c r="E562" s="12" t="s">
        <v>63</v>
      </c>
      <c r="F562" s="8">
        <v>19</v>
      </c>
      <c r="G562" s="9">
        <v>9640</v>
      </c>
      <c r="H562" s="10">
        <f t="shared" si="0"/>
        <v>183160</v>
      </c>
      <c r="I562" s="5">
        <f>F562-SUMIFS(Pedidos!G:G, Pedidos!D:D, C562, Pedidos!E:E, E562, Pedidos!F:F, B562)</f>
        <v>19</v>
      </c>
      <c r="J562" s="10">
        <f t="shared" si="1"/>
        <v>183160</v>
      </c>
    </row>
    <row r="563" spans="1:10" ht="15.75" customHeight="1">
      <c r="A563" s="5" t="s">
        <v>646</v>
      </c>
      <c r="B563" s="6" t="s">
        <v>667</v>
      </c>
      <c r="C563" s="11" t="s">
        <v>62</v>
      </c>
      <c r="D563" s="5"/>
      <c r="E563" s="12" t="s">
        <v>63</v>
      </c>
      <c r="F563" s="8">
        <v>20</v>
      </c>
      <c r="G563" s="9">
        <v>5995</v>
      </c>
      <c r="H563" s="10">
        <f t="shared" si="0"/>
        <v>119900</v>
      </c>
      <c r="I563" s="5">
        <f>F563-SUMIFS(Pedidos!G:G, Pedidos!D:D, C563, Pedidos!E:E, E563, Pedidos!F:F, B563)</f>
        <v>20</v>
      </c>
      <c r="J563" s="10">
        <f t="shared" si="1"/>
        <v>119900</v>
      </c>
    </row>
    <row r="564" spans="1:10" ht="15.75" customHeight="1">
      <c r="A564" s="5" t="s">
        <v>646</v>
      </c>
      <c r="B564" s="6" t="s">
        <v>668</v>
      </c>
      <c r="C564" s="11" t="s">
        <v>62</v>
      </c>
      <c r="D564" s="5"/>
      <c r="E564" s="12" t="s">
        <v>63</v>
      </c>
      <c r="F564" s="8">
        <v>14</v>
      </c>
      <c r="G564" s="9">
        <v>324</v>
      </c>
      <c r="H564" s="10">
        <f t="shared" si="0"/>
        <v>4536</v>
      </c>
      <c r="I564" s="5">
        <f>F564-SUMIFS(Pedidos!G:G, Pedidos!D:D, C564, Pedidos!E:E, E564, Pedidos!F:F, B564)</f>
        <v>14</v>
      </c>
      <c r="J564" s="10">
        <f t="shared" si="1"/>
        <v>4536</v>
      </c>
    </row>
    <row r="565" spans="1:10" ht="15.75" customHeight="1">
      <c r="A565" s="5" t="s">
        <v>646</v>
      </c>
      <c r="B565" s="6" t="s">
        <v>669</v>
      </c>
      <c r="C565" s="11" t="s">
        <v>62</v>
      </c>
      <c r="D565" s="5"/>
      <c r="E565" s="12" t="s">
        <v>63</v>
      </c>
      <c r="F565" s="8">
        <v>4</v>
      </c>
      <c r="G565" s="9">
        <v>4.9000000000000004</v>
      </c>
      <c r="H565" s="10">
        <f t="shared" si="0"/>
        <v>19.600000000000001</v>
      </c>
      <c r="I565" s="5">
        <f>F565-SUMIFS(Pedidos!G:G, Pedidos!D:D, C565, Pedidos!E:E, E565, Pedidos!F:F, B565)</f>
        <v>4</v>
      </c>
      <c r="J565" s="10">
        <f t="shared" si="1"/>
        <v>19.600000000000001</v>
      </c>
    </row>
    <row r="566" spans="1:10" ht="15.75" customHeight="1">
      <c r="A566" s="5" t="s">
        <v>646</v>
      </c>
      <c r="B566" s="6" t="s">
        <v>670</v>
      </c>
      <c r="C566" s="11" t="s">
        <v>62</v>
      </c>
      <c r="D566" s="5"/>
      <c r="E566" s="12" t="s">
        <v>63</v>
      </c>
      <c r="F566" s="8">
        <v>7</v>
      </c>
      <c r="G566" s="9">
        <v>288</v>
      </c>
      <c r="H566" s="10">
        <f t="shared" si="0"/>
        <v>2016</v>
      </c>
      <c r="I566" s="5">
        <f>F566-SUMIFS(Pedidos!G:G, Pedidos!D:D, C566, Pedidos!E:E, E566, Pedidos!F:F, B566)</f>
        <v>7</v>
      </c>
      <c r="J566" s="10">
        <f t="shared" si="1"/>
        <v>2016</v>
      </c>
    </row>
    <row r="567" spans="1:10" ht="15.75" customHeight="1">
      <c r="A567" s="5" t="s">
        <v>646</v>
      </c>
      <c r="B567" s="6" t="s">
        <v>671</v>
      </c>
      <c r="C567" s="11" t="s">
        <v>62</v>
      </c>
      <c r="D567" s="5"/>
      <c r="E567" s="12" t="s">
        <v>63</v>
      </c>
      <c r="F567" s="8">
        <v>2</v>
      </c>
      <c r="G567" s="9">
        <v>49</v>
      </c>
      <c r="H567" s="10">
        <f t="shared" si="0"/>
        <v>98</v>
      </c>
      <c r="I567" s="5">
        <f>F567-SUMIFS(Pedidos!G:G, Pedidos!D:D, C567, Pedidos!E:E, E567, Pedidos!F:F, B567)</f>
        <v>2</v>
      </c>
      <c r="J567" s="10">
        <f t="shared" si="1"/>
        <v>98</v>
      </c>
    </row>
    <row r="568" spans="1:10" ht="15.75" customHeight="1">
      <c r="A568" s="5" t="s">
        <v>646</v>
      </c>
      <c r="B568" s="6" t="s">
        <v>671</v>
      </c>
      <c r="C568" s="11" t="s">
        <v>68</v>
      </c>
      <c r="D568" s="5"/>
      <c r="E568" s="12" t="s">
        <v>63</v>
      </c>
      <c r="F568" s="8">
        <v>6</v>
      </c>
      <c r="G568" s="9">
        <v>121</v>
      </c>
      <c r="H568" s="10">
        <f t="shared" si="0"/>
        <v>726</v>
      </c>
      <c r="I568" s="5">
        <f>F568-SUMIFS(Pedidos!G:G, Pedidos!D:D, C568, Pedidos!E:E, E568, Pedidos!F:F, B568)</f>
        <v>6</v>
      </c>
      <c r="J568" s="10">
        <f t="shared" si="1"/>
        <v>726</v>
      </c>
    </row>
    <row r="569" spans="1:10" ht="15.75" customHeight="1">
      <c r="A569" s="5" t="s">
        <v>646</v>
      </c>
      <c r="B569" s="6" t="s">
        <v>671</v>
      </c>
      <c r="C569" s="11" t="s">
        <v>120</v>
      </c>
      <c r="D569" s="5"/>
      <c r="E569" s="12" t="s">
        <v>63</v>
      </c>
      <c r="F569" s="8">
        <v>18</v>
      </c>
      <c r="G569" s="9">
        <v>334</v>
      </c>
      <c r="H569" s="10">
        <f t="shared" si="0"/>
        <v>6012</v>
      </c>
      <c r="I569" s="5">
        <f>F569-SUMIFS(Pedidos!G:G, Pedidos!D:D, C569, Pedidos!E:E, E569, Pedidos!F:F, B569)</f>
        <v>18</v>
      </c>
      <c r="J569" s="10">
        <f t="shared" si="1"/>
        <v>6012</v>
      </c>
    </row>
    <row r="570" spans="1:10" ht="15.75" customHeight="1">
      <c r="A570" s="5" t="s">
        <v>646</v>
      </c>
      <c r="B570" s="6" t="s">
        <v>672</v>
      </c>
      <c r="C570" s="11" t="s">
        <v>62</v>
      </c>
      <c r="D570" s="5"/>
      <c r="E570" s="12" t="s">
        <v>63</v>
      </c>
      <c r="F570" s="8">
        <v>67</v>
      </c>
      <c r="G570" s="9">
        <v>9900</v>
      </c>
      <c r="H570" s="10">
        <f t="shared" si="0"/>
        <v>663300</v>
      </c>
      <c r="I570" s="5">
        <f>F570-SUMIFS(Pedidos!G:G, Pedidos!D:D, C570, Pedidos!E:E, E570, Pedidos!F:F, B570)</f>
        <v>67</v>
      </c>
      <c r="J570" s="10">
        <f t="shared" si="1"/>
        <v>663300</v>
      </c>
    </row>
    <row r="571" spans="1:10" ht="15.75" customHeight="1">
      <c r="A571" s="5" t="s">
        <v>646</v>
      </c>
      <c r="B571" s="6" t="s">
        <v>673</v>
      </c>
      <c r="C571" s="11" t="s">
        <v>62</v>
      </c>
      <c r="D571" s="5"/>
      <c r="E571" s="12" t="s">
        <v>63</v>
      </c>
      <c r="F571" s="8">
        <v>17</v>
      </c>
      <c r="G571" s="9">
        <v>553</v>
      </c>
      <c r="H571" s="10">
        <f t="shared" si="0"/>
        <v>9401</v>
      </c>
      <c r="I571" s="5">
        <f>F571-SUMIFS(Pedidos!G:G, Pedidos!D:D, C571, Pedidos!E:E, E571, Pedidos!F:F, B571)</f>
        <v>17</v>
      </c>
      <c r="J571" s="10">
        <f t="shared" si="1"/>
        <v>9401</v>
      </c>
    </row>
    <row r="572" spans="1:10" ht="15.75" customHeight="1">
      <c r="A572" s="5" t="s">
        <v>646</v>
      </c>
      <c r="B572" s="6" t="s">
        <v>674</v>
      </c>
      <c r="C572" s="11" t="s">
        <v>62</v>
      </c>
      <c r="D572" s="5"/>
      <c r="E572" s="12" t="s">
        <v>63</v>
      </c>
      <c r="F572" s="8">
        <v>9</v>
      </c>
      <c r="G572" s="9">
        <v>515</v>
      </c>
      <c r="H572" s="10">
        <f t="shared" si="0"/>
        <v>4635</v>
      </c>
      <c r="I572" s="5">
        <f>F572-SUMIFS(Pedidos!G:G, Pedidos!D:D, C572, Pedidos!E:E, E572, Pedidos!F:F, B572)</f>
        <v>8</v>
      </c>
      <c r="J572" s="10">
        <f t="shared" si="1"/>
        <v>4120</v>
      </c>
    </row>
    <row r="573" spans="1:10" ht="15.75" customHeight="1">
      <c r="A573" s="5" t="s">
        <v>646</v>
      </c>
      <c r="B573" s="6" t="s">
        <v>675</v>
      </c>
      <c r="C573" s="11" t="s">
        <v>62</v>
      </c>
      <c r="D573" s="5"/>
      <c r="E573" s="12" t="s">
        <v>63</v>
      </c>
      <c r="F573" s="8">
        <v>22</v>
      </c>
      <c r="G573" s="9">
        <v>8250</v>
      </c>
      <c r="H573" s="10">
        <f t="shared" si="0"/>
        <v>181500</v>
      </c>
      <c r="I573" s="5">
        <f>F573-SUMIFS(Pedidos!G:G, Pedidos!D:D, C573, Pedidos!E:E, E573, Pedidos!F:F, B573)</f>
        <v>22</v>
      </c>
      <c r="J573" s="10">
        <f t="shared" si="1"/>
        <v>181500</v>
      </c>
    </row>
    <row r="574" spans="1:10" ht="15.75" customHeight="1">
      <c r="A574" s="5" t="s">
        <v>646</v>
      </c>
      <c r="B574" s="6" t="s">
        <v>676</v>
      </c>
      <c r="C574" s="11" t="s">
        <v>62</v>
      </c>
      <c r="D574" s="5"/>
      <c r="E574" s="12" t="s">
        <v>63</v>
      </c>
      <c r="F574" s="8">
        <v>6</v>
      </c>
      <c r="G574" s="9">
        <v>12.3</v>
      </c>
      <c r="H574" s="10">
        <f t="shared" si="0"/>
        <v>73.800000000000011</v>
      </c>
      <c r="I574" s="5">
        <f>F574-SUMIFS(Pedidos!G:G, Pedidos!D:D, C574, Pedidos!E:E, E574, Pedidos!F:F, B574)</f>
        <v>6</v>
      </c>
      <c r="J574" s="10">
        <f t="shared" si="1"/>
        <v>73.800000000000011</v>
      </c>
    </row>
    <row r="575" spans="1:10" ht="15.75" customHeight="1">
      <c r="A575" s="5" t="s">
        <v>646</v>
      </c>
      <c r="B575" s="6" t="s">
        <v>677</v>
      </c>
      <c r="C575" s="11" t="s">
        <v>62</v>
      </c>
      <c r="D575" s="5"/>
      <c r="E575" s="12" t="s">
        <v>63</v>
      </c>
      <c r="F575" s="8">
        <v>35</v>
      </c>
      <c r="G575" s="9">
        <v>146.19999999999999</v>
      </c>
      <c r="H575" s="10">
        <f t="shared" si="0"/>
        <v>5117</v>
      </c>
      <c r="I575" s="5">
        <f>F575-SUMIFS(Pedidos!G:G, Pedidos!D:D, C575, Pedidos!E:E, E575, Pedidos!F:F, B575)</f>
        <v>35</v>
      </c>
      <c r="J575" s="10">
        <f t="shared" si="1"/>
        <v>5117</v>
      </c>
    </row>
    <row r="576" spans="1:10" ht="15.75" customHeight="1">
      <c r="A576" s="5" t="s">
        <v>646</v>
      </c>
      <c r="B576" s="6" t="s">
        <v>678</v>
      </c>
      <c r="C576" s="11" t="s">
        <v>62</v>
      </c>
      <c r="D576" s="5"/>
      <c r="E576" s="12" t="s">
        <v>63</v>
      </c>
      <c r="F576" s="8">
        <v>23</v>
      </c>
      <c r="G576" s="9">
        <v>12820</v>
      </c>
      <c r="H576" s="10">
        <f t="shared" si="0"/>
        <v>294860</v>
      </c>
      <c r="I576" s="5">
        <f>F576-SUMIFS(Pedidos!G:G, Pedidos!D:D, C576, Pedidos!E:E, E576, Pedidos!F:F, B576)</f>
        <v>12</v>
      </c>
      <c r="J576" s="10">
        <f t="shared" si="1"/>
        <v>153840</v>
      </c>
    </row>
    <row r="577" spans="1:10" ht="15.75" customHeight="1">
      <c r="A577" s="5" t="s">
        <v>646</v>
      </c>
      <c r="B577" s="6" t="s">
        <v>679</v>
      </c>
      <c r="C577" s="11" t="s">
        <v>62</v>
      </c>
      <c r="D577" s="5"/>
      <c r="E577" s="12" t="s">
        <v>63</v>
      </c>
      <c r="F577" s="8">
        <v>36</v>
      </c>
      <c r="G577" s="9">
        <v>45595</v>
      </c>
      <c r="H577" s="10">
        <f t="shared" si="0"/>
        <v>1641420</v>
      </c>
      <c r="I577" s="5">
        <f>F577-SUMIFS(Pedidos!G:G, Pedidos!D:D, C577, Pedidos!E:E, E577, Pedidos!F:F, B577)</f>
        <v>36</v>
      </c>
      <c r="J577" s="10">
        <f t="shared" si="1"/>
        <v>1641420</v>
      </c>
    </row>
    <row r="578" spans="1:10" ht="15.75" customHeight="1">
      <c r="A578" s="5" t="s">
        <v>646</v>
      </c>
      <c r="B578" s="6" t="s">
        <v>680</v>
      </c>
      <c r="C578" s="11" t="s">
        <v>62</v>
      </c>
      <c r="D578" s="5"/>
      <c r="E578" s="12" t="s">
        <v>63</v>
      </c>
      <c r="F578" s="8">
        <v>6</v>
      </c>
      <c r="G578" s="9">
        <v>29.8</v>
      </c>
      <c r="H578" s="10">
        <f t="shared" si="0"/>
        <v>178.8</v>
      </c>
      <c r="I578" s="5">
        <f>F578-SUMIFS(Pedidos!G:G, Pedidos!D:D, C578, Pedidos!E:E, E578, Pedidos!F:F, B578)</f>
        <v>6</v>
      </c>
      <c r="J578" s="10">
        <f t="shared" si="1"/>
        <v>178.8</v>
      </c>
    </row>
    <row r="579" spans="1:10" ht="15.75" customHeight="1">
      <c r="A579" s="5" t="s">
        <v>681</v>
      </c>
      <c r="B579" s="6" t="s">
        <v>682</v>
      </c>
      <c r="C579" s="11" t="s">
        <v>62</v>
      </c>
      <c r="D579" s="5"/>
      <c r="E579" s="12" t="s">
        <v>63</v>
      </c>
      <c r="F579" s="8">
        <v>7</v>
      </c>
      <c r="G579" s="9">
        <v>45.32</v>
      </c>
      <c r="H579" s="10">
        <f t="shared" si="0"/>
        <v>317.24</v>
      </c>
      <c r="I579" s="5">
        <f>F579-SUMIFS(Pedidos!G:G, Pedidos!D:D, C579, Pedidos!E:E, E579, Pedidos!F:F, B579)</f>
        <v>7</v>
      </c>
      <c r="J579" s="10">
        <f t="shared" si="1"/>
        <v>317.24</v>
      </c>
    </row>
    <row r="580" spans="1:10" ht="15.75" customHeight="1">
      <c r="A580" s="5" t="s">
        <v>681</v>
      </c>
      <c r="B580" s="6" t="s">
        <v>683</v>
      </c>
      <c r="C580" s="11" t="s">
        <v>62</v>
      </c>
      <c r="D580" s="5"/>
      <c r="E580" s="12" t="s">
        <v>63</v>
      </c>
      <c r="F580" s="8">
        <v>13</v>
      </c>
      <c r="G580" s="9">
        <v>65.739999999999995</v>
      </c>
      <c r="H580" s="10">
        <f t="shared" si="0"/>
        <v>854.61999999999989</v>
      </c>
      <c r="I580" s="5">
        <f>F580-SUMIFS(Pedidos!G:G, Pedidos!D:D, C580, Pedidos!E:E, E580, Pedidos!F:F, B580)</f>
        <v>13</v>
      </c>
      <c r="J580" s="10">
        <f t="shared" si="1"/>
        <v>854.61999999999989</v>
      </c>
    </row>
    <row r="581" spans="1:10" ht="15.75" customHeight="1">
      <c r="A581" s="5" t="s">
        <v>681</v>
      </c>
      <c r="B581" s="6" t="s">
        <v>684</v>
      </c>
      <c r="C581" s="11" t="s">
        <v>62</v>
      </c>
      <c r="D581" s="5"/>
      <c r="E581" s="12" t="s">
        <v>63</v>
      </c>
      <c r="F581" s="8">
        <v>16</v>
      </c>
      <c r="G581" s="9">
        <v>90.88</v>
      </c>
      <c r="H581" s="10">
        <f t="shared" si="0"/>
        <v>1454.08</v>
      </c>
      <c r="I581" s="5">
        <f>F581-SUMIFS(Pedidos!G:G, Pedidos!D:D, C581, Pedidos!E:E, E581, Pedidos!F:F, B581)</f>
        <v>16</v>
      </c>
      <c r="J581" s="10">
        <f t="shared" si="1"/>
        <v>1454.08</v>
      </c>
    </row>
    <row r="582" spans="1:10" ht="15.75" customHeight="1">
      <c r="A582" s="5" t="s">
        <v>681</v>
      </c>
      <c r="B582" s="6" t="s">
        <v>685</v>
      </c>
      <c r="C582" s="11" t="s">
        <v>62</v>
      </c>
      <c r="D582" s="5"/>
      <c r="E582" s="12" t="s">
        <v>63</v>
      </c>
      <c r="F582" s="8">
        <v>1</v>
      </c>
      <c r="G582" s="9">
        <v>5.87</v>
      </c>
      <c r="H582" s="10">
        <f t="shared" si="0"/>
        <v>5.87</v>
      </c>
      <c r="I582" s="5">
        <f>F582-SUMIFS(Pedidos!G:G, Pedidos!D:D, C582, Pedidos!E:E, E582, Pedidos!F:F, B582)</f>
        <v>1</v>
      </c>
      <c r="J582" s="10">
        <f t="shared" si="1"/>
        <v>5.87</v>
      </c>
    </row>
    <row r="583" spans="1:10" ht="15.75" customHeight="1">
      <c r="A583" s="5" t="s">
        <v>681</v>
      </c>
      <c r="B583" s="6" t="s">
        <v>686</v>
      </c>
      <c r="C583" s="11" t="s">
        <v>62</v>
      </c>
      <c r="D583" s="5"/>
      <c r="E583" s="12" t="s">
        <v>63</v>
      </c>
      <c r="F583" s="8">
        <v>40</v>
      </c>
      <c r="G583" s="9">
        <v>8.23</v>
      </c>
      <c r="H583" s="10">
        <f t="shared" si="0"/>
        <v>329.20000000000005</v>
      </c>
      <c r="I583" s="5">
        <f>F583-SUMIFS(Pedidos!G:G, Pedidos!D:D, C583, Pedidos!E:E, E583, Pedidos!F:F, B583)</f>
        <v>40</v>
      </c>
      <c r="J583" s="10">
        <f t="shared" si="1"/>
        <v>329.20000000000005</v>
      </c>
    </row>
    <row r="584" spans="1:10" ht="15.75" customHeight="1">
      <c r="A584" s="5" t="s">
        <v>681</v>
      </c>
      <c r="B584" s="6" t="s">
        <v>687</v>
      </c>
      <c r="C584" s="11" t="s">
        <v>62</v>
      </c>
      <c r="D584" s="5"/>
      <c r="E584" s="12" t="s">
        <v>63</v>
      </c>
      <c r="F584" s="8">
        <v>37</v>
      </c>
      <c r="G584" s="9">
        <v>27.99</v>
      </c>
      <c r="H584" s="10">
        <f t="shared" si="0"/>
        <v>1035.6299999999999</v>
      </c>
      <c r="I584" s="5">
        <f>F584-SUMIFS(Pedidos!G:G, Pedidos!D:D, C584, Pedidos!E:E, E584, Pedidos!F:F, B584)</f>
        <v>37</v>
      </c>
      <c r="J584" s="10">
        <f t="shared" si="1"/>
        <v>1035.6299999999999</v>
      </c>
    </row>
    <row r="585" spans="1:10" ht="15.75" customHeight="1">
      <c r="A585" s="5" t="s">
        <v>681</v>
      </c>
      <c r="B585" s="6" t="s">
        <v>688</v>
      </c>
      <c r="C585" s="11" t="s">
        <v>62</v>
      </c>
      <c r="D585" s="5"/>
      <c r="E585" s="12" t="s">
        <v>63</v>
      </c>
      <c r="F585" s="8">
        <v>13</v>
      </c>
      <c r="G585" s="9">
        <v>24</v>
      </c>
      <c r="H585" s="10">
        <f t="shared" si="0"/>
        <v>312</v>
      </c>
      <c r="I585" s="5">
        <f>F585-SUMIFS(Pedidos!G:G, Pedidos!D:D, C585, Pedidos!E:E, E585, Pedidos!F:F, B585)</f>
        <v>13</v>
      </c>
      <c r="J585" s="10">
        <f t="shared" si="1"/>
        <v>312</v>
      </c>
    </row>
    <row r="586" spans="1:10" ht="15.75" customHeight="1">
      <c r="A586" s="5" t="s">
        <v>681</v>
      </c>
      <c r="B586" s="6" t="s">
        <v>689</v>
      </c>
      <c r="C586" s="11" t="s">
        <v>62</v>
      </c>
      <c r="D586" s="5"/>
      <c r="E586" s="12" t="s">
        <v>63</v>
      </c>
      <c r="F586" s="8">
        <v>21</v>
      </c>
      <c r="G586" s="9">
        <v>6.51</v>
      </c>
      <c r="H586" s="10">
        <f t="shared" si="0"/>
        <v>136.71</v>
      </c>
      <c r="I586" s="5">
        <f>F586-SUMIFS(Pedidos!G:G, Pedidos!D:D, C586, Pedidos!E:E, E586, Pedidos!F:F, B586)</f>
        <v>21</v>
      </c>
      <c r="J586" s="10">
        <f t="shared" si="1"/>
        <v>136.71</v>
      </c>
    </row>
    <row r="587" spans="1:10" ht="15.75" customHeight="1">
      <c r="A587" s="5" t="s">
        <v>681</v>
      </c>
      <c r="B587" s="6" t="s">
        <v>690</v>
      </c>
      <c r="C587" s="11" t="s">
        <v>62</v>
      </c>
      <c r="D587" s="5"/>
      <c r="E587" s="12" t="s">
        <v>63</v>
      </c>
      <c r="F587" s="8">
        <v>33</v>
      </c>
      <c r="G587" s="9">
        <v>8.24</v>
      </c>
      <c r="H587" s="10">
        <f t="shared" si="0"/>
        <v>271.92</v>
      </c>
      <c r="I587" s="5">
        <f>F587-SUMIFS(Pedidos!G:G, Pedidos!D:D, C587, Pedidos!E:E, E587, Pedidos!F:F, B587)</f>
        <v>33</v>
      </c>
      <c r="J587" s="10">
        <f t="shared" si="1"/>
        <v>271.92</v>
      </c>
    </row>
    <row r="588" spans="1:10" ht="15.75" customHeight="1">
      <c r="A588" s="5" t="s">
        <v>681</v>
      </c>
      <c r="B588" s="6" t="s">
        <v>691</v>
      </c>
      <c r="C588" s="11" t="s">
        <v>62</v>
      </c>
      <c r="D588" s="5"/>
      <c r="E588" s="12" t="s">
        <v>63</v>
      </c>
      <c r="F588" s="8">
        <v>42</v>
      </c>
      <c r="G588" s="9">
        <v>12.33</v>
      </c>
      <c r="H588" s="10">
        <f t="shared" si="0"/>
        <v>517.86</v>
      </c>
      <c r="I588" s="5">
        <f>F588-SUMIFS(Pedidos!G:G, Pedidos!D:D, C588, Pedidos!E:E, E588, Pedidos!F:F, B588)</f>
        <v>42</v>
      </c>
      <c r="J588" s="10">
        <f t="shared" si="1"/>
        <v>517.86</v>
      </c>
    </row>
    <row r="589" spans="1:10" ht="15.75" customHeight="1">
      <c r="A589" s="5" t="s">
        <v>681</v>
      </c>
      <c r="B589" s="6" t="s">
        <v>692</v>
      </c>
      <c r="C589" s="11" t="s">
        <v>62</v>
      </c>
      <c r="D589" s="5"/>
      <c r="E589" s="12" t="s">
        <v>63</v>
      </c>
      <c r="F589" s="8">
        <v>13</v>
      </c>
      <c r="G589" s="9">
        <v>5.86</v>
      </c>
      <c r="H589" s="10">
        <f t="shared" si="0"/>
        <v>76.180000000000007</v>
      </c>
      <c r="I589" s="5">
        <f>F589-SUMIFS(Pedidos!G:G, Pedidos!D:D, C589, Pedidos!E:E, E589, Pedidos!F:F, B589)</f>
        <v>13</v>
      </c>
      <c r="J589" s="10">
        <f t="shared" si="1"/>
        <v>76.180000000000007</v>
      </c>
    </row>
    <row r="590" spans="1:10" ht="15.75" customHeight="1">
      <c r="A590" s="5" t="s">
        <v>681</v>
      </c>
      <c r="B590" s="6" t="s">
        <v>693</v>
      </c>
      <c r="C590" s="11" t="s">
        <v>62</v>
      </c>
      <c r="D590" s="5"/>
      <c r="E590" s="12" t="s">
        <v>63</v>
      </c>
      <c r="F590" s="8">
        <v>30</v>
      </c>
      <c r="G590" s="9">
        <v>7.04</v>
      </c>
      <c r="H590" s="10">
        <f t="shared" si="0"/>
        <v>211.2</v>
      </c>
      <c r="I590" s="5">
        <f>F590-SUMIFS(Pedidos!G:G, Pedidos!D:D, C590, Pedidos!E:E, E590, Pedidos!F:F, B590)</f>
        <v>30</v>
      </c>
      <c r="J590" s="10">
        <f t="shared" si="1"/>
        <v>211.2</v>
      </c>
    </row>
    <row r="591" spans="1:10" ht="15.75" customHeight="1">
      <c r="A591" s="5" t="s">
        <v>681</v>
      </c>
      <c r="B591" s="6" t="s">
        <v>694</v>
      </c>
      <c r="C591" s="11" t="s">
        <v>62</v>
      </c>
      <c r="D591" s="5"/>
      <c r="E591" s="12" t="s">
        <v>63</v>
      </c>
      <c r="F591" s="8">
        <v>37</v>
      </c>
      <c r="G591" s="9">
        <v>8.7899999999999991</v>
      </c>
      <c r="H591" s="10">
        <f t="shared" si="0"/>
        <v>325.22999999999996</v>
      </c>
      <c r="I591" s="5">
        <f>F591-SUMIFS(Pedidos!G:G, Pedidos!D:D, C591, Pedidos!E:E, E591, Pedidos!F:F, B591)</f>
        <v>37</v>
      </c>
      <c r="J591" s="10">
        <f t="shared" si="1"/>
        <v>325.22999999999996</v>
      </c>
    </row>
    <row r="592" spans="1:10" ht="15.75" customHeight="1">
      <c r="A592" s="5" t="s">
        <v>681</v>
      </c>
      <c r="B592" s="6" t="s">
        <v>695</v>
      </c>
      <c r="C592" s="11" t="s">
        <v>62</v>
      </c>
      <c r="D592" s="5"/>
      <c r="E592" s="12" t="s">
        <v>63</v>
      </c>
      <c r="F592" s="8">
        <v>37</v>
      </c>
      <c r="G592" s="9">
        <v>21.26</v>
      </c>
      <c r="H592" s="10">
        <f t="shared" si="0"/>
        <v>786.62</v>
      </c>
      <c r="I592" s="5">
        <f>F592-SUMIFS(Pedidos!G:G, Pedidos!D:D, C592, Pedidos!E:E, E592, Pedidos!F:F, B592)</f>
        <v>37</v>
      </c>
      <c r="J592" s="10">
        <f t="shared" si="1"/>
        <v>786.62</v>
      </c>
    </row>
    <row r="593" spans="1:10" ht="15.75" customHeight="1">
      <c r="A593" s="5" t="s">
        <v>681</v>
      </c>
      <c r="B593" s="6" t="s">
        <v>696</v>
      </c>
      <c r="C593" s="11" t="s">
        <v>62</v>
      </c>
      <c r="D593" s="5"/>
      <c r="E593" s="12" t="s">
        <v>63</v>
      </c>
      <c r="F593" s="8">
        <v>15</v>
      </c>
      <c r="G593" s="9">
        <v>17</v>
      </c>
      <c r="H593" s="10">
        <f t="shared" si="0"/>
        <v>255</v>
      </c>
      <c r="I593" s="5">
        <f>F593-SUMIFS(Pedidos!G:G, Pedidos!D:D, C593, Pedidos!E:E, E593, Pedidos!F:F, B593)</f>
        <v>15</v>
      </c>
      <c r="J593" s="10">
        <f t="shared" si="1"/>
        <v>255</v>
      </c>
    </row>
    <row r="594" spans="1:10" ht="15.75" customHeight="1">
      <c r="A594" s="5" t="s">
        <v>681</v>
      </c>
      <c r="B594" s="6" t="s">
        <v>697</v>
      </c>
      <c r="C594" s="11" t="s">
        <v>62</v>
      </c>
      <c r="D594" s="5"/>
      <c r="E594" s="12" t="s">
        <v>63</v>
      </c>
      <c r="F594" s="8">
        <v>17</v>
      </c>
      <c r="G594" s="9">
        <v>27</v>
      </c>
      <c r="H594" s="10">
        <f t="shared" si="0"/>
        <v>459</v>
      </c>
      <c r="I594" s="5">
        <f>F594-SUMIFS(Pedidos!G:G, Pedidos!D:D, C594, Pedidos!E:E, E594, Pedidos!F:F, B594)</f>
        <v>17</v>
      </c>
      <c r="J594" s="10">
        <f t="shared" si="1"/>
        <v>459</v>
      </c>
    </row>
    <row r="595" spans="1:10" ht="15.75" customHeight="1">
      <c r="A595" s="5" t="s">
        <v>681</v>
      </c>
      <c r="B595" s="6" t="s">
        <v>698</v>
      </c>
      <c r="C595" s="11" t="s">
        <v>62</v>
      </c>
      <c r="D595" s="5"/>
      <c r="E595" s="12" t="s">
        <v>63</v>
      </c>
      <c r="F595" s="8">
        <v>42</v>
      </c>
      <c r="G595" s="9">
        <v>47.89</v>
      </c>
      <c r="H595" s="10">
        <f t="shared" si="0"/>
        <v>2011.38</v>
      </c>
      <c r="I595" s="5">
        <f>F595-SUMIFS(Pedidos!G:G, Pedidos!D:D, C595, Pedidos!E:E, E595, Pedidos!F:F, B595)</f>
        <v>42</v>
      </c>
      <c r="J595" s="10">
        <f t="shared" si="1"/>
        <v>2011.38</v>
      </c>
    </row>
    <row r="596" spans="1:10" ht="15.75" customHeight="1">
      <c r="A596" s="5" t="s">
        <v>681</v>
      </c>
      <c r="B596" s="6" t="s">
        <v>699</v>
      </c>
      <c r="C596" s="11" t="s">
        <v>62</v>
      </c>
      <c r="D596" s="5"/>
      <c r="E596" s="12" t="s">
        <v>63</v>
      </c>
      <c r="F596" s="8">
        <v>38</v>
      </c>
      <c r="G596" s="9">
        <v>19.829999999999998</v>
      </c>
      <c r="H596" s="10">
        <f t="shared" si="0"/>
        <v>753.54</v>
      </c>
      <c r="I596" s="5">
        <f>F596-SUMIFS(Pedidos!G:G, Pedidos!D:D, C596, Pedidos!E:E, E596, Pedidos!F:F, B596)</f>
        <v>38</v>
      </c>
      <c r="J596" s="10">
        <f t="shared" si="1"/>
        <v>753.54</v>
      </c>
    </row>
    <row r="597" spans="1:10" ht="15.75" customHeight="1">
      <c r="A597" s="5" t="s">
        <v>681</v>
      </c>
      <c r="B597" s="6" t="s">
        <v>700</v>
      </c>
      <c r="C597" s="11" t="s">
        <v>62</v>
      </c>
      <c r="D597" s="5"/>
      <c r="E597" s="12" t="s">
        <v>63</v>
      </c>
      <c r="F597" s="8">
        <v>23</v>
      </c>
      <c r="G597" s="9">
        <v>21.34</v>
      </c>
      <c r="H597" s="10">
        <f t="shared" si="0"/>
        <v>490.82</v>
      </c>
      <c r="I597" s="5">
        <f>F597-SUMIFS(Pedidos!G:G, Pedidos!D:D, C597, Pedidos!E:E, E597, Pedidos!F:F, B597)</f>
        <v>23</v>
      </c>
      <c r="J597" s="10">
        <f t="shared" si="1"/>
        <v>490.82</v>
      </c>
    </row>
    <row r="598" spans="1:10" ht="15.75" customHeight="1">
      <c r="A598" s="5" t="s">
        <v>681</v>
      </c>
      <c r="B598" s="6" t="s">
        <v>701</v>
      </c>
      <c r="C598" s="11" t="s">
        <v>62</v>
      </c>
      <c r="D598" s="5"/>
      <c r="E598" s="12" t="s">
        <v>63</v>
      </c>
      <c r="F598" s="8">
        <v>45</v>
      </c>
      <c r="G598" s="9">
        <v>38.89</v>
      </c>
      <c r="H598" s="10">
        <f t="shared" si="0"/>
        <v>1750.05</v>
      </c>
      <c r="I598" s="5">
        <f>F598-SUMIFS(Pedidos!G:G, Pedidos!D:D, C598, Pedidos!E:E, E598, Pedidos!F:F, B598)</f>
        <v>45</v>
      </c>
      <c r="J598" s="10">
        <f t="shared" si="1"/>
        <v>1750.05</v>
      </c>
    </row>
    <row r="599" spans="1:10" ht="15.75" customHeight="1">
      <c r="A599" s="5" t="s">
        <v>681</v>
      </c>
      <c r="B599" s="6" t="s">
        <v>702</v>
      </c>
      <c r="C599" s="11" t="s">
        <v>62</v>
      </c>
      <c r="D599" s="5"/>
      <c r="E599" s="12" t="s">
        <v>63</v>
      </c>
      <c r="F599" s="8">
        <v>8</v>
      </c>
      <c r="G599" s="9">
        <v>5.5</v>
      </c>
      <c r="H599" s="10">
        <f t="shared" si="0"/>
        <v>44</v>
      </c>
      <c r="I599" s="5">
        <f>F599-SUMIFS(Pedidos!G:G, Pedidos!D:D, C599, Pedidos!E:E, E599, Pedidos!F:F, B599)</f>
        <v>8</v>
      </c>
      <c r="J599" s="10">
        <f t="shared" si="1"/>
        <v>44</v>
      </c>
    </row>
    <row r="600" spans="1:10" ht="15.75" customHeight="1">
      <c r="A600" s="5" t="s">
        <v>681</v>
      </c>
      <c r="B600" s="6" t="s">
        <v>703</v>
      </c>
      <c r="C600" s="11" t="s">
        <v>62</v>
      </c>
      <c r="D600" s="5"/>
      <c r="E600" s="12" t="s">
        <v>63</v>
      </c>
      <c r="F600" s="8">
        <v>15</v>
      </c>
      <c r="G600" s="9">
        <v>6.59</v>
      </c>
      <c r="H600" s="10">
        <f t="shared" si="0"/>
        <v>98.85</v>
      </c>
      <c r="I600" s="5">
        <f>F600-SUMIFS(Pedidos!G:G, Pedidos!D:D, C600, Pedidos!E:E, E600, Pedidos!F:F, B600)</f>
        <v>15</v>
      </c>
      <c r="J600" s="10">
        <f t="shared" si="1"/>
        <v>98.85</v>
      </c>
    </row>
    <row r="601" spans="1:10" ht="15.75" customHeight="1">
      <c r="A601" s="5" t="s">
        <v>681</v>
      </c>
      <c r="B601" s="6" t="s">
        <v>704</v>
      </c>
      <c r="C601" s="11" t="s">
        <v>62</v>
      </c>
      <c r="D601" s="5"/>
      <c r="E601" s="12" t="s">
        <v>63</v>
      </c>
      <c r="F601" s="8">
        <v>6</v>
      </c>
      <c r="G601" s="9">
        <v>4.67</v>
      </c>
      <c r="H601" s="10">
        <f t="shared" si="0"/>
        <v>28.02</v>
      </c>
      <c r="I601" s="5">
        <f>F601-SUMIFS(Pedidos!G:G, Pedidos!D:D, C601, Pedidos!E:E, E601, Pedidos!F:F, B601)</f>
        <v>6</v>
      </c>
      <c r="J601" s="10">
        <f t="shared" si="1"/>
        <v>28.02</v>
      </c>
    </row>
    <row r="602" spans="1:10" ht="15.75" customHeight="1">
      <c r="A602" s="5" t="s">
        <v>681</v>
      </c>
      <c r="B602" s="6" t="s">
        <v>705</v>
      </c>
      <c r="C602" s="11" t="s">
        <v>62</v>
      </c>
      <c r="D602" s="5"/>
      <c r="E602" s="12" t="s">
        <v>63</v>
      </c>
      <c r="F602" s="8">
        <v>37</v>
      </c>
      <c r="G602" s="9">
        <v>3</v>
      </c>
      <c r="H602" s="10">
        <f t="shared" si="0"/>
        <v>111</v>
      </c>
      <c r="I602" s="5">
        <f>F602-SUMIFS(Pedidos!G:G, Pedidos!D:D, C602, Pedidos!E:E, E602, Pedidos!F:F, B602)</f>
        <v>37</v>
      </c>
      <c r="J602" s="10">
        <f t="shared" si="1"/>
        <v>111</v>
      </c>
    </row>
    <row r="603" spans="1:10" ht="15.75" customHeight="1">
      <c r="A603" s="5" t="s">
        <v>681</v>
      </c>
      <c r="B603" s="6" t="s">
        <v>706</v>
      </c>
      <c r="C603" s="11" t="s">
        <v>62</v>
      </c>
      <c r="D603" s="5"/>
      <c r="E603" s="12" t="s">
        <v>63</v>
      </c>
      <c r="F603" s="8">
        <v>12</v>
      </c>
      <c r="G603" s="9">
        <v>4.46</v>
      </c>
      <c r="H603" s="10">
        <f t="shared" si="0"/>
        <v>53.519999999999996</v>
      </c>
      <c r="I603" s="5">
        <f>F603-SUMIFS(Pedidos!G:G, Pedidos!D:D, C603, Pedidos!E:E, E603, Pedidos!F:F, B603)</f>
        <v>12</v>
      </c>
      <c r="J603" s="10">
        <f t="shared" si="1"/>
        <v>53.519999999999996</v>
      </c>
    </row>
    <row r="604" spans="1:10" ht="15.75" customHeight="1">
      <c r="A604" s="5" t="s">
        <v>681</v>
      </c>
      <c r="B604" s="6" t="s">
        <v>706</v>
      </c>
      <c r="C604" s="11" t="s">
        <v>68</v>
      </c>
      <c r="D604" s="5"/>
      <c r="E604" s="12" t="s">
        <v>63</v>
      </c>
      <c r="F604" s="8">
        <v>50</v>
      </c>
      <c r="G604" s="9">
        <v>5</v>
      </c>
      <c r="H604" s="10">
        <f t="shared" si="0"/>
        <v>250</v>
      </c>
      <c r="I604" s="5">
        <f>F604-SUMIFS(Pedidos!G:G, Pedidos!D:D, C604, Pedidos!E:E, E604, Pedidos!F:F, B604)</f>
        <v>50</v>
      </c>
      <c r="J604" s="10">
        <f t="shared" si="1"/>
        <v>250</v>
      </c>
    </row>
    <row r="605" spans="1:10" ht="15.75" customHeight="1">
      <c r="A605" s="5" t="s">
        <v>681</v>
      </c>
      <c r="B605" s="6" t="s">
        <v>707</v>
      </c>
      <c r="C605" s="11" t="s">
        <v>62</v>
      </c>
      <c r="D605" s="5"/>
      <c r="E605" s="12" t="s">
        <v>63</v>
      </c>
      <c r="F605" s="8">
        <v>24</v>
      </c>
      <c r="G605" s="9">
        <v>6.32</v>
      </c>
      <c r="H605" s="10">
        <f t="shared" si="0"/>
        <v>151.68</v>
      </c>
      <c r="I605" s="5">
        <f>F605-SUMIFS(Pedidos!G:G, Pedidos!D:D, C605, Pedidos!E:E, E605, Pedidos!F:F, B605)</f>
        <v>24</v>
      </c>
      <c r="J605" s="10">
        <f t="shared" si="1"/>
        <v>151.68</v>
      </c>
    </row>
    <row r="606" spans="1:10" ht="15.75" customHeight="1">
      <c r="A606" s="5" t="s">
        <v>681</v>
      </c>
      <c r="B606" s="6" t="s">
        <v>707</v>
      </c>
      <c r="C606" s="11" t="s">
        <v>68</v>
      </c>
      <c r="D606" s="5"/>
      <c r="E606" s="12" t="s">
        <v>63</v>
      </c>
      <c r="F606" s="8">
        <v>50</v>
      </c>
      <c r="G606" s="9">
        <v>7</v>
      </c>
      <c r="H606" s="10">
        <f t="shared" si="0"/>
        <v>350</v>
      </c>
      <c r="I606" s="5">
        <f>F606-SUMIFS(Pedidos!G:G, Pedidos!D:D, C606, Pedidos!E:E, E606, Pedidos!F:F, B606)</f>
        <v>50</v>
      </c>
      <c r="J606" s="10">
        <f t="shared" si="1"/>
        <v>350</v>
      </c>
    </row>
    <row r="607" spans="1:10" ht="15.75" customHeight="1">
      <c r="A607" s="5" t="s">
        <v>681</v>
      </c>
      <c r="B607" s="6" t="s">
        <v>708</v>
      </c>
      <c r="C607" s="11" t="s">
        <v>62</v>
      </c>
      <c r="D607" s="5"/>
      <c r="E607" s="12" t="s">
        <v>63</v>
      </c>
      <c r="F607" s="8">
        <v>23</v>
      </c>
      <c r="G607" s="9">
        <v>8.23</v>
      </c>
      <c r="H607" s="10">
        <f t="shared" si="0"/>
        <v>189.29000000000002</v>
      </c>
      <c r="I607" s="5">
        <f>F607-SUMIFS(Pedidos!G:G, Pedidos!D:D, C607, Pedidos!E:E, E607, Pedidos!F:F, B607)</f>
        <v>23</v>
      </c>
      <c r="J607" s="10">
        <f t="shared" si="1"/>
        <v>189.29000000000002</v>
      </c>
    </row>
    <row r="608" spans="1:10" ht="15.75" customHeight="1">
      <c r="A608" s="5" t="s">
        <v>681</v>
      </c>
      <c r="B608" s="6" t="s">
        <v>709</v>
      </c>
      <c r="C608" s="11" t="s">
        <v>62</v>
      </c>
      <c r="D608" s="5"/>
      <c r="E608" s="12" t="s">
        <v>63</v>
      </c>
      <c r="F608" s="8">
        <v>44</v>
      </c>
      <c r="G608" s="9">
        <v>15.23</v>
      </c>
      <c r="H608" s="10">
        <f t="shared" si="0"/>
        <v>670.12</v>
      </c>
      <c r="I608" s="5">
        <f>F608-SUMIFS(Pedidos!G:G, Pedidos!D:D, C608, Pedidos!E:E, E608, Pedidos!F:F, B608)</f>
        <v>44</v>
      </c>
      <c r="J608" s="10">
        <f t="shared" si="1"/>
        <v>670.12</v>
      </c>
    </row>
    <row r="609" spans="1:10" ht="15.75" customHeight="1">
      <c r="A609" s="5" t="s">
        <v>681</v>
      </c>
      <c r="B609" s="6" t="s">
        <v>710</v>
      </c>
      <c r="C609" s="11" t="s">
        <v>62</v>
      </c>
      <c r="D609" s="5"/>
      <c r="E609" s="12" t="s">
        <v>63</v>
      </c>
      <c r="F609" s="8">
        <v>44</v>
      </c>
      <c r="G609" s="9">
        <v>13.89</v>
      </c>
      <c r="H609" s="10">
        <f t="shared" si="0"/>
        <v>611.16000000000008</v>
      </c>
      <c r="I609" s="5">
        <f>F609-SUMIFS(Pedidos!G:G, Pedidos!D:D, C609, Pedidos!E:E, E609, Pedidos!F:F, B609)</f>
        <v>44</v>
      </c>
      <c r="J609" s="10">
        <f t="shared" si="1"/>
        <v>611.16000000000008</v>
      </c>
    </row>
    <row r="610" spans="1:10" ht="15.75" customHeight="1">
      <c r="A610" s="5" t="s">
        <v>681</v>
      </c>
      <c r="B610" s="6" t="s">
        <v>711</v>
      </c>
      <c r="C610" s="11" t="s">
        <v>62</v>
      </c>
      <c r="D610" s="5"/>
      <c r="E610" s="12" t="s">
        <v>63</v>
      </c>
      <c r="F610" s="8">
        <v>2</v>
      </c>
      <c r="G610" s="9">
        <v>28</v>
      </c>
      <c r="H610" s="10">
        <f t="shared" si="0"/>
        <v>56</v>
      </c>
      <c r="I610" s="5">
        <f>F610-SUMIFS(Pedidos!G:G, Pedidos!D:D, C610, Pedidos!E:E, E610, Pedidos!F:F, B610)</f>
        <v>2</v>
      </c>
      <c r="J610" s="10">
        <f t="shared" si="1"/>
        <v>56</v>
      </c>
    </row>
    <row r="611" spans="1:10" ht="15.75" customHeight="1">
      <c r="A611" s="5" t="s">
        <v>681</v>
      </c>
      <c r="B611" s="6" t="s">
        <v>712</v>
      </c>
      <c r="C611" s="11" t="s">
        <v>62</v>
      </c>
      <c r="D611" s="5"/>
      <c r="E611" s="12" t="s">
        <v>63</v>
      </c>
      <c r="F611" s="8">
        <v>11</v>
      </c>
      <c r="G611" s="9">
        <v>34</v>
      </c>
      <c r="H611" s="10">
        <f t="shared" si="0"/>
        <v>374</v>
      </c>
      <c r="I611" s="5">
        <f>F611-SUMIFS(Pedidos!G:G, Pedidos!D:D, C611, Pedidos!E:E, E611, Pedidos!F:F, B611)</f>
        <v>11</v>
      </c>
      <c r="J611" s="10">
        <f t="shared" si="1"/>
        <v>374</v>
      </c>
    </row>
    <row r="612" spans="1:10" ht="15.75" customHeight="1">
      <c r="A612" s="5" t="s">
        <v>681</v>
      </c>
      <c r="B612" s="6" t="s">
        <v>713</v>
      </c>
      <c r="C612" s="11" t="s">
        <v>62</v>
      </c>
      <c r="D612" s="5"/>
      <c r="E612" s="12" t="s">
        <v>63</v>
      </c>
      <c r="F612" s="8">
        <v>23</v>
      </c>
      <c r="G612" s="9">
        <v>49</v>
      </c>
      <c r="H612" s="10">
        <f t="shared" si="0"/>
        <v>1127</v>
      </c>
      <c r="I612" s="5">
        <f>F612-SUMIFS(Pedidos!G:G, Pedidos!D:D, C612, Pedidos!E:E, E612, Pedidos!F:F, B612)</f>
        <v>23</v>
      </c>
      <c r="J612" s="10">
        <f t="shared" si="1"/>
        <v>1127</v>
      </c>
    </row>
    <row r="613" spans="1:10" ht="15.75" customHeight="1">
      <c r="A613" s="5" t="s">
        <v>714</v>
      </c>
      <c r="B613" s="6" t="s">
        <v>715</v>
      </c>
      <c r="C613" s="11" t="s">
        <v>62</v>
      </c>
      <c r="D613" s="5"/>
      <c r="E613" s="12" t="s">
        <v>63</v>
      </c>
      <c r="F613" s="8">
        <v>2</v>
      </c>
      <c r="G613" s="9">
        <v>580.63</v>
      </c>
      <c r="H613" s="10">
        <f t="shared" si="0"/>
        <v>1161.26</v>
      </c>
      <c r="I613" s="5">
        <f>F613-SUMIFS(Pedidos!G:G, Pedidos!D:D, C613, Pedidos!E:E, E613, Pedidos!F:F, B613)</f>
        <v>2</v>
      </c>
      <c r="J613" s="10">
        <f t="shared" si="1"/>
        <v>1161.26</v>
      </c>
    </row>
    <row r="614" spans="1:10" ht="15.75" customHeight="1">
      <c r="A614" s="5" t="s">
        <v>714</v>
      </c>
      <c r="B614" s="6" t="s">
        <v>716</v>
      </c>
      <c r="C614" s="11" t="s">
        <v>62</v>
      </c>
      <c r="D614" s="5"/>
      <c r="E614" s="12" t="s">
        <v>63</v>
      </c>
      <c r="F614" s="8">
        <v>8</v>
      </c>
      <c r="G614" s="9">
        <v>12.6</v>
      </c>
      <c r="H614" s="10">
        <f t="shared" si="0"/>
        <v>100.8</v>
      </c>
      <c r="I614" s="5">
        <f>F614-SUMIFS(Pedidos!G:G, Pedidos!D:D, C614, Pedidos!E:E, E614, Pedidos!F:F, B614)</f>
        <v>8</v>
      </c>
      <c r="J614" s="10">
        <f t="shared" si="1"/>
        <v>100.8</v>
      </c>
    </row>
    <row r="615" spans="1:10" ht="15.75" customHeight="1">
      <c r="A615" s="5" t="s">
        <v>714</v>
      </c>
      <c r="B615" s="6" t="s">
        <v>717</v>
      </c>
      <c r="C615" s="11" t="s">
        <v>62</v>
      </c>
      <c r="D615" s="5"/>
      <c r="E615" s="12" t="s">
        <v>63</v>
      </c>
      <c r="F615" s="8">
        <v>2</v>
      </c>
      <c r="G615" s="9">
        <v>174</v>
      </c>
      <c r="H615" s="10">
        <f t="shared" si="0"/>
        <v>348</v>
      </c>
      <c r="I615" s="5">
        <f>F615-SUMIFS(Pedidos!G:G, Pedidos!D:D, C615, Pedidos!E:E, E615, Pedidos!F:F, B615)</f>
        <v>2</v>
      </c>
      <c r="J615" s="10">
        <f t="shared" si="1"/>
        <v>348</v>
      </c>
    </row>
    <row r="616" spans="1:10" ht="15.75" customHeight="1">
      <c r="A616" s="5" t="s">
        <v>714</v>
      </c>
      <c r="B616" s="6" t="s">
        <v>717</v>
      </c>
      <c r="C616" s="11" t="s">
        <v>68</v>
      </c>
      <c r="D616" s="5"/>
      <c r="E616" s="12" t="s">
        <v>63</v>
      </c>
      <c r="F616" s="8">
        <v>2</v>
      </c>
      <c r="G616" s="9">
        <v>12076</v>
      </c>
      <c r="H616" s="10">
        <f t="shared" si="0"/>
        <v>24152</v>
      </c>
      <c r="I616" s="5">
        <f>F616-SUMIFS(Pedidos!G:G, Pedidos!D:D, C616, Pedidos!E:E, E616, Pedidos!F:F, B616)</f>
        <v>2</v>
      </c>
      <c r="J616" s="10">
        <f t="shared" si="1"/>
        <v>24152</v>
      </c>
    </row>
    <row r="617" spans="1:10" ht="15.75" customHeight="1">
      <c r="A617" s="5" t="s">
        <v>714</v>
      </c>
      <c r="B617" s="6" t="s">
        <v>718</v>
      </c>
      <c r="C617" s="11" t="s">
        <v>62</v>
      </c>
      <c r="D617" s="5"/>
      <c r="E617" s="12" t="s">
        <v>63</v>
      </c>
      <c r="F617" s="8">
        <v>1</v>
      </c>
      <c r="G617" s="9">
        <v>68</v>
      </c>
      <c r="H617" s="10">
        <f t="shared" si="0"/>
        <v>68</v>
      </c>
      <c r="I617" s="5">
        <f>F617-SUMIFS(Pedidos!G:G, Pedidos!D:D, C617, Pedidos!E:E, E617, Pedidos!F:F, B617)</f>
        <v>1</v>
      </c>
      <c r="J617" s="10">
        <f t="shared" si="1"/>
        <v>68</v>
      </c>
    </row>
    <row r="618" spans="1:10" ht="15.75" customHeight="1">
      <c r="A618" s="5" t="s">
        <v>714</v>
      </c>
      <c r="B618" s="6" t="s">
        <v>719</v>
      </c>
      <c r="C618" s="11" t="s">
        <v>62</v>
      </c>
      <c r="D618" s="5"/>
      <c r="E618" s="12" t="s">
        <v>63</v>
      </c>
      <c r="F618" s="8">
        <v>4</v>
      </c>
      <c r="G618" s="9">
        <v>392</v>
      </c>
      <c r="H618" s="10">
        <f t="shared" si="0"/>
        <v>1568</v>
      </c>
      <c r="I618" s="5">
        <f>F618-SUMIFS(Pedidos!G:G, Pedidos!D:D, C618, Pedidos!E:E, E618, Pedidos!F:F, B618)</f>
        <v>4</v>
      </c>
      <c r="J618" s="10">
        <f t="shared" si="1"/>
        <v>1568</v>
      </c>
    </row>
    <row r="619" spans="1:10" ht="15.75" customHeight="1">
      <c r="A619" s="5" t="s">
        <v>714</v>
      </c>
      <c r="B619" s="6" t="s">
        <v>720</v>
      </c>
      <c r="C619" s="11" t="s">
        <v>62</v>
      </c>
      <c r="D619" s="5"/>
      <c r="E619" s="12" t="s">
        <v>63</v>
      </c>
      <c r="F619" s="8">
        <v>3</v>
      </c>
      <c r="G619" s="9">
        <v>598</v>
      </c>
      <c r="H619" s="10">
        <f t="shared" si="0"/>
        <v>1794</v>
      </c>
      <c r="I619" s="5">
        <f>F619-SUMIFS(Pedidos!G:G, Pedidos!D:D, C619, Pedidos!E:E, E619, Pedidos!F:F, B619)</f>
        <v>2</v>
      </c>
      <c r="J619" s="10">
        <f t="shared" si="1"/>
        <v>1196</v>
      </c>
    </row>
    <row r="620" spans="1:10" ht="15.75" customHeight="1">
      <c r="A620" s="5" t="s">
        <v>714</v>
      </c>
      <c r="B620" s="6" t="s">
        <v>721</v>
      </c>
      <c r="C620" s="11" t="s">
        <v>62</v>
      </c>
      <c r="D620" s="5"/>
      <c r="E620" s="12" t="s">
        <v>63</v>
      </c>
      <c r="F620" s="8">
        <v>3</v>
      </c>
      <c r="G620" s="9">
        <v>144</v>
      </c>
      <c r="H620" s="10">
        <f t="shared" si="0"/>
        <v>432</v>
      </c>
      <c r="I620" s="5">
        <f>F620-SUMIFS(Pedidos!G:G, Pedidos!D:D, C620, Pedidos!E:E, E620, Pedidos!F:F, B620)</f>
        <v>3</v>
      </c>
      <c r="J620" s="10">
        <f t="shared" si="1"/>
        <v>432</v>
      </c>
    </row>
    <row r="621" spans="1:10" ht="15.75" customHeight="1">
      <c r="A621" s="5" t="s">
        <v>714</v>
      </c>
      <c r="B621" s="6" t="s">
        <v>722</v>
      </c>
      <c r="C621" s="11" t="s">
        <v>62</v>
      </c>
      <c r="D621" s="5"/>
      <c r="E621" s="12" t="s">
        <v>63</v>
      </c>
      <c r="F621" s="8">
        <v>1</v>
      </c>
      <c r="G621" s="9">
        <v>17</v>
      </c>
      <c r="H621" s="10">
        <f t="shared" si="0"/>
        <v>17</v>
      </c>
      <c r="I621" s="5">
        <f>F621-SUMIFS(Pedidos!G:G, Pedidos!D:D, C621, Pedidos!E:E, E621, Pedidos!F:F, B621)</f>
        <v>1</v>
      </c>
      <c r="J621" s="10">
        <f t="shared" si="1"/>
        <v>17</v>
      </c>
    </row>
    <row r="622" spans="1:10" ht="15.75" customHeight="1">
      <c r="A622" s="5" t="s">
        <v>714</v>
      </c>
      <c r="B622" s="6" t="s">
        <v>723</v>
      </c>
      <c r="C622" s="11" t="s">
        <v>62</v>
      </c>
      <c r="D622" s="5"/>
      <c r="E622" s="12" t="s">
        <v>63</v>
      </c>
      <c r="F622" s="8">
        <v>8</v>
      </c>
      <c r="G622" s="9">
        <v>155</v>
      </c>
      <c r="H622" s="10">
        <f t="shared" si="0"/>
        <v>1240</v>
      </c>
      <c r="I622" s="5">
        <f>F622-SUMIFS(Pedidos!G:G, Pedidos!D:D, C622, Pedidos!E:E, E622, Pedidos!F:F, B622)</f>
        <v>8</v>
      </c>
      <c r="J622" s="10">
        <f t="shared" si="1"/>
        <v>1240</v>
      </c>
    </row>
    <row r="623" spans="1:10" ht="15.75" customHeight="1">
      <c r="A623" s="5" t="s">
        <v>714</v>
      </c>
      <c r="B623" s="6" t="s">
        <v>724</v>
      </c>
      <c r="C623" s="11" t="s">
        <v>62</v>
      </c>
      <c r="D623" s="5"/>
      <c r="E623" s="12" t="s">
        <v>63</v>
      </c>
      <c r="F623" s="8">
        <v>1</v>
      </c>
      <c r="G623" s="9">
        <v>293</v>
      </c>
      <c r="H623" s="10">
        <f t="shared" si="0"/>
        <v>293</v>
      </c>
      <c r="I623" s="5">
        <f>F623-SUMIFS(Pedidos!G:G, Pedidos!D:D, C623, Pedidos!E:E, E623, Pedidos!F:F, B623)</f>
        <v>1</v>
      </c>
      <c r="J623" s="10">
        <f t="shared" si="1"/>
        <v>293</v>
      </c>
    </row>
    <row r="624" spans="1:10" ht="15.75" customHeight="1">
      <c r="A624" s="5" t="s">
        <v>714</v>
      </c>
      <c r="B624" s="6" t="s">
        <v>725</v>
      </c>
      <c r="C624" s="11" t="s">
        <v>62</v>
      </c>
      <c r="D624" s="5"/>
      <c r="E624" s="12" t="s">
        <v>63</v>
      </c>
      <c r="F624" s="8">
        <v>2</v>
      </c>
      <c r="G624" s="9">
        <v>187</v>
      </c>
      <c r="H624" s="10">
        <f t="shared" si="0"/>
        <v>374</v>
      </c>
      <c r="I624" s="5">
        <f>F624-SUMIFS(Pedidos!G:G, Pedidos!D:D, C624, Pedidos!E:E, E624, Pedidos!F:F, B624)</f>
        <v>2</v>
      </c>
      <c r="J624" s="10">
        <f t="shared" si="1"/>
        <v>374</v>
      </c>
    </row>
    <row r="625" spans="1:10" ht="15.75" customHeight="1">
      <c r="A625" s="5" t="s">
        <v>714</v>
      </c>
      <c r="B625" s="6" t="s">
        <v>726</v>
      </c>
      <c r="C625" s="11" t="s">
        <v>62</v>
      </c>
      <c r="D625" s="5"/>
      <c r="E625" s="12" t="s">
        <v>63</v>
      </c>
      <c r="F625" s="8">
        <v>1</v>
      </c>
      <c r="G625" s="9">
        <v>499</v>
      </c>
      <c r="H625" s="10">
        <f t="shared" si="0"/>
        <v>499</v>
      </c>
      <c r="I625" s="5">
        <f>F625-SUMIFS(Pedidos!G:G, Pedidos!D:D, C625, Pedidos!E:E, E625, Pedidos!F:F, B625)</f>
        <v>1</v>
      </c>
      <c r="J625" s="10">
        <f t="shared" si="1"/>
        <v>499</v>
      </c>
    </row>
    <row r="626" spans="1:10" ht="15.75" customHeight="1">
      <c r="A626" s="5"/>
      <c r="B626" s="6"/>
      <c r="C626" s="11"/>
      <c r="D626" s="5"/>
      <c r="E626" s="12"/>
      <c r="F626" s="8"/>
      <c r="G626" s="9">
        <v>0</v>
      </c>
      <c r="H626" s="10"/>
      <c r="I626" s="5"/>
      <c r="J626" s="10"/>
    </row>
    <row r="627" spans="1:10" ht="15.75" customHeight="1">
      <c r="A627" s="5"/>
      <c r="B627" s="6"/>
      <c r="C627" s="11"/>
      <c r="D627" s="5"/>
      <c r="E627" s="12"/>
      <c r="F627" s="8"/>
      <c r="G627" s="9">
        <v>0</v>
      </c>
      <c r="H627" s="10"/>
      <c r="I627" s="5"/>
      <c r="J627" s="10"/>
    </row>
    <row r="628" spans="1:10" ht="15.75" customHeight="1">
      <c r="A628" s="5"/>
      <c r="B628" s="6"/>
      <c r="C628" s="11"/>
      <c r="D628" s="5"/>
      <c r="E628" s="12"/>
      <c r="F628" s="8"/>
      <c r="G628" s="9">
        <v>0</v>
      </c>
      <c r="H628" s="10"/>
      <c r="I628" s="5"/>
      <c r="J628" s="10"/>
    </row>
    <row r="629" spans="1:10" ht="15.75" customHeight="1">
      <c r="A629" s="5"/>
      <c r="B629" s="6"/>
      <c r="C629" s="11"/>
      <c r="D629" s="5"/>
      <c r="E629" s="12"/>
      <c r="F629" s="8"/>
      <c r="G629" s="9">
        <v>0</v>
      </c>
      <c r="H629" s="10"/>
      <c r="I629" s="5"/>
      <c r="J629" s="10"/>
    </row>
    <row r="630" spans="1:10" ht="15.75" customHeight="1">
      <c r="A630" s="5"/>
      <c r="B630" s="6"/>
      <c r="C630" s="11"/>
      <c r="D630" s="5"/>
      <c r="E630" s="12"/>
      <c r="F630" s="8"/>
      <c r="G630" s="9">
        <v>0</v>
      </c>
      <c r="H630" s="10"/>
      <c r="I630" s="5"/>
      <c r="J630" s="10"/>
    </row>
    <row r="631" spans="1:10" ht="15.75" customHeight="1">
      <c r="A631" s="5"/>
      <c r="B631" s="6"/>
      <c r="C631" s="11"/>
      <c r="D631" s="5"/>
      <c r="E631" s="12"/>
      <c r="F631" s="8"/>
      <c r="G631" s="9">
        <v>0</v>
      </c>
      <c r="H631" s="10"/>
      <c r="I631" s="5"/>
      <c r="J631" s="10"/>
    </row>
    <row r="632" spans="1:10" ht="15.75" customHeight="1">
      <c r="A632" s="5"/>
      <c r="B632" s="6"/>
      <c r="C632" s="11"/>
      <c r="D632" s="5"/>
      <c r="E632" s="12"/>
      <c r="F632" s="8"/>
      <c r="G632" s="9">
        <v>0</v>
      </c>
      <c r="H632" s="10"/>
      <c r="I632" s="5"/>
      <c r="J632" s="10"/>
    </row>
    <row r="633" spans="1:10" ht="15.75" customHeight="1">
      <c r="A633" s="5"/>
      <c r="B633" s="6"/>
      <c r="C633" s="11"/>
      <c r="D633" s="5"/>
      <c r="E633" s="12"/>
      <c r="F633" s="8"/>
      <c r="G633" s="9">
        <v>0</v>
      </c>
      <c r="H633" s="10"/>
      <c r="I633" s="5"/>
      <c r="J633" s="10"/>
    </row>
    <row r="634" spans="1:10" ht="15.75" customHeight="1">
      <c r="A634" s="5"/>
      <c r="B634" s="6"/>
      <c r="C634" s="11"/>
      <c r="D634" s="5"/>
      <c r="E634" s="12"/>
      <c r="F634" s="8"/>
      <c r="G634" s="9">
        <v>0</v>
      </c>
      <c r="H634" s="10"/>
      <c r="I634" s="5"/>
      <c r="J634" s="10"/>
    </row>
    <row r="635" spans="1:10" ht="15.75" customHeight="1">
      <c r="A635" s="5"/>
      <c r="B635" s="6"/>
      <c r="C635" s="11"/>
      <c r="D635" s="5"/>
      <c r="E635" s="12"/>
      <c r="F635" s="8"/>
      <c r="G635" s="9">
        <v>0</v>
      </c>
      <c r="H635" s="10"/>
      <c r="I635" s="5"/>
      <c r="J635" s="10"/>
    </row>
    <row r="636" spans="1:10" ht="15.75" customHeight="1">
      <c r="A636" s="5"/>
      <c r="B636" s="6"/>
      <c r="C636" s="11"/>
      <c r="D636" s="5"/>
      <c r="E636" s="12"/>
      <c r="F636" s="8"/>
      <c r="G636" s="9">
        <v>0</v>
      </c>
      <c r="H636" s="10"/>
      <c r="I636" s="5"/>
      <c r="J636" s="10"/>
    </row>
    <row r="637" spans="1:10" ht="15.75" customHeight="1">
      <c r="A637" s="5"/>
      <c r="B637" s="6"/>
      <c r="C637" s="11"/>
      <c r="D637" s="5"/>
      <c r="E637" s="12"/>
      <c r="F637" s="8"/>
      <c r="G637" s="9">
        <v>0</v>
      </c>
      <c r="H637" s="10"/>
      <c r="I637" s="5"/>
      <c r="J637" s="10"/>
    </row>
    <row r="638" spans="1:10" ht="15.75" customHeight="1">
      <c r="A638" s="5"/>
      <c r="B638" s="6"/>
      <c r="C638" s="11"/>
      <c r="D638" s="5"/>
      <c r="E638" s="12"/>
      <c r="F638" s="8"/>
      <c r="G638" s="9">
        <v>0</v>
      </c>
      <c r="H638" s="10"/>
      <c r="I638" s="5"/>
      <c r="J638" s="10"/>
    </row>
    <row r="639" spans="1:10" ht="15.75" customHeight="1">
      <c r="A639" s="5"/>
      <c r="B639" s="6"/>
      <c r="C639" s="11"/>
      <c r="D639" s="5"/>
      <c r="E639" s="12"/>
      <c r="F639" s="8"/>
      <c r="G639" s="9">
        <v>0</v>
      </c>
      <c r="H639" s="10"/>
      <c r="I639" s="5"/>
      <c r="J639" s="10"/>
    </row>
    <row r="640" spans="1:10" ht="15.75" customHeight="1">
      <c r="A640" s="5"/>
      <c r="B640" s="6"/>
      <c r="C640" s="11"/>
      <c r="D640" s="5"/>
      <c r="E640" s="12"/>
      <c r="F640" s="8"/>
      <c r="G640" s="9">
        <v>0</v>
      </c>
      <c r="H640" s="10"/>
      <c r="I640" s="5"/>
      <c r="J640" s="10"/>
    </row>
    <row r="641" spans="1:10" ht="15.75" customHeight="1">
      <c r="A641" s="5"/>
      <c r="B641" s="6"/>
      <c r="C641" s="11"/>
      <c r="D641" s="5"/>
      <c r="E641" s="12"/>
      <c r="F641" s="8"/>
      <c r="G641" s="9">
        <v>0</v>
      </c>
      <c r="H641" s="10"/>
      <c r="I641" s="5"/>
      <c r="J641" s="10"/>
    </row>
    <row r="642" spans="1:10" ht="15.75" customHeight="1">
      <c r="A642" s="5"/>
      <c r="B642" s="6"/>
      <c r="C642" s="11"/>
      <c r="D642" s="5"/>
      <c r="E642" s="12"/>
      <c r="F642" s="8"/>
      <c r="G642" s="9">
        <v>0</v>
      </c>
      <c r="H642" s="10"/>
      <c r="I642" s="5"/>
      <c r="J642" s="10"/>
    </row>
    <row r="643" spans="1:10" ht="15.75" customHeight="1">
      <c r="A643" s="5"/>
      <c r="B643" s="6"/>
      <c r="C643" s="11"/>
      <c r="D643" s="5"/>
      <c r="E643" s="12"/>
      <c r="F643" s="8"/>
      <c r="G643" s="9">
        <v>0</v>
      </c>
      <c r="H643" s="10"/>
      <c r="I643" s="5"/>
      <c r="J643" s="10"/>
    </row>
    <row r="644" spans="1:10" ht="15.75" customHeight="1">
      <c r="A644" s="5"/>
      <c r="B644" s="6"/>
      <c r="C644" s="11"/>
      <c r="D644" s="5"/>
      <c r="E644" s="12"/>
      <c r="F644" s="8"/>
      <c r="G644" s="9">
        <v>0</v>
      </c>
      <c r="H644" s="10"/>
      <c r="I644" s="5"/>
      <c r="J644" s="10"/>
    </row>
    <row r="645" spans="1:10" ht="15.75" customHeight="1">
      <c r="A645" s="5"/>
      <c r="B645" s="6"/>
      <c r="C645" s="11"/>
      <c r="D645" s="5"/>
      <c r="E645" s="12"/>
      <c r="F645" s="8"/>
      <c r="G645" s="9">
        <v>0</v>
      </c>
      <c r="H645" s="10"/>
      <c r="I645" s="5"/>
      <c r="J645" s="10"/>
    </row>
    <row r="646" spans="1:10" ht="15.75" customHeight="1">
      <c r="A646" s="5"/>
      <c r="B646" s="6"/>
      <c r="C646" s="11"/>
      <c r="D646" s="5"/>
      <c r="E646" s="12"/>
      <c r="F646" s="8"/>
      <c r="G646" s="9">
        <v>0</v>
      </c>
      <c r="H646" s="10"/>
      <c r="I646" s="5"/>
      <c r="J646" s="10"/>
    </row>
    <row r="647" spans="1:10" ht="15.75" customHeight="1">
      <c r="A647" s="5"/>
      <c r="B647" s="6"/>
      <c r="C647" s="11"/>
      <c r="D647" s="5"/>
      <c r="E647" s="12"/>
      <c r="F647" s="8"/>
      <c r="G647" s="9">
        <v>0</v>
      </c>
      <c r="H647" s="10"/>
      <c r="I647" s="5"/>
      <c r="J647" s="10"/>
    </row>
    <row r="648" spans="1:10" ht="15.75" customHeight="1">
      <c r="A648" s="5"/>
      <c r="B648" s="6"/>
      <c r="C648" s="11"/>
      <c r="D648" s="5"/>
      <c r="E648" s="12"/>
      <c r="F648" s="8"/>
      <c r="G648" s="9">
        <v>0</v>
      </c>
      <c r="H648" s="10"/>
      <c r="I648" s="5"/>
      <c r="J648" s="10"/>
    </row>
    <row r="649" spans="1:10" ht="15.75" customHeight="1">
      <c r="A649" s="5"/>
      <c r="B649" s="6"/>
      <c r="C649" s="11"/>
      <c r="D649" s="5"/>
      <c r="E649" s="12"/>
      <c r="F649" s="8"/>
      <c r="G649" s="9">
        <v>0</v>
      </c>
      <c r="H649" s="10"/>
      <c r="I649" s="5"/>
      <c r="J649" s="10"/>
    </row>
    <row r="650" spans="1:10" ht="15.75" customHeight="1">
      <c r="A650" s="5"/>
      <c r="B650" s="6"/>
      <c r="C650" s="11"/>
      <c r="D650" s="5"/>
      <c r="E650" s="12"/>
      <c r="F650" s="8"/>
      <c r="G650" s="9">
        <v>0</v>
      </c>
      <c r="H650" s="10"/>
      <c r="I650" s="5"/>
      <c r="J650" s="10"/>
    </row>
    <row r="651" spans="1:10" ht="15.75" customHeight="1">
      <c r="A651" s="5"/>
      <c r="B651" s="6"/>
      <c r="C651" s="11"/>
      <c r="D651" s="5"/>
      <c r="E651" s="12"/>
      <c r="F651" s="8"/>
      <c r="G651" s="9">
        <v>0</v>
      </c>
      <c r="H651" s="10"/>
      <c r="I651" s="5"/>
      <c r="J651" s="10"/>
    </row>
    <row r="652" spans="1:10" ht="15.75" customHeight="1">
      <c r="A652" s="5"/>
      <c r="B652" s="6"/>
      <c r="C652" s="11"/>
      <c r="D652" s="5"/>
      <c r="E652" s="12"/>
      <c r="F652" s="8"/>
      <c r="G652" s="9">
        <v>0</v>
      </c>
      <c r="H652" s="10"/>
      <c r="I652" s="5"/>
      <c r="J652" s="10"/>
    </row>
    <row r="653" spans="1:10" ht="15.75" customHeight="1">
      <c r="A653" s="5"/>
      <c r="B653" s="6"/>
      <c r="C653" s="11"/>
      <c r="D653" s="5"/>
      <c r="E653" s="12"/>
      <c r="F653" s="8"/>
      <c r="G653" s="9">
        <v>0</v>
      </c>
      <c r="H653" s="10"/>
      <c r="I653" s="5"/>
      <c r="J653" s="10"/>
    </row>
    <row r="654" spans="1:10" ht="15.75" customHeight="1">
      <c r="A654" s="5"/>
      <c r="B654" s="6"/>
      <c r="C654" s="11"/>
      <c r="D654" s="5"/>
      <c r="E654" s="12"/>
      <c r="F654" s="8"/>
      <c r="G654" s="9">
        <v>0</v>
      </c>
      <c r="H654" s="10"/>
      <c r="I654" s="5"/>
      <c r="J654" s="10"/>
    </row>
    <row r="655" spans="1:10" ht="15.75" customHeight="1">
      <c r="A655" s="5"/>
      <c r="B655" s="6"/>
      <c r="C655" s="11"/>
      <c r="D655" s="5"/>
      <c r="E655" s="12"/>
      <c r="F655" s="8"/>
      <c r="G655" s="9">
        <v>0</v>
      </c>
      <c r="H655" s="10"/>
      <c r="I655" s="5"/>
      <c r="J655" s="10"/>
    </row>
    <row r="656" spans="1:10" ht="15.75" customHeight="1">
      <c r="A656" s="5"/>
      <c r="B656" s="6"/>
      <c r="C656" s="11"/>
      <c r="D656" s="5"/>
      <c r="E656" s="12"/>
      <c r="F656" s="8"/>
      <c r="G656" s="9">
        <v>0</v>
      </c>
      <c r="H656" s="10"/>
      <c r="I656" s="5"/>
      <c r="J656" s="10"/>
    </row>
    <row r="657" spans="1:10" ht="15.75" customHeight="1">
      <c r="A657" s="5"/>
      <c r="B657" s="6"/>
      <c r="C657" s="11"/>
      <c r="D657" s="5"/>
      <c r="E657" s="12"/>
      <c r="F657" s="8"/>
      <c r="G657" s="9">
        <v>0</v>
      </c>
      <c r="H657" s="10"/>
      <c r="I657" s="5"/>
      <c r="J657" s="10"/>
    </row>
    <row r="658" spans="1:10" ht="15.75" customHeight="1">
      <c r="A658" s="5"/>
      <c r="B658" s="6"/>
      <c r="C658" s="11"/>
      <c r="D658" s="5"/>
      <c r="E658" s="12"/>
      <c r="F658" s="8"/>
      <c r="G658" s="9">
        <v>0</v>
      </c>
      <c r="H658" s="10"/>
      <c r="I658" s="5"/>
      <c r="J658" s="10"/>
    </row>
    <row r="659" spans="1:10" ht="15.75" customHeight="1">
      <c r="A659" s="5"/>
      <c r="B659" s="6"/>
      <c r="C659" s="11"/>
      <c r="D659" s="5"/>
      <c r="E659" s="12"/>
      <c r="F659" s="8"/>
      <c r="G659" s="9">
        <v>0</v>
      </c>
      <c r="H659" s="10"/>
      <c r="I659" s="5"/>
      <c r="J659" s="10"/>
    </row>
    <row r="660" spans="1:10" ht="15.75" customHeight="1">
      <c r="A660" s="5"/>
      <c r="B660" s="6"/>
      <c r="C660" s="11"/>
      <c r="D660" s="5"/>
      <c r="E660" s="12"/>
      <c r="F660" s="8"/>
      <c r="G660" s="9">
        <v>0</v>
      </c>
      <c r="H660" s="10"/>
      <c r="I660" s="5"/>
      <c r="J660" s="10"/>
    </row>
    <row r="661" spans="1:10" ht="15.75" customHeight="1">
      <c r="A661" s="5"/>
      <c r="B661" s="6"/>
      <c r="C661" s="11"/>
      <c r="D661" s="5"/>
      <c r="E661" s="12"/>
      <c r="F661" s="8"/>
      <c r="G661" s="9">
        <v>0</v>
      </c>
      <c r="H661" s="10"/>
      <c r="I661" s="5"/>
      <c r="J661" s="10"/>
    </row>
    <row r="662" spans="1:10" ht="15.75" customHeight="1">
      <c r="A662" s="5"/>
      <c r="B662" s="6"/>
      <c r="C662" s="11"/>
      <c r="D662" s="5"/>
      <c r="E662" s="12"/>
      <c r="F662" s="8"/>
      <c r="G662" s="9">
        <v>0</v>
      </c>
      <c r="H662" s="10"/>
      <c r="I662" s="5"/>
      <c r="J662" s="10"/>
    </row>
    <row r="663" spans="1:10" ht="15.75" customHeight="1">
      <c r="A663" s="5"/>
      <c r="B663" s="6"/>
      <c r="C663" s="11"/>
      <c r="D663" s="5"/>
      <c r="E663" s="12"/>
      <c r="F663" s="8"/>
      <c r="G663" s="9">
        <v>0</v>
      </c>
      <c r="H663" s="10"/>
      <c r="I663" s="5"/>
      <c r="J663" s="10"/>
    </row>
    <row r="664" spans="1:10" ht="15.75" customHeight="1">
      <c r="A664" s="5"/>
      <c r="B664" s="6"/>
      <c r="C664" s="11"/>
      <c r="D664" s="5"/>
      <c r="E664" s="12"/>
      <c r="F664" s="8"/>
      <c r="G664" s="9">
        <v>0</v>
      </c>
      <c r="H664" s="10"/>
      <c r="I664" s="5"/>
      <c r="J664" s="10"/>
    </row>
    <row r="665" spans="1:10" ht="15.75" customHeight="1">
      <c r="A665" s="5"/>
      <c r="B665" s="6"/>
      <c r="C665" s="11"/>
      <c r="D665" s="5"/>
      <c r="E665" s="12"/>
      <c r="F665" s="8"/>
      <c r="G665" s="9">
        <v>0</v>
      </c>
      <c r="H665" s="10"/>
      <c r="I665" s="5"/>
      <c r="J665" s="10"/>
    </row>
    <row r="666" spans="1:10" ht="15.75" customHeight="1">
      <c r="A666" s="5"/>
      <c r="B666" s="6"/>
      <c r="C666" s="11"/>
      <c r="D666" s="5"/>
      <c r="E666" s="12"/>
      <c r="F666" s="8"/>
      <c r="G666" s="9">
        <v>0</v>
      </c>
      <c r="H666" s="10"/>
      <c r="I666" s="5"/>
      <c r="J666" s="10"/>
    </row>
    <row r="667" spans="1:10" ht="15.75" customHeight="1">
      <c r="A667" s="5"/>
      <c r="B667" s="6"/>
      <c r="C667" s="11"/>
      <c r="D667" s="5"/>
      <c r="E667" s="12"/>
      <c r="F667" s="8"/>
      <c r="G667" s="9">
        <v>0</v>
      </c>
      <c r="H667" s="10"/>
      <c r="I667" s="5"/>
      <c r="J667" s="10"/>
    </row>
    <row r="668" spans="1:10" ht="15.75" customHeight="1">
      <c r="A668" s="5"/>
      <c r="B668" s="6"/>
      <c r="C668" s="11"/>
      <c r="D668" s="5"/>
      <c r="E668" s="12"/>
      <c r="F668" s="8"/>
      <c r="G668" s="9">
        <v>0</v>
      </c>
      <c r="H668" s="10"/>
      <c r="I668" s="5"/>
      <c r="J668" s="10"/>
    </row>
    <row r="669" spans="1:10" ht="15.75" customHeight="1">
      <c r="A669" s="5"/>
      <c r="B669" s="6"/>
      <c r="C669" s="11"/>
      <c r="D669" s="5"/>
      <c r="E669" s="12"/>
      <c r="F669" s="8"/>
      <c r="G669" s="9">
        <v>0</v>
      </c>
      <c r="H669" s="10"/>
      <c r="I669" s="5"/>
      <c r="J669" s="10"/>
    </row>
    <row r="670" spans="1:10" ht="15.75" customHeight="1">
      <c r="A670" s="5"/>
      <c r="B670" s="6"/>
      <c r="C670" s="11"/>
      <c r="D670" s="5"/>
      <c r="E670" s="12"/>
      <c r="F670" s="8"/>
      <c r="G670" s="9">
        <v>0</v>
      </c>
      <c r="H670" s="10"/>
      <c r="I670" s="5"/>
      <c r="J670" s="10"/>
    </row>
    <row r="671" spans="1:10" ht="15.75" customHeight="1">
      <c r="A671" s="5"/>
      <c r="B671" s="6"/>
      <c r="C671" s="11"/>
      <c r="D671" s="5"/>
      <c r="E671" s="12"/>
      <c r="F671" s="8"/>
      <c r="G671" s="9">
        <v>0</v>
      </c>
      <c r="H671" s="10"/>
      <c r="I671" s="5"/>
      <c r="J671" s="10"/>
    </row>
    <row r="672" spans="1:10" ht="15.75" customHeight="1">
      <c r="A672" s="5"/>
      <c r="B672" s="6"/>
      <c r="C672" s="11"/>
      <c r="D672" s="5"/>
      <c r="E672" s="12"/>
      <c r="F672" s="8"/>
      <c r="G672" s="9">
        <v>0</v>
      </c>
      <c r="H672" s="10"/>
      <c r="I672" s="5"/>
      <c r="J672" s="10"/>
    </row>
    <row r="673" spans="1:10" ht="15.75" customHeight="1">
      <c r="A673" s="5"/>
      <c r="B673" s="6"/>
      <c r="C673" s="11"/>
      <c r="D673" s="5"/>
      <c r="E673" s="12"/>
      <c r="F673" s="8"/>
      <c r="G673" s="9">
        <v>0</v>
      </c>
      <c r="H673" s="10"/>
      <c r="I673" s="5"/>
      <c r="J673" s="10"/>
    </row>
    <row r="674" spans="1:10" ht="15.75" customHeight="1">
      <c r="A674" s="5"/>
      <c r="B674" s="6"/>
      <c r="C674" s="11"/>
      <c r="D674" s="5"/>
      <c r="E674" s="12"/>
      <c r="F674" s="8"/>
      <c r="G674" s="9">
        <v>0</v>
      </c>
      <c r="H674" s="10"/>
      <c r="I674" s="5"/>
      <c r="J674" s="10"/>
    </row>
    <row r="675" spans="1:10" ht="15.75" customHeight="1">
      <c r="A675" s="5"/>
      <c r="B675" s="6"/>
      <c r="C675" s="11"/>
      <c r="D675" s="5"/>
      <c r="E675" s="12"/>
      <c r="F675" s="8"/>
      <c r="G675" s="9">
        <v>0</v>
      </c>
      <c r="H675" s="10"/>
      <c r="I675" s="5"/>
      <c r="J675" s="10"/>
    </row>
    <row r="676" spans="1:10" ht="15.75" customHeight="1">
      <c r="A676" s="5"/>
      <c r="B676" s="6"/>
      <c r="C676" s="11"/>
      <c r="D676" s="5"/>
      <c r="E676" s="12"/>
      <c r="F676" s="8"/>
      <c r="G676" s="9">
        <v>0</v>
      </c>
      <c r="H676" s="10"/>
      <c r="I676" s="5"/>
      <c r="J676" s="10"/>
    </row>
    <row r="677" spans="1:10" ht="15.75" customHeight="1">
      <c r="A677" s="5"/>
      <c r="B677" s="6"/>
      <c r="C677" s="11"/>
      <c r="D677" s="5"/>
      <c r="E677" s="12"/>
      <c r="F677" s="8"/>
      <c r="G677" s="9">
        <v>0</v>
      </c>
      <c r="H677" s="10"/>
      <c r="I677" s="5"/>
      <c r="J677" s="10"/>
    </row>
    <row r="678" spans="1:10" ht="15.75" customHeight="1">
      <c r="A678" s="5"/>
      <c r="B678" s="6"/>
      <c r="C678" s="11"/>
      <c r="D678" s="5"/>
      <c r="E678" s="12"/>
      <c r="F678" s="8"/>
      <c r="G678" s="9">
        <v>0</v>
      </c>
      <c r="H678" s="10"/>
      <c r="I678" s="5"/>
      <c r="J678" s="10"/>
    </row>
    <row r="679" spans="1:10" ht="15.75" customHeight="1">
      <c r="A679" s="5"/>
      <c r="B679" s="6"/>
      <c r="C679" s="11"/>
      <c r="D679" s="5"/>
      <c r="E679" s="12"/>
      <c r="F679" s="8"/>
      <c r="G679" s="9">
        <v>0</v>
      </c>
      <c r="H679" s="10"/>
      <c r="I679" s="5"/>
      <c r="J679" s="10"/>
    </row>
    <row r="680" spans="1:10" ht="15.75" customHeight="1">
      <c r="A680" s="5"/>
      <c r="B680" s="6"/>
      <c r="C680" s="11"/>
      <c r="D680" s="5"/>
      <c r="E680" s="12"/>
      <c r="F680" s="8"/>
      <c r="G680" s="9">
        <v>0</v>
      </c>
      <c r="H680" s="10"/>
      <c r="I680" s="5"/>
      <c r="J680" s="10"/>
    </row>
    <row r="681" spans="1:10" ht="15.75" customHeight="1">
      <c r="A681" s="5"/>
      <c r="B681" s="6"/>
      <c r="C681" s="11"/>
      <c r="D681" s="5"/>
      <c r="E681" s="12"/>
      <c r="F681" s="8"/>
      <c r="G681" s="9">
        <v>0</v>
      </c>
      <c r="H681" s="10"/>
      <c r="I681" s="5"/>
      <c r="J681" s="10"/>
    </row>
    <row r="682" spans="1:10" ht="15.75" customHeight="1">
      <c r="A682" s="5"/>
      <c r="B682" s="6"/>
      <c r="C682" s="11"/>
      <c r="D682" s="5"/>
      <c r="E682" s="12"/>
      <c r="F682" s="8"/>
      <c r="G682" s="9">
        <v>0</v>
      </c>
      <c r="H682" s="10"/>
      <c r="I682" s="5"/>
      <c r="J682" s="10"/>
    </row>
    <row r="683" spans="1:10" ht="15.75" customHeight="1">
      <c r="A683" s="5"/>
      <c r="B683" s="6"/>
      <c r="C683" s="11"/>
      <c r="D683" s="5"/>
      <c r="E683" s="12"/>
      <c r="F683" s="8"/>
      <c r="G683" s="9">
        <v>0</v>
      </c>
      <c r="H683" s="10"/>
      <c r="I683" s="5"/>
      <c r="J683" s="10"/>
    </row>
    <row r="684" spans="1:10" ht="15.75" customHeight="1">
      <c r="A684" s="5"/>
      <c r="B684" s="6"/>
      <c r="C684" s="11"/>
      <c r="D684" s="5"/>
      <c r="E684" s="12"/>
      <c r="F684" s="8"/>
      <c r="G684" s="9">
        <v>0</v>
      </c>
      <c r="H684" s="10"/>
      <c r="I684" s="5"/>
      <c r="J684" s="10"/>
    </row>
    <row r="685" spans="1:10" ht="15.75" customHeight="1">
      <c r="A685" s="5"/>
      <c r="B685" s="6"/>
      <c r="C685" s="11"/>
      <c r="D685" s="5"/>
      <c r="E685" s="12"/>
      <c r="F685" s="8"/>
      <c r="G685" s="9">
        <v>0</v>
      </c>
      <c r="H685" s="10"/>
      <c r="I685" s="5"/>
      <c r="J685" s="10"/>
    </row>
    <row r="686" spans="1:10" ht="15.75" customHeight="1">
      <c r="A686" s="5"/>
      <c r="B686" s="6"/>
      <c r="C686" s="11"/>
      <c r="D686" s="5"/>
      <c r="E686" s="12"/>
      <c r="F686" s="8"/>
      <c r="G686" s="9">
        <v>0</v>
      </c>
      <c r="H686" s="10"/>
      <c r="I686" s="5"/>
      <c r="J686" s="10"/>
    </row>
    <row r="687" spans="1:10" ht="15.75" customHeight="1">
      <c r="A687" s="5"/>
      <c r="B687" s="6"/>
      <c r="C687" s="11"/>
      <c r="D687" s="5"/>
      <c r="E687" s="12"/>
      <c r="F687" s="8"/>
      <c r="G687" s="9">
        <v>0</v>
      </c>
      <c r="H687" s="10"/>
      <c r="I687" s="5"/>
      <c r="J687" s="10"/>
    </row>
    <row r="688" spans="1:10" ht="15.75" customHeight="1">
      <c r="A688" s="5"/>
      <c r="B688" s="6"/>
      <c r="C688" s="11"/>
      <c r="D688" s="5"/>
      <c r="E688" s="12"/>
      <c r="F688" s="8"/>
      <c r="G688" s="9">
        <v>0</v>
      </c>
      <c r="H688" s="10"/>
      <c r="I688" s="5"/>
      <c r="J688" s="10"/>
    </row>
    <row r="689" spans="1:10" ht="15.75" customHeight="1">
      <c r="A689" s="5"/>
      <c r="B689" s="6"/>
      <c r="C689" s="11"/>
      <c r="D689" s="5"/>
      <c r="E689" s="12"/>
      <c r="F689" s="8"/>
      <c r="G689" s="9">
        <v>0</v>
      </c>
      <c r="H689" s="10"/>
      <c r="I689" s="5"/>
      <c r="J689" s="10"/>
    </row>
    <row r="690" spans="1:10" ht="15.75" customHeight="1">
      <c r="A690" s="5"/>
      <c r="B690" s="6"/>
      <c r="C690" s="11"/>
      <c r="D690" s="5"/>
      <c r="E690" s="12"/>
      <c r="F690" s="8"/>
      <c r="G690" s="9">
        <v>0</v>
      </c>
      <c r="H690" s="10"/>
      <c r="I690" s="5"/>
      <c r="J690" s="10"/>
    </row>
    <row r="691" spans="1:10" ht="15.75" customHeight="1">
      <c r="A691" s="5"/>
      <c r="B691" s="6"/>
      <c r="C691" s="11"/>
      <c r="D691" s="5"/>
      <c r="E691" s="12"/>
      <c r="F691" s="8"/>
      <c r="G691" s="9">
        <v>0</v>
      </c>
      <c r="H691" s="10"/>
      <c r="I691" s="5"/>
      <c r="J691" s="10"/>
    </row>
    <row r="692" spans="1:10" ht="15.75" customHeight="1">
      <c r="A692" s="5"/>
      <c r="B692" s="6"/>
      <c r="C692" s="11"/>
      <c r="D692" s="5"/>
      <c r="E692" s="12"/>
      <c r="F692" s="8"/>
      <c r="G692" s="9">
        <v>0</v>
      </c>
      <c r="H692" s="10"/>
      <c r="I692" s="5"/>
      <c r="J692" s="10"/>
    </row>
    <row r="693" spans="1:10" ht="15.75" customHeight="1">
      <c r="A693" s="5"/>
      <c r="B693" s="6"/>
      <c r="C693" s="11"/>
      <c r="D693" s="5"/>
      <c r="E693" s="12"/>
      <c r="F693" s="8"/>
      <c r="G693" s="9">
        <v>0</v>
      </c>
      <c r="H693" s="10"/>
      <c r="I693" s="5"/>
      <c r="J693" s="10"/>
    </row>
    <row r="694" spans="1:10" ht="15.75" customHeight="1">
      <c r="A694" s="5"/>
      <c r="B694" s="6"/>
      <c r="C694" s="11"/>
      <c r="D694" s="5"/>
      <c r="E694" s="12"/>
      <c r="F694" s="8"/>
      <c r="G694" s="9">
        <v>0</v>
      </c>
      <c r="H694" s="10"/>
      <c r="I694" s="5"/>
      <c r="J694" s="10"/>
    </row>
    <row r="695" spans="1:10" ht="15.75" customHeight="1">
      <c r="A695" s="5"/>
      <c r="B695" s="6"/>
      <c r="C695" s="11"/>
      <c r="D695" s="5"/>
      <c r="E695" s="12"/>
      <c r="F695" s="8"/>
      <c r="G695" s="9">
        <v>0</v>
      </c>
      <c r="H695" s="10"/>
      <c r="I695" s="5"/>
      <c r="J695" s="10"/>
    </row>
    <row r="696" spans="1:10" ht="15.75" customHeight="1">
      <c r="A696" s="5"/>
      <c r="B696" s="6"/>
      <c r="C696" s="11"/>
      <c r="D696" s="5"/>
      <c r="E696" s="12"/>
      <c r="F696" s="8"/>
      <c r="G696" s="9">
        <v>0</v>
      </c>
      <c r="H696" s="10"/>
      <c r="I696" s="5"/>
      <c r="J696" s="10"/>
    </row>
    <row r="697" spans="1:10" ht="15.75" customHeight="1">
      <c r="A697" s="5"/>
      <c r="B697" s="6"/>
      <c r="C697" s="11"/>
      <c r="D697" s="5"/>
      <c r="E697" s="12"/>
      <c r="F697" s="8"/>
      <c r="G697" s="9">
        <v>0</v>
      </c>
      <c r="H697" s="10"/>
      <c r="I697" s="5"/>
      <c r="J697" s="10"/>
    </row>
    <row r="698" spans="1:10" ht="15.75" customHeight="1">
      <c r="A698" s="5"/>
      <c r="B698" s="6"/>
      <c r="C698" s="11"/>
      <c r="D698" s="5"/>
      <c r="E698" s="12"/>
      <c r="F698" s="8"/>
      <c r="G698" s="9">
        <v>0</v>
      </c>
      <c r="H698" s="10"/>
      <c r="I698" s="5"/>
      <c r="J698" s="10"/>
    </row>
    <row r="699" spans="1:10" ht="15.75" customHeight="1">
      <c r="A699" s="5"/>
      <c r="B699" s="6"/>
      <c r="C699" s="11"/>
      <c r="D699" s="5"/>
      <c r="E699" s="12"/>
      <c r="F699" s="8"/>
      <c r="G699" s="9">
        <v>0</v>
      </c>
      <c r="H699" s="10"/>
      <c r="I699" s="5"/>
      <c r="J699" s="10"/>
    </row>
    <row r="700" spans="1:10" ht="15.75" customHeight="1">
      <c r="A700" s="5"/>
      <c r="B700" s="6"/>
      <c r="C700" s="11"/>
      <c r="D700" s="5"/>
      <c r="E700" s="12"/>
      <c r="F700" s="8"/>
      <c r="G700" s="9">
        <v>0</v>
      </c>
      <c r="H700" s="10"/>
      <c r="I700" s="5"/>
      <c r="J700" s="10"/>
    </row>
    <row r="701" spans="1:10" ht="15.75" customHeight="1">
      <c r="A701" s="5"/>
      <c r="B701" s="6"/>
      <c r="C701" s="11"/>
      <c r="D701" s="5"/>
      <c r="E701" s="12"/>
      <c r="F701" s="8"/>
      <c r="G701" s="9">
        <v>0</v>
      </c>
      <c r="H701" s="10"/>
      <c r="I701" s="5"/>
      <c r="J701" s="10"/>
    </row>
    <row r="702" spans="1:10" ht="15.75" customHeight="1">
      <c r="A702" s="5"/>
      <c r="B702" s="6"/>
      <c r="C702" s="11"/>
      <c r="D702" s="5"/>
      <c r="E702" s="12"/>
      <c r="F702" s="8"/>
      <c r="G702" s="9">
        <v>0</v>
      </c>
      <c r="H702" s="10"/>
      <c r="I702" s="5"/>
      <c r="J702" s="10"/>
    </row>
    <row r="703" spans="1:10" ht="15.75" customHeight="1">
      <c r="A703" s="5"/>
      <c r="B703" s="6"/>
      <c r="C703" s="11"/>
      <c r="D703" s="5"/>
      <c r="E703" s="12"/>
      <c r="F703" s="8"/>
      <c r="G703" s="9">
        <v>0</v>
      </c>
      <c r="H703" s="10"/>
      <c r="I703" s="5"/>
      <c r="J703" s="10"/>
    </row>
    <row r="704" spans="1:10" ht="15.75" customHeight="1">
      <c r="A704" s="5"/>
      <c r="B704" s="6"/>
      <c r="C704" s="11"/>
      <c r="D704" s="5"/>
      <c r="E704" s="12"/>
      <c r="F704" s="8"/>
      <c r="G704" s="9">
        <v>0</v>
      </c>
      <c r="H704" s="10"/>
      <c r="I704" s="5"/>
      <c r="J704" s="10"/>
    </row>
    <row r="705" spans="1:10" ht="15.75" customHeight="1">
      <c r="A705" s="5"/>
      <c r="B705" s="6"/>
      <c r="C705" s="11"/>
      <c r="D705" s="5"/>
      <c r="E705" s="12"/>
      <c r="F705" s="8"/>
      <c r="G705" s="9">
        <v>0</v>
      </c>
      <c r="H705" s="10"/>
      <c r="I705" s="5"/>
      <c r="J705" s="10"/>
    </row>
    <row r="706" spans="1:10" ht="15.75" customHeight="1">
      <c r="A706" s="5"/>
      <c r="B706" s="6"/>
      <c r="C706" s="11"/>
      <c r="D706" s="5"/>
      <c r="E706" s="12"/>
      <c r="F706" s="8"/>
      <c r="G706" s="9"/>
      <c r="H706" s="10"/>
      <c r="I706" s="5"/>
      <c r="J706" s="10"/>
    </row>
    <row r="707" spans="1:10" ht="15.75" customHeight="1">
      <c r="A707" s="5"/>
      <c r="B707" s="6"/>
      <c r="C707" s="11"/>
      <c r="D707" s="5"/>
      <c r="E707" s="12"/>
      <c r="F707" s="8"/>
      <c r="G707" s="9"/>
      <c r="H707" s="10"/>
      <c r="I707" s="5"/>
      <c r="J707" s="10"/>
    </row>
    <row r="708" spans="1:10" ht="15.75" customHeight="1">
      <c r="A708" s="5"/>
      <c r="B708" s="6"/>
      <c r="C708" s="11"/>
      <c r="D708" s="5"/>
      <c r="E708" s="12"/>
      <c r="F708" s="8"/>
      <c r="G708" s="9"/>
      <c r="H708" s="10"/>
      <c r="I708" s="5"/>
      <c r="J708" s="10"/>
    </row>
    <row r="709" spans="1:10" ht="15.75" customHeight="1">
      <c r="A709" s="5"/>
      <c r="B709" s="6"/>
      <c r="C709" s="11"/>
      <c r="D709" s="5"/>
      <c r="E709" s="12"/>
      <c r="F709" s="8"/>
      <c r="G709" s="9"/>
      <c r="H709" s="10"/>
      <c r="I709" s="5"/>
      <c r="J709" s="10"/>
    </row>
    <row r="710" spans="1:10" ht="15.75" customHeight="1">
      <c r="A710" s="5"/>
      <c r="B710" s="6"/>
      <c r="C710" s="11"/>
      <c r="D710" s="5"/>
      <c r="E710" s="12"/>
      <c r="F710" s="8"/>
      <c r="G710" s="9"/>
      <c r="H710" s="10"/>
      <c r="I710" s="5"/>
      <c r="J710" s="10"/>
    </row>
    <row r="711" spans="1:10" ht="15.75" customHeight="1">
      <c r="A711" s="5"/>
      <c r="B711" s="6"/>
      <c r="C711" s="11"/>
      <c r="D711" s="5"/>
      <c r="E711" s="12"/>
      <c r="F711" s="8"/>
      <c r="G711" s="9"/>
      <c r="H711" s="10"/>
      <c r="I711" s="5"/>
      <c r="J711" s="10"/>
    </row>
    <row r="712" spans="1:10" ht="15.75" customHeight="1">
      <c r="A712" s="5"/>
      <c r="B712" s="6"/>
      <c r="C712" s="11"/>
      <c r="D712" s="5"/>
      <c r="E712" s="12"/>
      <c r="F712" s="8"/>
      <c r="G712" s="9"/>
      <c r="H712" s="10"/>
      <c r="I712" s="5"/>
      <c r="J712" s="10"/>
    </row>
    <row r="713" spans="1:10" ht="15.75" customHeight="1">
      <c r="A713" s="5"/>
      <c r="B713" s="6"/>
      <c r="C713" s="11"/>
      <c r="D713" s="5"/>
      <c r="E713" s="12"/>
      <c r="F713" s="8"/>
      <c r="G713" s="9"/>
      <c r="H713" s="10"/>
      <c r="I713" s="5"/>
      <c r="J713" s="10"/>
    </row>
    <row r="714" spans="1:10" ht="15.75" customHeight="1">
      <c r="A714" s="5"/>
      <c r="B714" s="6"/>
      <c r="C714" s="11"/>
      <c r="D714" s="5"/>
      <c r="E714" s="12"/>
      <c r="F714" s="8"/>
      <c r="G714" s="9"/>
      <c r="H714" s="10"/>
      <c r="I714" s="5"/>
      <c r="J714" s="10"/>
    </row>
    <row r="715" spans="1:10" ht="15.75" customHeight="1">
      <c r="A715" s="5"/>
      <c r="B715" s="6"/>
      <c r="C715" s="11"/>
      <c r="D715" s="5"/>
      <c r="E715" s="12"/>
      <c r="F715" s="8"/>
      <c r="G715" s="9"/>
      <c r="H715" s="10"/>
      <c r="I715" s="5"/>
      <c r="J715" s="10"/>
    </row>
    <row r="716" spans="1:10" ht="15.75" customHeight="1">
      <c r="A716" s="5"/>
      <c r="B716" s="6"/>
      <c r="C716" s="11"/>
      <c r="D716" s="5"/>
      <c r="E716" s="12"/>
      <c r="F716" s="8"/>
      <c r="G716" s="9"/>
      <c r="H716" s="10"/>
      <c r="I716" s="5"/>
      <c r="J716" s="10"/>
    </row>
    <row r="717" spans="1:10" ht="15.75" customHeight="1">
      <c r="A717" s="5"/>
      <c r="B717" s="6"/>
      <c r="C717" s="11"/>
      <c r="D717" s="5"/>
      <c r="E717" s="12"/>
      <c r="F717" s="8"/>
      <c r="G717" s="9"/>
      <c r="H717" s="10"/>
      <c r="I717" s="5"/>
      <c r="J717" s="10"/>
    </row>
    <row r="718" spans="1:10" ht="15.75" customHeight="1">
      <c r="A718" s="5"/>
      <c r="B718" s="6"/>
      <c r="C718" s="11"/>
      <c r="D718" s="5"/>
      <c r="E718" s="12"/>
      <c r="F718" s="8"/>
      <c r="G718" s="9"/>
      <c r="H718" s="10"/>
      <c r="I718" s="5"/>
      <c r="J718" s="10"/>
    </row>
    <row r="719" spans="1:10" ht="15.75" customHeight="1">
      <c r="A719" s="5"/>
      <c r="B719" s="6"/>
      <c r="C719" s="11"/>
      <c r="D719" s="5"/>
      <c r="E719" s="12"/>
      <c r="F719" s="8"/>
      <c r="G719" s="9"/>
      <c r="H719" s="10"/>
      <c r="I719" s="5"/>
      <c r="J719" s="10"/>
    </row>
    <row r="720" spans="1:10" ht="15.75" customHeight="1">
      <c r="A720" s="5"/>
      <c r="B720" s="6"/>
      <c r="C720" s="11"/>
      <c r="D720" s="5"/>
      <c r="E720" s="12"/>
      <c r="F720" s="8"/>
      <c r="G720" s="9">
        <v>0</v>
      </c>
      <c r="H720" s="10"/>
      <c r="I720" s="5"/>
      <c r="J720" s="10"/>
    </row>
    <row r="721" spans="1:10" ht="15.75" customHeight="1">
      <c r="A721" s="5"/>
      <c r="B721" s="6"/>
      <c r="C721" s="11"/>
      <c r="D721" s="5"/>
      <c r="E721" s="12"/>
      <c r="F721" s="8"/>
      <c r="G721" s="9">
        <v>0</v>
      </c>
      <c r="H721" s="10"/>
      <c r="I721" s="5"/>
      <c r="J721" s="10"/>
    </row>
    <row r="722" spans="1:10" ht="15.75" customHeight="1">
      <c r="A722" s="5"/>
      <c r="B722" s="6"/>
      <c r="C722" s="11"/>
      <c r="D722" s="5"/>
      <c r="E722" s="12"/>
      <c r="F722" s="8"/>
      <c r="G722" s="9">
        <v>0</v>
      </c>
      <c r="H722" s="10"/>
      <c r="I722" s="5"/>
      <c r="J722" s="10"/>
    </row>
    <row r="723" spans="1:10" ht="15.75" customHeight="1">
      <c r="A723" s="5"/>
      <c r="B723" s="6"/>
      <c r="C723" s="11"/>
      <c r="D723" s="5"/>
      <c r="E723" s="12"/>
      <c r="F723" s="8"/>
      <c r="G723" s="9">
        <v>0</v>
      </c>
      <c r="H723" s="10"/>
      <c r="I723" s="5"/>
      <c r="J723" s="10"/>
    </row>
    <row r="724" spans="1:10" ht="15.75" customHeight="1">
      <c r="A724" s="5"/>
      <c r="B724" s="6"/>
      <c r="C724" s="11"/>
      <c r="D724" s="5"/>
      <c r="E724" s="12"/>
      <c r="F724" s="8"/>
      <c r="G724" s="9">
        <v>0</v>
      </c>
      <c r="H724" s="10"/>
      <c r="I724" s="5"/>
      <c r="J724" s="10"/>
    </row>
    <row r="725" spans="1:10" ht="15.75" customHeight="1">
      <c r="A725" s="5"/>
      <c r="B725" s="6"/>
      <c r="C725" s="11"/>
      <c r="D725" s="5"/>
      <c r="E725" s="12"/>
      <c r="F725" s="8"/>
      <c r="G725" s="9">
        <v>0</v>
      </c>
      <c r="H725" s="10"/>
      <c r="I725" s="5"/>
      <c r="J725" s="10"/>
    </row>
    <row r="726" spans="1:10" ht="15.75" customHeight="1">
      <c r="A726" s="5"/>
      <c r="B726" s="6"/>
      <c r="C726" s="11"/>
      <c r="D726" s="5"/>
      <c r="E726" s="12"/>
      <c r="F726" s="8"/>
      <c r="G726" s="9">
        <v>0</v>
      </c>
      <c r="H726" s="10"/>
      <c r="I726" s="5"/>
      <c r="J726" s="10"/>
    </row>
    <row r="727" spans="1:10" ht="15.75" customHeight="1">
      <c r="A727" s="5"/>
      <c r="B727" s="6"/>
      <c r="C727" s="11"/>
      <c r="D727" s="5"/>
      <c r="E727" s="12"/>
      <c r="F727" s="8"/>
      <c r="G727" s="9">
        <v>0</v>
      </c>
      <c r="H727" s="10"/>
      <c r="I727" s="5"/>
      <c r="J727" s="10"/>
    </row>
    <row r="728" spans="1:10" ht="15.75" customHeight="1">
      <c r="A728" s="5"/>
      <c r="B728" s="6"/>
      <c r="C728" s="11"/>
      <c r="D728" s="5"/>
      <c r="E728" s="12"/>
      <c r="F728" s="8"/>
      <c r="G728" s="9">
        <v>0</v>
      </c>
      <c r="H728" s="10"/>
      <c r="I728" s="5"/>
      <c r="J728" s="10"/>
    </row>
    <row r="729" spans="1:10" ht="15.75" customHeight="1">
      <c r="A729" s="5"/>
      <c r="B729" s="6"/>
      <c r="C729" s="11"/>
      <c r="D729" s="5"/>
      <c r="E729" s="12"/>
      <c r="F729" s="8"/>
      <c r="G729" s="9">
        <v>0</v>
      </c>
      <c r="H729" s="10"/>
      <c r="I729" s="5"/>
      <c r="J729" s="10"/>
    </row>
    <row r="730" spans="1:10" ht="15.75" customHeight="1">
      <c r="A730" s="5"/>
      <c r="B730" s="6"/>
      <c r="C730" s="11"/>
      <c r="D730" s="5"/>
      <c r="E730" s="12"/>
      <c r="F730" s="8"/>
      <c r="G730" s="9">
        <v>0</v>
      </c>
      <c r="H730" s="10"/>
      <c r="I730" s="5"/>
      <c r="J730" s="10"/>
    </row>
    <row r="731" spans="1:10" ht="15.75" customHeight="1">
      <c r="A731" s="5"/>
      <c r="B731" s="6"/>
      <c r="C731" s="11"/>
      <c r="D731" s="5"/>
      <c r="E731" s="12"/>
      <c r="F731" s="8"/>
      <c r="G731" s="9">
        <v>0</v>
      </c>
      <c r="H731" s="10"/>
      <c r="I731" s="5"/>
      <c r="J731" s="10"/>
    </row>
    <row r="732" spans="1:10" ht="15.75" customHeight="1">
      <c r="A732" s="5"/>
      <c r="B732" s="6"/>
      <c r="C732" s="11"/>
      <c r="D732" s="5"/>
      <c r="E732" s="12"/>
      <c r="F732" s="8"/>
      <c r="G732" s="9">
        <v>0</v>
      </c>
      <c r="H732" s="10"/>
      <c r="I732" s="5"/>
      <c r="J732" s="10"/>
    </row>
    <row r="733" spans="1:10" ht="15.75" customHeight="1">
      <c r="A733" s="5"/>
      <c r="B733" s="6"/>
      <c r="C733" s="11"/>
      <c r="D733" s="5"/>
      <c r="E733" s="12"/>
      <c r="F733" s="8"/>
      <c r="G733" s="9">
        <v>0</v>
      </c>
      <c r="H733" s="10"/>
      <c r="I733" s="5"/>
      <c r="J733" s="10"/>
    </row>
    <row r="734" spans="1:10" ht="15.75" customHeight="1">
      <c r="A734" s="5"/>
      <c r="B734" s="6"/>
      <c r="C734" s="11"/>
      <c r="D734" s="5"/>
      <c r="E734" s="12"/>
      <c r="F734" s="8"/>
      <c r="G734" s="9">
        <v>0</v>
      </c>
      <c r="H734" s="10"/>
      <c r="I734" s="5"/>
      <c r="J734" s="10"/>
    </row>
    <row r="735" spans="1:10" ht="15.75" customHeight="1">
      <c r="A735" s="5"/>
      <c r="B735" s="6"/>
      <c r="C735" s="11"/>
      <c r="D735" s="5"/>
      <c r="E735" s="12"/>
      <c r="F735" s="8"/>
      <c r="G735" s="9">
        <v>0</v>
      </c>
      <c r="H735" s="10"/>
      <c r="I735" s="5"/>
      <c r="J735" s="10"/>
    </row>
    <row r="736" spans="1:10" ht="15.75" customHeight="1">
      <c r="A736" s="5"/>
      <c r="B736" s="6"/>
      <c r="C736" s="11"/>
      <c r="D736" s="5"/>
      <c r="E736" s="12"/>
      <c r="F736" s="8"/>
      <c r="G736" s="9">
        <v>0</v>
      </c>
      <c r="H736" s="10"/>
      <c r="I736" s="5"/>
      <c r="J736" s="10"/>
    </row>
    <row r="737" spans="1:10" ht="15.75" customHeight="1">
      <c r="A737" s="5"/>
      <c r="B737" s="6"/>
      <c r="C737" s="11"/>
      <c r="D737" s="5"/>
      <c r="E737" s="12"/>
      <c r="F737" s="8"/>
      <c r="G737" s="9">
        <v>0</v>
      </c>
      <c r="H737" s="10"/>
      <c r="I737" s="5"/>
      <c r="J737" s="10"/>
    </row>
    <row r="738" spans="1:10" ht="15.75" customHeight="1">
      <c r="A738" s="5"/>
      <c r="B738" s="6"/>
      <c r="C738" s="11"/>
      <c r="D738" s="5"/>
      <c r="E738" s="12"/>
      <c r="F738" s="8"/>
      <c r="G738" s="9">
        <v>0</v>
      </c>
      <c r="H738" s="10"/>
      <c r="I738" s="5"/>
      <c r="J738" s="10"/>
    </row>
    <row r="739" spans="1:10" ht="15.75" customHeight="1">
      <c r="A739" s="5"/>
      <c r="B739" s="6"/>
      <c r="C739" s="11"/>
      <c r="D739" s="5"/>
      <c r="E739" s="12"/>
      <c r="F739" s="8"/>
      <c r="G739" s="9">
        <v>0</v>
      </c>
      <c r="H739" s="10"/>
      <c r="I739" s="5"/>
      <c r="J739" s="10"/>
    </row>
    <row r="740" spans="1:10" ht="15.75" customHeight="1">
      <c r="A740" s="5"/>
      <c r="B740" s="6"/>
      <c r="C740" s="11"/>
      <c r="D740" s="5"/>
      <c r="E740" s="12"/>
      <c r="F740" s="8"/>
      <c r="G740" s="9">
        <v>0</v>
      </c>
      <c r="H740" s="10"/>
      <c r="I740" s="5"/>
      <c r="J740" s="10"/>
    </row>
    <row r="741" spans="1:10" ht="15.75" customHeight="1">
      <c r="A741" s="5"/>
      <c r="B741" s="6"/>
      <c r="C741" s="11"/>
      <c r="D741" s="5"/>
      <c r="E741" s="12"/>
      <c r="F741" s="8"/>
      <c r="G741" s="9">
        <v>0</v>
      </c>
      <c r="H741" s="10"/>
      <c r="I741" s="5"/>
      <c r="J741" s="10"/>
    </row>
    <row r="742" spans="1:10" ht="15.75" customHeight="1">
      <c r="A742" s="5"/>
      <c r="B742" s="6"/>
      <c r="C742" s="11"/>
      <c r="D742" s="5"/>
      <c r="E742" s="12"/>
      <c r="F742" s="8"/>
      <c r="G742" s="9">
        <v>0</v>
      </c>
      <c r="H742" s="10"/>
      <c r="I742" s="5"/>
      <c r="J742" s="10"/>
    </row>
    <row r="743" spans="1:10" ht="15.75" customHeight="1">
      <c r="A743" s="5"/>
      <c r="B743" s="6"/>
      <c r="C743" s="11"/>
      <c r="D743" s="5"/>
      <c r="E743" s="12"/>
      <c r="F743" s="8"/>
      <c r="G743" s="9">
        <v>0</v>
      </c>
      <c r="H743" s="10"/>
      <c r="I743" s="5"/>
      <c r="J743" s="10"/>
    </row>
    <row r="744" spans="1:10" ht="15.75" customHeight="1">
      <c r="A744" s="5"/>
      <c r="B744" s="6"/>
      <c r="C744" s="11"/>
      <c r="D744" s="5"/>
      <c r="E744" s="12"/>
      <c r="F744" s="8"/>
      <c r="G744" s="9">
        <v>0</v>
      </c>
      <c r="H744" s="10"/>
      <c r="I744" s="5"/>
      <c r="J744" s="10"/>
    </row>
    <row r="745" spans="1:10" ht="15.75" customHeight="1">
      <c r="A745" s="5"/>
      <c r="B745" s="6"/>
      <c r="C745" s="11"/>
      <c r="D745" s="5"/>
      <c r="E745" s="12"/>
      <c r="F745" s="8"/>
      <c r="G745" s="9">
        <v>0</v>
      </c>
      <c r="H745" s="10"/>
      <c r="I745" s="5"/>
      <c r="J745" s="10"/>
    </row>
    <row r="746" spans="1:10" ht="15.75" customHeight="1">
      <c r="A746" s="5"/>
      <c r="B746" s="6"/>
      <c r="C746" s="11"/>
      <c r="D746" s="5"/>
      <c r="E746" s="12"/>
      <c r="F746" s="8"/>
      <c r="G746" s="9">
        <v>0</v>
      </c>
      <c r="H746" s="10"/>
      <c r="I746" s="5"/>
      <c r="J746" s="10"/>
    </row>
    <row r="747" spans="1:10" ht="15.75" customHeight="1">
      <c r="A747" s="5"/>
      <c r="B747" s="6"/>
      <c r="C747" s="11"/>
      <c r="D747" s="5"/>
      <c r="E747" s="12"/>
      <c r="F747" s="8"/>
      <c r="G747" s="9">
        <v>0</v>
      </c>
      <c r="H747" s="10"/>
      <c r="I747" s="5"/>
      <c r="J747" s="10"/>
    </row>
    <row r="748" spans="1:10" ht="15.75" customHeight="1">
      <c r="A748" s="5"/>
      <c r="B748" s="6"/>
      <c r="C748" s="11"/>
      <c r="D748" s="5"/>
      <c r="E748" s="12"/>
      <c r="F748" s="8"/>
      <c r="G748" s="9">
        <v>0</v>
      </c>
      <c r="H748" s="10"/>
      <c r="I748" s="5"/>
      <c r="J748" s="10"/>
    </row>
    <row r="749" spans="1:10" ht="15.75" customHeight="1">
      <c r="A749" s="5"/>
      <c r="B749" s="6"/>
      <c r="C749" s="11"/>
      <c r="D749" s="5"/>
      <c r="E749" s="12"/>
      <c r="F749" s="8"/>
      <c r="G749" s="9">
        <v>0</v>
      </c>
      <c r="H749" s="10"/>
      <c r="I749" s="5"/>
      <c r="J749" s="10"/>
    </row>
    <row r="750" spans="1:10" ht="15.75" customHeight="1">
      <c r="A750" s="5"/>
      <c r="B750" s="6"/>
      <c r="C750" s="11"/>
      <c r="D750" s="5"/>
      <c r="E750" s="12"/>
      <c r="F750" s="8"/>
      <c r="G750" s="9">
        <v>0</v>
      </c>
      <c r="H750" s="10"/>
      <c r="I750" s="5"/>
      <c r="J750" s="10"/>
    </row>
    <row r="751" spans="1:10" ht="15.75" customHeight="1">
      <c r="A751" s="5"/>
      <c r="B751" s="6"/>
      <c r="C751" s="11"/>
      <c r="D751" s="5"/>
      <c r="E751" s="12"/>
      <c r="F751" s="8"/>
      <c r="G751" s="9">
        <v>0</v>
      </c>
      <c r="H751" s="10"/>
      <c r="I751" s="5"/>
      <c r="J751" s="10"/>
    </row>
    <row r="752" spans="1:10" ht="15.75" customHeight="1">
      <c r="A752" s="5"/>
      <c r="B752" s="6"/>
      <c r="C752" s="11"/>
      <c r="D752" s="5"/>
      <c r="E752" s="12"/>
      <c r="F752" s="8"/>
      <c r="G752" s="9">
        <v>0</v>
      </c>
      <c r="H752" s="10"/>
      <c r="I752" s="5"/>
      <c r="J752" s="10"/>
    </row>
    <row r="753" spans="1:10" ht="15.75" customHeight="1">
      <c r="A753" s="5"/>
      <c r="B753" s="6"/>
      <c r="C753" s="11"/>
      <c r="D753" s="5"/>
      <c r="E753" s="12"/>
      <c r="F753" s="8"/>
      <c r="G753" s="9">
        <v>0</v>
      </c>
      <c r="H753" s="10"/>
      <c r="I753" s="5"/>
      <c r="J753" s="10"/>
    </row>
    <row r="754" spans="1:10" ht="15.75" customHeight="1">
      <c r="A754" s="5"/>
      <c r="B754" s="6"/>
      <c r="C754" s="11"/>
      <c r="D754" s="5"/>
      <c r="E754" s="12"/>
      <c r="F754" s="8"/>
      <c r="G754" s="9">
        <v>0</v>
      </c>
      <c r="H754" s="10"/>
      <c r="I754" s="5"/>
      <c r="J754" s="10"/>
    </row>
    <row r="755" spans="1:10" ht="15.75" customHeight="1">
      <c r="A755" s="5"/>
      <c r="B755" s="6"/>
      <c r="C755" s="11"/>
      <c r="D755" s="5"/>
      <c r="E755" s="12"/>
      <c r="F755" s="8"/>
      <c r="G755" s="9">
        <v>0</v>
      </c>
      <c r="H755" s="10"/>
      <c r="I755" s="5"/>
      <c r="J755" s="10"/>
    </row>
    <row r="756" spans="1:10" ht="15.75" customHeight="1">
      <c r="A756" s="5"/>
      <c r="B756" s="6"/>
      <c r="C756" s="11"/>
      <c r="D756" s="5"/>
      <c r="E756" s="12"/>
      <c r="F756" s="8"/>
      <c r="G756" s="9">
        <v>0</v>
      </c>
      <c r="H756" s="10"/>
      <c r="I756" s="5"/>
      <c r="J756" s="10"/>
    </row>
    <row r="757" spans="1:10" ht="15.75" customHeight="1">
      <c r="A757" s="5"/>
      <c r="B757" s="6"/>
      <c r="C757" s="11"/>
      <c r="D757" s="5"/>
      <c r="E757" s="12"/>
      <c r="F757" s="8"/>
      <c r="G757" s="9">
        <v>0</v>
      </c>
      <c r="H757" s="10"/>
      <c r="I757" s="5"/>
      <c r="J757" s="10"/>
    </row>
    <row r="758" spans="1:10" ht="15.75" customHeight="1">
      <c r="A758" s="5"/>
      <c r="B758" s="6"/>
      <c r="C758" s="11"/>
      <c r="D758" s="5"/>
      <c r="E758" s="12"/>
      <c r="F758" s="8"/>
      <c r="G758" s="9">
        <v>0</v>
      </c>
      <c r="H758" s="10"/>
      <c r="I758" s="5"/>
      <c r="J758" s="10"/>
    </row>
    <row r="759" spans="1:10" ht="15.75" customHeight="1">
      <c r="A759" s="5"/>
      <c r="B759" s="18"/>
      <c r="C759" s="11"/>
      <c r="D759" s="5"/>
      <c r="E759" s="12"/>
      <c r="F759" s="8"/>
      <c r="G759" s="9">
        <v>0</v>
      </c>
      <c r="H759" s="10"/>
      <c r="I759" s="5"/>
      <c r="J759" s="10"/>
    </row>
    <row r="760" spans="1:10" ht="15.75" customHeight="1">
      <c r="A760" s="5"/>
      <c r="B760" s="18"/>
      <c r="C760" s="11"/>
      <c r="D760" s="5"/>
      <c r="E760" s="12"/>
      <c r="F760" s="8"/>
      <c r="G760" s="9">
        <v>0</v>
      </c>
      <c r="H760" s="10"/>
      <c r="I760" s="5"/>
      <c r="J760" s="10"/>
    </row>
    <row r="761" spans="1:10" ht="15.75" customHeight="1">
      <c r="A761" s="5"/>
      <c r="B761" s="18"/>
      <c r="C761" s="11"/>
      <c r="D761" s="5"/>
      <c r="E761" s="12"/>
      <c r="F761" s="8"/>
      <c r="G761" s="9">
        <v>0</v>
      </c>
      <c r="H761" s="10"/>
      <c r="I761" s="5"/>
      <c r="J761" s="10"/>
    </row>
    <row r="762" spans="1:10" ht="15.75" customHeight="1">
      <c r="A762" s="5"/>
      <c r="B762" s="18"/>
      <c r="C762" s="11"/>
      <c r="D762" s="5"/>
      <c r="E762" s="12"/>
      <c r="F762" s="8"/>
      <c r="G762" s="9">
        <v>0</v>
      </c>
      <c r="H762" s="10"/>
      <c r="I762" s="5"/>
      <c r="J762" s="10"/>
    </row>
    <row r="763" spans="1:10" ht="15.75" customHeight="1">
      <c r="A763" s="5"/>
      <c r="B763" s="6"/>
      <c r="C763" s="11"/>
      <c r="D763" s="5"/>
      <c r="E763" s="12"/>
      <c r="F763" s="8"/>
      <c r="G763" s="9">
        <v>0</v>
      </c>
      <c r="H763" s="10"/>
      <c r="I763" s="5"/>
      <c r="J763" s="10"/>
    </row>
    <row r="764" spans="1:10" ht="15.75" customHeight="1">
      <c r="A764" s="5"/>
      <c r="B764" s="6"/>
      <c r="C764" s="11"/>
      <c r="D764" s="5"/>
      <c r="E764" s="12"/>
      <c r="F764" s="8"/>
      <c r="G764" s="9">
        <v>0</v>
      </c>
      <c r="H764" s="10"/>
      <c r="I764" s="5"/>
      <c r="J764" s="10"/>
    </row>
    <row r="765" spans="1:10" ht="15.75" customHeight="1">
      <c r="A765" s="5"/>
      <c r="B765" s="6"/>
      <c r="C765" s="11"/>
      <c r="D765" s="5"/>
      <c r="E765" s="12"/>
      <c r="F765" s="8"/>
      <c r="G765" s="9">
        <v>0</v>
      </c>
      <c r="H765" s="10"/>
      <c r="I765" s="5"/>
      <c r="J765" s="10"/>
    </row>
    <row r="766" spans="1:10" ht="15.75" customHeight="1">
      <c r="A766" s="5"/>
      <c r="B766" s="18"/>
      <c r="C766" s="11"/>
      <c r="D766" s="5"/>
      <c r="E766" s="12"/>
      <c r="F766" s="8"/>
      <c r="G766" s="9">
        <v>0</v>
      </c>
      <c r="H766" s="10"/>
      <c r="I766" s="5"/>
      <c r="J766" s="10"/>
    </row>
    <row r="767" spans="1:10" ht="15.75" customHeight="1">
      <c r="A767" s="5"/>
      <c r="B767" s="18"/>
      <c r="C767" s="11"/>
      <c r="D767" s="5"/>
      <c r="E767" s="12"/>
      <c r="F767" s="8"/>
      <c r="G767" s="9">
        <v>0</v>
      </c>
      <c r="H767" s="10"/>
      <c r="I767" s="5"/>
      <c r="J767" s="10"/>
    </row>
    <row r="768" spans="1:10" ht="15.75" customHeight="1">
      <c r="A768" s="5"/>
      <c r="B768" s="18"/>
      <c r="C768" s="11"/>
      <c r="D768" s="5"/>
      <c r="E768" s="12"/>
      <c r="F768" s="8"/>
      <c r="G768" s="9">
        <v>0</v>
      </c>
      <c r="H768" s="10"/>
      <c r="I768" s="5"/>
      <c r="J768" s="10"/>
    </row>
    <row r="769" spans="1:10" ht="15.75" customHeight="1">
      <c r="A769" s="5"/>
      <c r="B769" s="18"/>
      <c r="C769" s="11"/>
      <c r="D769" s="5"/>
      <c r="E769" s="12"/>
      <c r="F769" s="8"/>
      <c r="G769" s="9">
        <v>0</v>
      </c>
      <c r="H769" s="10"/>
      <c r="I769" s="5"/>
      <c r="J769" s="10"/>
    </row>
    <row r="770" spans="1:10" ht="15.75" customHeight="1">
      <c r="A770" s="5"/>
      <c r="B770" s="6"/>
      <c r="C770" s="11"/>
      <c r="D770" s="5"/>
      <c r="E770" s="12"/>
      <c r="F770" s="8"/>
      <c r="G770" s="9">
        <v>0</v>
      </c>
      <c r="H770" s="10"/>
      <c r="I770" s="5"/>
      <c r="J770" s="10"/>
    </row>
    <row r="771" spans="1:10" ht="15.75" customHeight="1">
      <c r="A771" s="5"/>
      <c r="B771" s="6"/>
      <c r="C771" s="11"/>
      <c r="D771" s="5"/>
      <c r="E771" s="12"/>
      <c r="F771" s="8"/>
      <c r="G771" s="9">
        <v>0</v>
      </c>
      <c r="H771" s="10"/>
      <c r="I771" s="5"/>
      <c r="J771" s="10"/>
    </row>
    <row r="772" spans="1:10" ht="15.75" customHeight="1">
      <c r="A772" s="5"/>
      <c r="B772" s="6"/>
      <c r="C772" s="11"/>
      <c r="D772" s="5"/>
      <c r="E772" s="12"/>
      <c r="F772" s="8"/>
      <c r="G772" s="9">
        <v>0</v>
      </c>
      <c r="H772" s="10"/>
      <c r="I772" s="5"/>
      <c r="J772" s="10"/>
    </row>
    <row r="773" spans="1:10" ht="15.75" customHeight="1">
      <c r="A773" s="5"/>
      <c r="B773" s="6"/>
      <c r="C773" s="11"/>
      <c r="D773" s="5"/>
      <c r="E773" s="12"/>
      <c r="F773" s="8"/>
      <c r="G773" s="9">
        <v>0</v>
      </c>
      <c r="H773" s="10"/>
      <c r="I773" s="5"/>
      <c r="J773" s="10"/>
    </row>
    <row r="774" spans="1:10" ht="15.75" customHeight="1">
      <c r="A774" s="5"/>
      <c r="B774" s="6"/>
      <c r="C774" s="11"/>
      <c r="D774" s="5"/>
      <c r="E774" s="12"/>
      <c r="F774" s="8"/>
      <c r="G774" s="9">
        <v>0</v>
      </c>
      <c r="H774" s="10"/>
      <c r="I774" s="5"/>
      <c r="J774" s="10"/>
    </row>
    <row r="775" spans="1:10" ht="15.75" customHeight="1">
      <c r="A775" s="5"/>
      <c r="B775" s="6"/>
      <c r="C775" s="11"/>
      <c r="D775" s="5"/>
      <c r="E775" s="12"/>
      <c r="F775" s="8"/>
      <c r="G775" s="9">
        <v>0</v>
      </c>
      <c r="H775" s="10"/>
      <c r="I775" s="5"/>
      <c r="J775" s="10"/>
    </row>
    <row r="776" spans="1:10" ht="15.75" customHeight="1">
      <c r="A776" s="5"/>
      <c r="B776" s="6"/>
      <c r="C776" s="11"/>
      <c r="D776" s="5"/>
      <c r="E776" s="12"/>
      <c r="F776" s="8"/>
      <c r="G776" s="9">
        <v>0</v>
      </c>
      <c r="H776" s="10"/>
      <c r="I776" s="5"/>
      <c r="J776" s="10"/>
    </row>
    <row r="777" spans="1:10" ht="15.75" customHeight="1">
      <c r="A777" s="5"/>
      <c r="B777" s="6"/>
      <c r="C777" s="11"/>
      <c r="D777" s="5"/>
      <c r="E777" s="12"/>
      <c r="F777" s="8"/>
      <c r="G777" s="9">
        <v>0</v>
      </c>
      <c r="H777" s="10"/>
      <c r="I777" s="5"/>
      <c r="J777" s="10"/>
    </row>
    <row r="778" spans="1:10" ht="15.75" customHeight="1">
      <c r="A778" s="5"/>
      <c r="B778" s="6"/>
      <c r="C778" s="11"/>
      <c r="D778" s="5"/>
      <c r="E778" s="12"/>
      <c r="F778" s="8"/>
      <c r="G778" s="9">
        <v>0</v>
      </c>
      <c r="H778" s="10"/>
      <c r="I778" s="5"/>
      <c r="J778" s="10"/>
    </row>
    <row r="779" spans="1:10" ht="15.75" customHeight="1">
      <c r="A779" s="5"/>
      <c r="B779" s="6"/>
      <c r="C779" s="11"/>
      <c r="D779" s="5"/>
      <c r="E779" s="12"/>
      <c r="F779" s="8"/>
      <c r="G779" s="9">
        <v>0</v>
      </c>
      <c r="H779" s="10"/>
      <c r="I779" s="5"/>
      <c r="J779" s="10"/>
    </row>
    <row r="780" spans="1:10" ht="15.75" customHeight="1">
      <c r="A780" s="5"/>
      <c r="B780" s="6"/>
      <c r="C780" s="11"/>
      <c r="D780" s="5"/>
      <c r="E780" s="12"/>
      <c r="F780" s="8"/>
      <c r="G780" s="9">
        <v>0</v>
      </c>
      <c r="H780" s="10"/>
      <c r="I780" s="5"/>
      <c r="J780" s="10"/>
    </row>
    <row r="781" spans="1:10" ht="15.75" customHeight="1">
      <c r="A781" s="5"/>
      <c r="B781" s="6"/>
      <c r="C781" s="11"/>
      <c r="D781" s="5"/>
      <c r="E781" s="12"/>
      <c r="F781" s="8"/>
      <c r="G781" s="9">
        <v>0</v>
      </c>
      <c r="H781" s="10"/>
      <c r="I781" s="5"/>
      <c r="J781" s="10"/>
    </row>
    <row r="782" spans="1:10" ht="15.75" customHeight="1">
      <c r="A782" s="5"/>
      <c r="B782" s="6"/>
      <c r="C782" s="11"/>
      <c r="D782" s="5"/>
      <c r="E782" s="12"/>
      <c r="F782" s="8"/>
      <c r="G782" s="9">
        <v>0</v>
      </c>
      <c r="H782" s="10"/>
      <c r="I782" s="5"/>
      <c r="J782" s="10"/>
    </row>
    <row r="783" spans="1:10" ht="15.75" customHeight="1">
      <c r="A783" s="5"/>
      <c r="B783" s="6"/>
      <c r="C783" s="11"/>
      <c r="D783" s="5"/>
      <c r="E783" s="12"/>
      <c r="F783" s="8"/>
      <c r="G783" s="9">
        <v>0</v>
      </c>
      <c r="H783" s="10"/>
      <c r="I783" s="5"/>
      <c r="J783" s="10"/>
    </row>
    <row r="784" spans="1:10" ht="15.75" customHeight="1">
      <c r="A784" s="5"/>
      <c r="B784" s="6"/>
      <c r="C784" s="11"/>
      <c r="D784" s="5"/>
      <c r="E784" s="12"/>
      <c r="F784" s="8"/>
      <c r="G784" s="9">
        <v>0</v>
      </c>
      <c r="H784" s="10"/>
      <c r="I784" s="5"/>
      <c r="J784" s="10"/>
    </row>
    <row r="785" spans="1:10" ht="15.75" customHeight="1">
      <c r="A785" s="5"/>
      <c r="B785" s="6"/>
      <c r="C785" s="11"/>
      <c r="D785" s="5"/>
      <c r="E785" s="12"/>
      <c r="F785" s="8"/>
      <c r="G785" s="9">
        <v>0</v>
      </c>
      <c r="H785" s="10"/>
      <c r="I785" s="5"/>
      <c r="J785" s="10"/>
    </row>
    <row r="786" spans="1:10" ht="15.75" customHeight="1">
      <c r="A786" s="5"/>
      <c r="B786" s="6"/>
      <c r="C786" s="11"/>
      <c r="D786" s="5"/>
      <c r="E786" s="12"/>
      <c r="F786" s="8"/>
      <c r="G786" s="9">
        <v>0</v>
      </c>
      <c r="H786" s="10"/>
      <c r="I786" s="5"/>
      <c r="J786" s="10"/>
    </row>
    <row r="787" spans="1:10" ht="15.75" customHeight="1">
      <c r="A787" s="5"/>
      <c r="B787" s="6"/>
      <c r="C787" s="11"/>
      <c r="D787" s="5"/>
      <c r="E787" s="12"/>
      <c r="F787" s="8"/>
      <c r="G787" s="9">
        <v>0</v>
      </c>
      <c r="H787" s="10"/>
      <c r="I787" s="5"/>
      <c r="J787" s="10"/>
    </row>
    <row r="788" spans="1:10" ht="15.75" customHeight="1">
      <c r="A788" s="5"/>
      <c r="B788" s="6"/>
      <c r="C788" s="11"/>
      <c r="D788" s="5"/>
      <c r="E788" s="12"/>
      <c r="F788" s="8"/>
      <c r="G788" s="9">
        <v>0</v>
      </c>
      <c r="H788" s="10"/>
      <c r="I788" s="5"/>
      <c r="J788" s="10"/>
    </row>
    <row r="789" spans="1:10" ht="15.75" customHeight="1">
      <c r="A789" s="5"/>
      <c r="B789" s="6"/>
      <c r="C789" s="11"/>
      <c r="D789" s="5"/>
      <c r="E789" s="12"/>
      <c r="F789" s="8"/>
      <c r="G789" s="9">
        <v>0</v>
      </c>
      <c r="H789" s="10"/>
      <c r="I789" s="5"/>
      <c r="J789" s="10"/>
    </row>
    <row r="790" spans="1:10" ht="15.75" customHeight="1">
      <c r="A790" s="5"/>
      <c r="B790" s="6"/>
      <c r="C790" s="11"/>
      <c r="D790" s="5"/>
      <c r="E790" s="12"/>
      <c r="F790" s="8"/>
      <c r="G790" s="9">
        <v>0</v>
      </c>
      <c r="H790" s="10"/>
      <c r="I790" s="5"/>
      <c r="J790" s="10"/>
    </row>
    <row r="791" spans="1:10" ht="15.75" customHeight="1">
      <c r="A791" s="5"/>
      <c r="B791" s="6"/>
      <c r="C791" s="11"/>
      <c r="D791" s="5"/>
      <c r="E791" s="12"/>
      <c r="F791" s="8"/>
      <c r="G791" s="9">
        <v>0</v>
      </c>
      <c r="H791" s="10"/>
      <c r="I791" s="5"/>
      <c r="J791" s="10"/>
    </row>
    <row r="792" spans="1:10" ht="15.75" customHeight="1">
      <c r="A792" s="5"/>
      <c r="B792" s="6"/>
      <c r="C792" s="11"/>
      <c r="D792" s="5"/>
      <c r="E792" s="12"/>
      <c r="F792" s="8"/>
      <c r="G792" s="9">
        <v>0</v>
      </c>
      <c r="H792" s="10"/>
      <c r="I792" s="5"/>
      <c r="J792" s="10"/>
    </row>
    <row r="793" spans="1:10" ht="15.75" customHeight="1">
      <c r="A793" s="5"/>
      <c r="B793" s="6"/>
      <c r="C793" s="11"/>
      <c r="D793" s="5"/>
      <c r="E793" s="12"/>
      <c r="F793" s="8"/>
      <c r="G793" s="9">
        <v>0</v>
      </c>
      <c r="H793" s="10"/>
      <c r="I793" s="5"/>
      <c r="J793" s="10"/>
    </row>
    <row r="794" spans="1:10" ht="15.75" customHeight="1">
      <c r="A794" s="5"/>
      <c r="B794" s="6"/>
      <c r="C794" s="11"/>
      <c r="D794" s="5"/>
      <c r="E794" s="12"/>
      <c r="F794" s="8"/>
      <c r="G794" s="9">
        <v>0</v>
      </c>
      <c r="H794" s="10"/>
      <c r="I794" s="5"/>
      <c r="J794" s="10"/>
    </row>
    <row r="795" spans="1:10" ht="15.75" customHeight="1">
      <c r="A795" s="5"/>
      <c r="B795" s="6"/>
      <c r="C795" s="11"/>
      <c r="D795" s="5"/>
      <c r="E795" s="12"/>
      <c r="F795" s="8"/>
      <c r="G795" s="9">
        <v>0</v>
      </c>
      <c r="H795" s="10"/>
      <c r="I795" s="5"/>
      <c r="J795" s="10"/>
    </row>
    <row r="796" spans="1:10" ht="15.75" customHeight="1">
      <c r="A796" s="5"/>
      <c r="B796" s="6"/>
      <c r="C796" s="11"/>
      <c r="D796" s="5"/>
      <c r="E796" s="12"/>
      <c r="F796" s="8"/>
      <c r="G796" s="9">
        <v>0</v>
      </c>
      <c r="H796" s="10"/>
      <c r="I796" s="5"/>
      <c r="J796" s="10"/>
    </row>
    <row r="797" spans="1:10" ht="15.75" customHeight="1">
      <c r="A797" s="5"/>
      <c r="B797" s="6"/>
      <c r="C797" s="11"/>
      <c r="D797" s="5"/>
      <c r="E797" s="12"/>
      <c r="F797" s="8"/>
      <c r="G797" s="9">
        <v>0</v>
      </c>
      <c r="H797" s="10"/>
      <c r="I797" s="5"/>
      <c r="J797" s="10"/>
    </row>
    <row r="798" spans="1:10" ht="15.75" customHeight="1">
      <c r="A798" s="5"/>
      <c r="B798" s="6"/>
      <c r="C798" s="11"/>
      <c r="D798" s="5"/>
      <c r="E798" s="12"/>
      <c r="F798" s="8"/>
      <c r="G798" s="9">
        <v>0</v>
      </c>
      <c r="H798" s="10"/>
      <c r="I798" s="5"/>
      <c r="J798" s="10"/>
    </row>
    <row r="799" spans="1:10" ht="15.75" customHeight="1">
      <c r="A799" s="5"/>
      <c r="B799" s="6"/>
      <c r="C799" s="11"/>
      <c r="D799" s="5"/>
      <c r="E799" s="12"/>
      <c r="F799" s="8"/>
      <c r="G799" s="9">
        <v>0</v>
      </c>
      <c r="H799" s="10"/>
      <c r="I799" s="5"/>
      <c r="J799" s="10"/>
    </row>
    <row r="800" spans="1:10" ht="15.75" customHeight="1">
      <c r="A800" s="5"/>
      <c r="B800" s="6"/>
      <c r="C800" s="11"/>
      <c r="D800" s="5"/>
      <c r="E800" s="12"/>
      <c r="F800" s="8"/>
      <c r="G800" s="9">
        <v>0</v>
      </c>
      <c r="H800" s="10"/>
      <c r="I800" s="5"/>
      <c r="J800" s="10"/>
    </row>
    <row r="801" spans="1:10" ht="15.75" customHeight="1">
      <c r="A801" s="5"/>
      <c r="B801" s="6"/>
      <c r="C801" s="11"/>
      <c r="D801" s="5"/>
      <c r="E801" s="12"/>
      <c r="F801" s="8"/>
      <c r="G801" s="9">
        <v>0</v>
      </c>
      <c r="H801" s="10"/>
      <c r="I801" s="5"/>
      <c r="J801" s="10"/>
    </row>
    <row r="802" spans="1:10" ht="15.75" customHeight="1">
      <c r="A802" s="5"/>
      <c r="B802" s="6"/>
      <c r="C802" s="11"/>
      <c r="D802" s="5"/>
      <c r="E802" s="12"/>
      <c r="F802" s="8"/>
      <c r="G802" s="9">
        <v>0</v>
      </c>
      <c r="H802" s="10"/>
      <c r="I802" s="5"/>
      <c r="J802" s="10"/>
    </row>
    <row r="803" spans="1:10" ht="15.75" customHeight="1">
      <c r="A803" s="5"/>
      <c r="B803" s="6"/>
      <c r="C803" s="11"/>
      <c r="D803" s="5"/>
      <c r="E803" s="12"/>
      <c r="F803" s="8"/>
      <c r="G803" s="9">
        <v>0</v>
      </c>
      <c r="H803" s="10"/>
      <c r="I803" s="5"/>
      <c r="J803" s="10"/>
    </row>
    <row r="804" spans="1:10" ht="15.75" customHeight="1">
      <c r="A804" s="5"/>
      <c r="B804" s="6"/>
      <c r="C804" s="11"/>
      <c r="D804" s="5"/>
      <c r="E804" s="12"/>
      <c r="F804" s="8"/>
      <c r="G804" s="9">
        <v>0</v>
      </c>
      <c r="H804" s="10"/>
      <c r="I804" s="5"/>
      <c r="J804" s="10"/>
    </row>
    <row r="805" spans="1:10" ht="15.75" customHeight="1">
      <c r="A805" s="5"/>
      <c r="B805" s="6"/>
      <c r="C805" s="11"/>
      <c r="D805" s="5"/>
      <c r="E805" s="12"/>
      <c r="F805" s="8"/>
      <c r="G805" s="9">
        <v>0</v>
      </c>
      <c r="H805" s="10"/>
      <c r="I805" s="5"/>
      <c r="J805" s="10"/>
    </row>
    <row r="806" spans="1:10" ht="15.75" customHeight="1">
      <c r="A806" s="5"/>
      <c r="B806" s="6"/>
      <c r="C806" s="11"/>
      <c r="D806" s="5"/>
      <c r="E806" s="12"/>
      <c r="F806" s="8"/>
      <c r="G806" s="9">
        <v>0</v>
      </c>
      <c r="H806" s="10"/>
      <c r="I806" s="5"/>
      <c r="J806" s="10"/>
    </row>
    <row r="807" spans="1:10" ht="15.75" customHeight="1">
      <c r="A807" s="5"/>
      <c r="B807" s="6"/>
      <c r="C807" s="11"/>
      <c r="D807" s="5"/>
      <c r="E807" s="12"/>
      <c r="F807" s="8"/>
      <c r="G807" s="9">
        <v>0</v>
      </c>
      <c r="H807" s="10"/>
      <c r="I807" s="5"/>
      <c r="J807" s="10"/>
    </row>
    <row r="808" spans="1:10" ht="15.75" customHeight="1">
      <c r="A808" s="5"/>
      <c r="B808" s="6"/>
      <c r="C808" s="11"/>
      <c r="D808" s="5"/>
      <c r="E808" s="12"/>
      <c r="F808" s="8"/>
      <c r="G808" s="9">
        <v>0</v>
      </c>
      <c r="H808" s="10"/>
      <c r="I808" s="5"/>
      <c r="J808" s="10"/>
    </row>
    <row r="809" spans="1:10" ht="15.75" customHeight="1">
      <c r="A809" s="5"/>
      <c r="B809" s="6"/>
      <c r="C809" s="11"/>
      <c r="D809" s="5"/>
      <c r="E809" s="12"/>
      <c r="F809" s="8"/>
      <c r="G809" s="9">
        <v>0</v>
      </c>
      <c r="H809" s="10"/>
      <c r="I809" s="5"/>
      <c r="J809" s="10"/>
    </row>
    <row r="810" spans="1:10" ht="15.75" customHeight="1">
      <c r="A810" s="5"/>
      <c r="B810" s="6"/>
      <c r="C810" s="11"/>
      <c r="D810" s="5"/>
      <c r="E810" s="12"/>
      <c r="F810" s="8"/>
      <c r="G810" s="9">
        <v>0</v>
      </c>
      <c r="H810" s="10"/>
      <c r="I810" s="5"/>
      <c r="J810" s="10"/>
    </row>
    <row r="811" spans="1:10" ht="15.75" customHeight="1">
      <c r="A811" s="5"/>
      <c r="B811" s="6"/>
      <c r="C811" s="11"/>
      <c r="D811" s="5"/>
      <c r="E811" s="12"/>
      <c r="F811" s="8"/>
      <c r="G811" s="9">
        <v>0</v>
      </c>
      <c r="H811" s="10"/>
      <c r="I811" s="5"/>
      <c r="J811" s="10"/>
    </row>
    <row r="812" spans="1:10" ht="15.75" customHeight="1">
      <c r="A812" s="5"/>
      <c r="B812" s="6"/>
      <c r="C812" s="11"/>
      <c r="D812" s="5"/>
      <c r="E812" s="12"/>
      <c r="F812" s="8"/>
      <c r="G812" s="9">
        <v>0</v>
      </c>
      <c r="H812" s="10"/>
      <c r="I812" s="5"/>
      <c r="J812" s="10"/>
    </row>
    <row r="813" spans="1:10" ht="15.75" customHeight="1">
      <c r="A813" s="5"/>
      <c r="B813" s="6"/>
      <c r="C813" s="11"/>
      <c r="D813" s="5"/>
      <c r="E813" s="12"/>
      <c r="F813" s="8"/>
      <c r="G813" s="9">
        <v>0</v>
      </c>
      <c r="H813" s="10"/>
      <c r="I813" s="5"/>
      <c r="J813" s="10"/>
    </row>
    <row r="814" spans="1:10" ht="15.75" customHeight="1">
      <c r="A814" s="5"/>
      <c r="B814" s="6"/>
      <c r="C814" s="11"/>
      <c r="D814" s="5"/>
      <c r="E814" s="12"/>
      <c r="F814" s="8"/>
      <c r="G814" s="9">
        <v>0</v>
      </c>
      <c r="H814" s="10"/>
      <c r="I814" s="5"/>
      <c r="J814" s="10"/>
    </row>
    <row r="815" spans="1:10" ht="15.75" customHeight="1">
      <c r="A815" s="5"/>
      <c r="B815" s="6"/>
      <c r="C815" s="11"/>
      <c r="D815" s="5"/>
      <c r="E815" s="12"/>
      <c r="F815" s="8"/>
      <c r="G815" s="9">
        <v>0</v>
      </c>
      <c r="H815" s="10"/>
      <c r="I815" s="5"/>
      <c r="J815" s="10"/>
    </row>
    <row r="816" spans="1:10" ht="15.75" customHeight="1">
      <c r="A816" s="5"/>
      <c r="B816" s="6"/>
      <c r="C816" s="11"/>
      <c r="D816" s="5"/>
      <c r="E816" s="12"/>
      <c r="F816" s="8"/>
      <c r="G816" s="9">
        <v>0</v>
      </c>
      <c r="H816" s="10"/>
      <c r="I816" s="5"/>
      <c r="J816" s="10"/>
    </row>
    <row r="817" spans="1:10" ht="15.75" customHeight="1">
      <c r="A817" s="5"/>
      <c r="B817" s="6"/>
      <c r="C817" s="11"/>
      <c r="D817" s="5"/>
      <c r="E817" s="12"/>
      <c r="F817" s="8"/>
      <c r="G817" s="9">
        <v>0</v>
      </c>
      <c r="H817" s="10"/>
      <c r="I817" s="5"/>
      <c r="J817" s="10"/>
    </row>
    <row r="818" spans="1:10" ht="15.75" customHeight="1">
      <c r="A818" s="5"/>
      <c r="B818" s="6"/>
      <c r="C818" s="11"/>
      <c r="D818" s="5"/>
      <c r="E818" s="12"/>
      <c r="F818" s="8"/>
      <c r="G818" s="9">
        <v>0</v>
      </c>
      <c r="H818" s="10"/>
      <c r="I818" s="5"/>
      <c r="J818" s="10"/>
    </row>
    <row r="819" spans="1:10" ht="15.75" customHeight="1">
      <c r="A819" s="5"/>
      <c r="B819" s="6"/>
      <c r="C819" s="11"/>
      <c r="D819" s="5"/>
      <c r="E819" s="12"/>
      <c r="F819" s="8"/>
      <c r="G819" s="9">
        <v>0</v>
      </c>
      <c r="H819" s="10"/>
      <c r="I819" s="5"/>
      <c r="J819" s="10"/>
    </row>
    <row r="820" spans="1:10" ht="15.75" customHeight="1">
      <c r="A820" s="5"/>
      <c r="B820" s="6"/>
      <c r="C820" s="11"/>
      <c r="D820" s="5"/>
      <c r="E820" s="12"/>
      <c r="F820" s="8"/>
      <c r="G820" s="9">
        <v>0</v>
      </c>
      <c r="H820" s="10"/>
      <c r="I820" s="5"/>
      <c r="J820" s="10"/>
    </row>
    <row r="821" spans="1:10" ht="15.75" customHeight="1">
      <c r="A821" s="5"/>
      <c r="B821" s="6"/>
      <c r="C821" s="11"/>
      <c r="D821" s="5"/>
      <c r="E821" s="12"/>
      <c r="F821" s="8"/>
      <c r="G821" s="9">
        <v>0</v>
      </c>
      <c r="H821" s="10"/>
      <c r="I821" s="5"/>
      <c r="J821" s="10"/>
    </row>
    <row r="822" spans="1:10" ht="15.75" customHeight="1">
      <c r="A822" s="5"/>
      <c r="B822" s="6"/>
      <c r="C822" s="11"/>
      <c r="D822" s="5"/>
      <c r="E822" s="12"/>
      <c r="F822" s="8"/>
      <c r="G822" s="9">
        <v>0</v>
      </c>
      <c r="H822" s="10"/>
      <c r="I822" s="5"/>
      <c r="J822" s="10"/>
    </row>
    <row r="823" spans="1:10" ht="15.75" customHeight="1">
      <c r="A823" s="5"/>
      <c r="B823" s="6"/>
      <c r="C823" s="11"/>
      <c r="D823" s="5"/>
      <c r="E823" s="12"/>
      <c r="F823" s="8"/>
      <c r="G823" s="9">
        <v>0</v>
      </c>
      <c r="H823" s="10"/>
      <c r="I823" s="5"/>
      <c r="J823" s="10"/>
    </row>
    <row r="824" spans="1:10" ht="15.75" customHeight="1">
      <c r="A824" s="5"/>
      <c r="B824" s="6"/>
      <c r="C824" s="11"/>
      <c r="D824" s="5"/>
      <c r="E824" s="12"/>
      <c r="F824" s="8"/>
      <c r="G824" s="9">
        <v>0</v>
      </c>
      <c r="H824" s="10"/>
      <c r="I824" s="5"/>
      <c r="J824" s="10"/>
    </row>
    <row r="825" spans="1:10" ht="15.75" customHeight="1">
      <c r="A825" s="5"/>
      <c r="B825" s="6"/>
      <c r="C825" s="11"/>
      <c r="D825" s="5"/>
      <c r="E825" s="12"/>
      <c r="F825" s="8"/>
      <c r="G825" s="9">
        <v>0</v>
      </c>
      <c r="H825" s="10"/>
      <c r="I825" s="5"/>
      <c r="J825" s="10"/>
    </row>
    <row r="826" spans="1:10" ht="15.75" customHeight="1">
      <c r="A826" s="5"/>
      <c r="B826" s="6"/>
      <c r="C826" s="11"/>
      <c r="D826" s="5"/>
      <c r="E826" s="12"/>
      <c r="F826" s="8"/>
      <c r="G826" s="9">
        <v>0</v>
      </c>
      <c r="H826" s="10"/>
      <c r="I826" s="5"/>
      <c r="J826" s="10"/>
    </row>
    <row r="827" spans="1:10" ht="15.75" customHeight="1">
      <c r="A827" s="5"/>
      <c r="B827" s="6"/>
      <c r="C827" s="11"/>
      <c r="D827" s="5"/>
      <c r="E827" s="12"/>
      <c r="F827" s="8"/>
      <c r="G827" s="9">
        <v>0</v>
      </c>
      <c r="H827" s="10"/>
      <c r="I827" s="5"/>
      <c r="J827" s="10"/>
    </row>
    <row r="828" spans="1:10" ht="15.75" customHeight="1">
      <c r="A828" s="5"/>
      <c r="B828" s="6"/>
      <c r="C828" s="11"/>
      <c r="D828" s="5"/>
      <c r="E828" s="12"/>
      <c r="F828" s="8"/>
      <c r="G828" s="9">
        <v>0</v>
      </c>
      <c r="H828" s="10"/>
      <c r="I828" s="5"/>
      <c r="J828" s="10"/>
    </row>
    <row r="829" spans="1:10" ht="15.75" customHeight="1">
      <c r="A829" s="5"/>
      <c r="B829" s="6"/>
      <c r="C829" s="11"/>
      <c r="D829" s="5"/>
      <c r="E829" s="12"/>
      <c r="F829" s="8"/>
      <c r="G829" s="9">
        <v>0</v>
      </c>
      <c r="H829" s="10"/>
      <c r="I829" s="5"/>
      <c r="J829" s="10"/>
    </row>
    <row r="830" spans="1:10" ht="15.75" customHeight="1">
      <c r="A830" s="5"/>
      <c r="B830" s="6"/>
      <c r="C830" s="11"/>
      <c r="D830" s="5"/>
      <c r="E830" s="12"/>
      <c r="F830" s="8"/>
      <c r="G830" s="9">
        <v>0</v>
      </c>
      <c r="H830" s="10"/>
      <c r="I830" s="5"/>
      <c r="J830" s="10"/>
    </row>
    <row r="831" spans="1:10" ht="15.75" customHeight="1">
      <c r="A831" s="5"/>
      <c r="B831" s="6"/>
      <c r="C831" s="11"/>
      <c r="D831" s="5"/>
      <c r="E831" s="12"/>
      <c r="F831" s="8"/>
      <c r="G831" s="9">
        <v>0</v>
      </c>
      <c r="H831" s="10"/>
      <c r="I831" s="5"/>
      <c r="J831" s="10"/>
    </row>
    <row r="832" spans="1:10" ht="15.75" customHeight="1">
      <c r="A832" s="5"/>
      <c r="B832" s="6"/>
      <c r="C832" s="11"/>
      <c r="D832" s="5"/>
      <c r="E832" s="12"/>
      <c r="F832" s="8"/>
      <c r="G832" s="9">
        <v>0</v>
      </c>
      <c r="H832" s="10"/>
      <c r="I832" s="5"/>
      <c r="J832" s="10"/>
    </row>
    <row r="833" spans="1:10" ht="15.75" customHeight="1">
      <c r="A833" s="5"/>
      <c r="B833" s="6"/>
      <c r="C833" s="11"/>
      <c r="D833" s="5"/>
      <c r="E833" s="12"/>
      <c r="F833" s="8"/>
      <c r="G833" s="9">
        <v>0</v>
      </c>
      <c r="H833" s="10"/>
      <c r="I833" s="5"/>
      <c r="J833" s="10"/>
    </row>
    <row r="834" spans="1:10" ht="15.75" customHeight="1">
      <c r="A834" s="5"/>
      <c r="B834" s="6"/>
      <c r="C834" s="11"/>
      <c r="D834" s="5"/>
      <c r="E834" s="12"/>
      <c r="F834" s="8"/>
      <c r="G834" s="9">
        <v>0</v>
      </c>
      <c r="H834" s="10"/>
      <c r="I834" s="5"/>
      <c r="J834" s="10"/>
    </row>
    <row r="835" spans="1:10" ht="15.75" customHeight="1">
      <c r="A835" s="5"/>
      <c r="B835" s="6"/>
      <c r="C835" s="11"/>
      <c r="D835" s="5"/>
      <c r="E835" s="12"/>
      <c r="F835" s="8"/>
      <c r="G835" s="9">
        <v>0</v>
      </c>
      <c r="H835" s="10"/>
      <c r="I835" s="5"/>
      <c r="J835" s="10"/>
    </row>
    <row r="836" spans="1:10" ht="15.75" customHeight="1">
      <c r="A836" s="5"/>
      <c r="B836" s="6"/>
      <c r="C836" s="11"/>
      <c r="D836" s="5"/>
      <c r="E836" s="12"/>
      <c r="F836" s="8"/>
      <c r="G836" s="9">
        <v>0</v>
      </c>
      <c r="H836" s="10"/>
      <c r="I836" s="5"/>
      <c r="J836" s="10"/>
    </row>
    <row r="837" spans="1:10" ht="15.75" customHeight="1">
      <c r="A837" s="5"/>
      <c r="B837" s="6"/>
      <c r="C837" s="11"/>
      <c r="D837" s="5"/>
      <c r="E837" s="12"/>
      <c r="F837" s="8"/>
      <c r="G837" s="9">
        <v>0</v>
      </c>
      <c r="H837" s="10"/>
      <c r="I837" s="5"/>
      <c r="J837" s="10"/>
    </row>
    <row r="838" spans="1:10" ht="15.75" customHeight="1">
      <c r="A838" s="5"/>
      <c r="B838" s="6"/>
      <c r="C838" s="11"/>
      <c r="D838" s="5"/>
      <c r="E838" s="12"/>
      <c r="F838" s="8"/>
      <c r="G838" s="9">
        <v>0</v>
      </c>
      <c r="H838" s="10"/>
      <c r="I838" s="5"/>
      <c r="J838" s="10"/>
    </row>
    <row r="839" spans="1:10" ht="15.75" customHeight="1">
      <c r="A839" s="5"/>
      <c r="B839" s="6"/>
      <c r="C839" s="11"/>
      <c r="D839" s="5"/>
      <c r="E839" s="12"/>
      <c r="F839" s="8"/>
      <c r="G839" s="9">
        <v>0</v>
      </c>
      <c r="H839" s="10"/>
      <c r="I839" s="5"/>
      <c r="J839" s="10"/>
    </row>
    <row r="840" spans="1:10" ht="15.75" customHeight="1">
      <c r="A840" s="5"/>
      <c r="B840" s="6"/>
      <c r="C840" s="11"/>
      <c r="D840" s="5"/>
      <c r="E840" s="12"/>
      <c r="F840" s="8"/>
      <c r="G840" s="9">
        <v>0</v>
      </c>
      <c r="H840" s="10"/>
      <c r="I840" s="5"/>
      <c r="J840" s="10"/>
    </row>
    <row r="841" spans="1:10" ht="15.75" customHeight="1">
      <c r="A841" s="5"/>
      <c r="B841" s="6"/>
      <c r="C841" s="11"/>
      <c r="D841" s="5"/>
      <c r="E841" s="12"/>
      <c r="F841" s="8"/>
      <c r="G841" s="9">
        <v>0</v>
      </c>
      <c r="H841" s="10"/>
      <c r="I841" s="5"/>
      <c r="J841" s="10"/>
    </row>
    <row r="842" spans="1:10" ht="15.75" customHeight="1">
      <c r="A842" s="5"/>
      <c r="B842" s="6"/>
      <c r="C842" s="11"/>
      <c r="D842" s="5"/>
      <c r="E842" s="12"/>
      <c r="F842" s="8"/>
      <c r="G842" s="9">
        <v>0</v>
      </c>
      <c r="H842" s="10"/>
      <c r="I842" s="5"/>
      <c r="J842" s="10"/>
    </row>
    <row r="843" spans="1:10" ht="15.75" customHeight="1">
      <c r="A843" s="5"/>
      <c r="B843" s="6"/>
      <c r="C843" s="11"/>
      <c r="D843" s="5"/>
      <c r="E843" s="12"/>
      <c r="F843" s="8"/>
      <c r="G843" s="9">
        <v>0</v>
      </c>
      <c r="H843" s="10"/>
      <c r="I843" s="5"/>
      <c r="J843" s="10"/>
    </row>
    <row r="844" spans="1:10" ht="15.75" customHeight="1">
      <c r="A844" s="5"/>
      <c r="B844" s="6"/>
      <c r="C844" s="11"/>
      <c r="D844" s="5"/>
      <c r="E844" s="12"/>
      <c r="F844" s="8"/>
      <c r="G844" s="9">
        <v>0</v>
      </c>
      <c r="H844" s="10"/>
      <c r="I844" s="5"/>
      <c r="J844" s="10"/>
    </row>
    <row r="845" spans="1:10" ht="15.75" customHeight="1">
      <c r="A845" s="5"/>
      <c r="B845" s="6"/>
      <c r="C845" s="11"/>
      <c r="D845" s="5"/>
      <c r="E845" s="12"/>
      <c r="F845" s="8"/>
      <c r="G845" s="9">
        <v>0</v>
      </c>
      <c r="H845" s="10"/>
      <c r="I845" s="5"/>
      <c r="J845" s="10"/>
    </row>
    <row r="846" spans="1:10" ht="15.75" customHeight="1">
      <c r="A846" s="5"/>
      <c r="B846" s="6"/>
      <c r="C846" s="11"/>
      <c r="D846" s="5"/>
      <c r="E846" s="12"/>
      <c r="F846" s="8"/>
      <c r="G846" s="9">
        <v>0</v>
      </c>
      <c r="H846" s="10"/>
      <c r="I846" s="5"/>
      <c r="J846" s="10"/>
    </row>
    <row r="847" spans="1:10" ht="15.75" customHeight="1">
      <c r="A847" s="5"/>
      <c r="B847" s="6"/>
      <c r="C847" s="11"/>
      <c r="D847" s="5"/>
      <c r="E847" s="12"/>
      <c r="F847" s="8"/>
      <c r="G847" s="9">
        <v>0</v>
      </c>
      <c r="H847" s="10"/>
      <c r="I847" s="5"/>
      <c r="J847" s="10"/>
    </row>
    <row r="848" spans="1:10" ht="15.75" customHeight="1">
      <c r="A848" s="5"/>
      <c r="B848" s="6"/>
      <c r="C848" s="11"/>
      <c r="D848" s="5"/>
      <c r="E848" s="12"/>
      <c r="F848" s="8"/>
      <c r="G848" s="9">
        <v>0</v>
      </c>
      <c r="H848" s="10"/>
      <c r="I848" s="5"/>
      <c r="J848" s="10"/>
    </row>
    <row r="849" spans="1:10" ht="15.75" customHeight="1">
      <c r="A849" s="5"/>
      <c r="B849" s="6"/>
      <c r="C849" s="11"/>
      <c r="D849" s="5"/>
      <c r="E849" s="12"/>
      <c r="F849" s="8"/>
      <c r="G849" s="9">
        <v>0</v>
      </c>
      <c r="H849" s="10"/>
      <c r="I849" s="5"/>
      <c r="J849" s="10"/>
    </row>
    <row r="850" spans="1:10" ht="15.75" customHeight="1">
      <c r="A850" s="5"/>
      <c r="B850" s="6"/>
      <c r="C850" s="11"/>
      <c r="D850" s="5"/>
      <c r="E850" s="12"/>
      <c r="F850" s="8"/>
      <c r="G850" s="9">
        <v>0</v>
      </c>
      <c r="H850" s="10"/>
      <c r="I850" s="5"/>
      <c r="J850" s="10"/>
    </row>
    <row r="851" spans="1:10" ht="15.75" customHeight="1">
      <c r="A851" s="5"/>
      <c r="B851" s="6"/>
      <c r="C851" s="11"/>
      <c r="D851" s="5"/>
      <c r="E851" s="12"/>
      <c r="F851" s="8"/>
      <c r="G851" s="9">
        <v>0</v>
      </c>
      <c r="H851" s="10"/>
      <c r="I851" s="5"/>
      <c r="J851" s="10"/>
    </row>
    <row r="852" spans="1:10" ht="15.75" customHeight="1">
      <c r="A852" s="5"/>
      <c r="B852" s="6"/>
      <c r="C852" s="11"/>
      <c r="D852" s="5"/>
      <c r="E852" s="12"/>
      <c r="F852" s="8"/>
      <c r="G852" s="9">
        <v>0</v>
      </c>
      <c r="H852" s="10"/>
      <c r="I852" s="5"/>
      <c r="J852" s="10"/>
    </row>
    <row r="853" spans="1:10" ht="15.75" customHeight="1">
      <c r="A853" s="5"/>
      <c r="B853" s="6"/>
      <c r="C853" s="11"/>
      <c r="D853" s="5"/>
      <c r="E853" s="12"/>
      <c r="F853" s="8"/>
      <c r="G853" s="9">
        <v>0</v>
      </c>
      <c r="H853" s="10"/>
      <c r="I853" s="5"/>
      <c r="J853" s="10"/>
    </row>
    <row r="854" spans="1:10" ht="15.75" customHeight="1">
      <c r="A854" s="5"/>
      <c r="B854" s="6"/>
      <c r="C854" s="11"/>
      <c r="D854" s="5"/>
      <c r="E854" s="12"/>
      <c r="F854" s="8"/>
      <c r="G854" s="9">
        <v>0</v>
      </c>
      <c r="H854" s="10"/>
      <c r="I854" s="5"/>
      <c r="J854" s="10"/>
    </row>
    <row r="855" spans="1:10" ht="15.75" customHeight="1">
      <c r="A855" s="5"/>
      <c r="B855" s="6"/>
      <c r="C855" s="11"/>
      <c r="D855" s="5"/>
      <c r="E855" s="12"/>
      <c r="F855" s="8"/>
      <c r="G855" s="9">
        <v>0</v>
      </c>
      <c r="H855" s="10"/>
      <c r="I855" s="5"/>
      <c r="J855" s="10"/>
    </row>
    <row r="856" spans="1:10" ht="15.75" customHeight="1">
      <c r="A856" s="5"/>
      <c r="B856" s="6"/>
      <c r="C856" s="11"/>
      <c r="D856" s="5"/>
      <c r="E856" s="12"/>
      <c r="F856" s="8"/>
      <c r="G856" s="9">
        <v>0</v>
      </c>
      <c r="H856" s="10"/>
      <c r="I856" s="5"/>
      <c r="J856" s="10"/>
    </row>
    <row r="857" spans="1:10" ht="15.75" customHeight="1">
      <c r="A857" s="5"/>
      <c r="B857" s="6"/>
      <c r="C857" s="11"/>
      <c r="D857" s="5"/>
      <c r="E857" s="12"/>
      <c r="F857" s="8"/>
      <c r="G857" s="9">
        <v>0</v>
      </c>
      <c r="H857" s="10"/>
      <c r="I857" s="5"/>
      <c r="J857" s="10"/>
    </row>
    <row r="858" spans="1:10" ht="15.75" customHeight="1">
      <c r="A858" s="5"/>
      <c r="B858" s="6"/>
      <c r="C858" s="11"/>
      <c r="D858" s="5"/>
      <c r="E858" s="12"/>
      <c r="F858" s="8"/>
      <c r="G858" s="9">
        <v>0</v>
      </c>
      <c r="H858" s="10"/>
      <c r="I858" s="5"/>
      <c r="J858" s="10"/>
    </row>
    <row r="859" spans="1:10" ht="15.75" customHeight="1">
      <c r="A859" s="5"/>
      <c r="B859" s="6"/>
      <c r="C859" s="11"/>
      <c r="D859" s="5"/>
      <c r="E859" s="12"/>
      <c r="F859" s="8"/>
      <c r="G859" s="9">
        <v>0</v>
      </c>
      <c r="H859" s="10"/>
      <c r="I859" s="5"/>
      <c r="J859" s="10"/>
    </row>
    <row r="860" spans="1:10" ht="15.75" customHeight="1">
      <c r="A860" s="5"/>
      <c r="B860" s="6"/>
      <c r="C860" s="11"/>
      <c r="D860" s="5"/>
      <c r="E860" s="12"/>
      <c r="F860" s="8"/>
      <c r="G860" s="9">
        <v>0</v>
      </c>
      <c r="H860" s="10"/>
      <c r="I860" s="5"/>
      <c r="J860" s="10"/>
    </row>
    <row r="861" spans="1:10" ht="15.75" customHeight="1">
      <c r="A861" s="5"/>
      <c r="B861" s="6"/>
      <c r="C861" s="11"/>
      <c r="D861" s="5"/>
      <c r="E861" s="12"/>
      <c r="F861" s="8"/>
      <c r="G861" s="9">
        <v>0</v>
      </c>
      <c r="H861" s="10"/>
      <c r="I861" s="5"/>
      <c r="J861" s="10"/>
    </row>
    <row r="862" spans="1:10" ht="15.75" customHeight="1">
      <c r="A862" s="5"/>
      <c r="B862" s="6"/>
      <c r="C862" s="11"/>
      <c r="D862" s="5"/>
      <c r="E862" s="12"/>
      <c r="F862" s="8"/>
      <c r="G862" s="9">
        <v>0</v>
      </c>
      <c r="H862" s="10"/>
      <c r="I862" s="5"/>
      <c r="J862" s="10"/>
    </row>
    <row r="863" spans="1:10" ht="15.75" customHeight="1">
      <c r="A863" s="5"/>
      <c r="B863" s="6"/>
      <c r="C863" s="11"/>
      <c r="D863" s="5"/>
      <c r="E863" s="12"/>
      <c r="F863" s="8"/>
      <c r="G863" s="9">
        <v>0</v>
      </c>
      <c r="H863" s="10"/>
      <c r="I863" s="5"/>
      <c r="J863" s="10"/>
    </row>
    <row r="864" spans="1:10" ht="15.75" customHeight="1">
      <c r="A864" s="5"/>
      <c r="B864" s="6"/>
      <c r="C864" s="11"/>
      <c r="D864" s="5"/>
      <c r="E864" s="12"/>
      <c r="F864" s="8"/>
      <c r="G864" s="9">
        <v>0</v>
      </c>
      <c r="H864" s="10"/>
      <c r="I864" s="5"/>
      <c r="J864" s="10"/>
    </row>
    <row r="865" spans="1:10" ht="15.75" customHeight="1">
      <c r="A865" s="5"/>
      <c r="B865" s="6"/>
      <c r="C865" s="11"/>
      <c r="D865" s="5"/>
      <c r="E865" s="12"/>
      <c r="F865" s="8"/>
      <c r="G865" s="9">
        <v>0</v>
      </c>
      <c r="H865" s="10"/>
      <c r="I865" s="5"/>
      <c r="J865" s="10"/>
    </row>
    <row r="866" spans="1:10" ht="15.75" customHeight="1">
      <c r="A866" s="5"/>
      <c r="B866" s="6"/>
      <c r="C866" s="11"/>
      <c r="D866" s="5"/>
      <c r="E866" s="12"/>
      <c r="F866" s="8"/>
      <c r="G866" s="9">
        <v>0</v>
      </c>
      <c r="H866" s="10"/>
      <c r="I866" s="5"/>
      <c r="J866" s="10"/>
    </row>
    <row r="867" spans="1:10" ht="15.75" customHeight="1">
      <c r="A867" s="5"/>
      <c r="B867" s="6"/>
      <c r="C867" s="11"/>
      <c r="D867" s="5"/>
      <c r="E867" s="12"/>
      <c r="F867" s="8"/>
      <c r="G867" s="9">
        <v>0</v>
      </c>
      <c r="H867" s="10"/>
      <c r="I867" s="5"/>
      <c r="J867" s="10"/>
    </row>
    <row r="868" spans="1:10" ht="15.75" customHeight="1">
      <c r="A868" s="5"/>
      <c r="B868" s="19"/>
      <c r="C868" s="11"/>
      <c r="D868" s="5"/>
      <c r="E868" s="12"/>
      <c r="F868" s="8"/>
      <c r="G868" s="9">
        <v>0</v>
      </c>
      <c r="H868" s="10"/>
      <c r="I868" s="5"/>
      <c r="J868" s="10"/>
    </row>
    <row r="869" spans="1:10" ht="15.75" customHeight="1">
      <c r="A869" s="5"/>
      <c r="B869" s="6"/>
      <c r="C869" s="11"/>
      <c r="D869" s="5"/>
      <c r="E869" s="12"/>
      <c r="F869" s="8"/>
      <c r="G869" s="9">
        <v>0</v>
      </c>
      <c r="H869" s="10"/>
      <c r="I869" s="5"/>
      <c r="J869" s="10"/>
    </row>
    <row r="870" spans="1:10" ht="15.75" customHeight="1">
      <c r="A870" s="5"/>
      <c r="B870" s="6"/>
      <c r="C870" s="11"/>
      <c r="D870" s="5"/>
      <c r="E870" s="12"/>
      <c r="F870" s="8"/>
      <c r="G870" s="9">
        <v>0</v>
      </c>
      <c r="H870" s="10"/>
      <c r="I870" s="5"/>
      <c r="J870" s="10"/>
    </row>
    <row r="871" spans="1:10" ht="15.75" customHeight="1">
      <c r="A871" s="5"/>
      <c r="B871" s="6"/>
      <c r="C871" s="11"/>
      <c r="D871" s="5"/>
      <c r="E871" s="12"/>
      <c r="F871" s="8"/>
      <c r="G871" s="9">
        <v>0</v>
      </c>
      <c r="H871" s="10"/>
      <c r="I871" s="5"/>
      <c r="J871" s="10"/>
    </row>
    <row r="872" spans="1:10" ht="15.75" customHeight="1">
      <c r="A872" s="5"/>
      <c r="B872" s="6"/>
      <c r="C872" s="11"/>
      <c r="D872" s="5"/>
      <c r="E872" s="12"/>
      <c r="F872" s="8"/>
      <c r="G872" s="9">
        <v>0</v>
      </c>
      <c r="H872" s="10"/>
      <c r="I872" s="5"/>
      <c r="J872" s="10"/>
    </row>
    <row r="873" spans="1:10" ht="15.75" customHeight="1">
      <c r="A873" s="5"/>
      <c r="B873" s="6"/>
      <c r="C873" s="11"/>
      <c r="D873" s="5"/>
      <c r="E873" s="12"/>
      <c r="F873" s="8"/>
      <c r="G873" s="9">
        <v>0</v>
      </c>
      <c r="H873" s="10"/>
      <c r="I873" s="5"/>
      <c r="J873" s="10"/>
    </row>
    <row r="874" spans="1:10" ht="15.75" customHeight="1">
      <c r="A874" s="5"/>
      <c r="B874" s="6"/>
      <c r="C874" s="11"/>
      <c r="D874" s="5"/>
      <c r="E874" s="12"/>
      <c r="F874" s="8"/>
      <c r="G874" s="9">
        <v>0</v>
      </c>
      <c r="H874" s="10"/>
      <c r="I874" s="5"/>
      <c r="J874" s="10"/>
    </row>
    <row r="875" spans="1:10" ht="15.75" customHeight="1">
      <c r="A875" s="5"/>
      <c r="B875" s="6"/>
      <c r="C875" s="11"/>
      <c r="D875" s="5"/>
      <c r="E875" s="12"/>
      <c r="F875" s="8"/>
      <c r="G875" s="9">
        <v>0</v>
      </c>
      <c r="H875" s="10"/>
      <c r="I875" s="5"/>
      <c r="J875" s="10"/>
    </row>
    <row r="876" spans="1:10" ht="15.75" customHeight="1">
      <c r="A876" s="5"/>
      <c r="B876" s="6"/>
      <c r="C876" s="11"/>
      <c r="D876" s="5"/>
      <c r="E876" s="12"/>
      <c r="F876" s="8"/>
      <c r="G876" s="9">
        <v>0</v>
      </c>
      <c r="H876" s="10"/>
      <c r="I876" s="5"/>
      <c r="J876" s="10"/>
    </row>
    <row r="877" spans="1:10" ht="15.75" customHeight="1">
      <c r="A877" s="5"/>
      <c r="B877" s="6"/>
      <c r="C877" s="11"/>
      <c r="D877" s="5"/>
      <c r="E877" s="12"/>
      <c r="F877" s="8"/>
      <c r="G877" s="9">
        <v>0</v>
      </c>
      <c r="H877" s="10"/>
      <c r="I877" s="5"/>
      <c r="J877" s="10"/>
    </row>
    <row r="878" spans="1:10" ht="15.75" customHeight="1">
      <c r="A878" s="5"/>
      <c r="B878" s="6"/>
      <c r="C878" s="11"/>
      <c r="D878" s="5"/>
      <c r="E878" s="12"/>
      <c r="F878" s="8"/>
      <c r="G878" s="9">
        <v>0</v>
      </c>
      <c r="H878" s="10"/>
      <c r="I878" s="5"/>
      <c r="J878" s="10"/>
    </row>
    <row r="879" spans="1:10" ht="15.75" customHeight="1">
      <c r="A879" s="5"/>
      <c r="B879" s="6"/>
      <c r="C879" s="11"/>
      <c r="D879" s="5"/>
      <c r="E879" s="12"/>
      <c r="F879" s="8"/>
      <c r="G879" s="9">
        <v>0</v>
      </c>
      <c r="H879" s="10"/>
      <c r="I879" s="5"/>
      <c r="J879" s="10"/>
    </row>
    <row r="880" spans="1:10" ht="15.75" customHeight="1">
      <c r="A880" s="5"/>
      <c r="B880" s="6"/>
      <c r="C880" s="11"/>
      <c r="D880" s="5"/>
      <c r="E880" s="12"/>
      <c r="F880" s="8"/>
      <c r="G880" s="9">
        <v>0</v>
      </c>
      <c r="H880" s="10"/>
      <c r="I880" s="5"/>
      <c r="J880" s="10"/>
    </row>
    <row r="881" spans="1:10" ht="15.75" customHeight="1">
      <c r="A881" s="5"/>
      <c r="B881" s="6"/>
      <c r="C881" s="11"/>
      <c r="D881" s="5"/>
      <c r="E881" s="12"/>
      <c r="F881" s="8"/>
      <c r="G881" s="9">
        <v>0</v>
      </c>
      <c r="H881" s="10"/>
      <c r="I881" s="5"/>
      <c r="J881" s="10"/>
    </row>
    <row r="882" spans="1:10" ht="15.75" customHeight="1">
      <c r="A882" s="5"/>
      <c r="B882" s="6"/>
      <c r="C882" s="11"/>
      <c r="D882" s="5"/>
      <c r="E882" s="12"/>
      <c r="F882" s="8"/>
      <c r="G882" s="9">
        <v>0</v>
      </c>
      <c r="H882" s="10"/>
      <c r="I882" s="5"/>
      <c r="J882" s="10"/>
    </row>
    <row r="883" spans="1:10" ht="15.75" customHeight="1">
      <c r="A883" s="5"/>
      <c r="B883" s="6"/>
      <c r="C883" s="11"/>
      <c r="D883" s="5"/>
      <c r="E883" s="12"/>
      <c r="F883" s="8"/>
      <c r="G883" s="9">
        <v>0</v>
      </c>
      <c r="H883" s="10"/>
      <c r="I883" s="5"/>
      <c r="J883" s="10"/>
    </row>
    <row r="884" spans="1:10" ht="15.75" customHeight="1">
      <c r="A884" s="5"/>
      <c r="B884" s="6"/>
      <c r="C884" s="11"/>
      <c r="D884" s="5"/>
      <c r="E884" s="12"/>
      <c r="F884" s="8"/>
      <c r="G884" s="9">
        <v>0</v>
      </c>
      <c r="H884" s="10"/>
      <c r="I884" s="5"/>
      <c r="J884" s="10"/>
    </row>
    <row r="885" spans="1:10" ht="15.75" customHeight="1">
      <c r="A885" s="5"/>
      <c r="B885" s="6"/>
      <c r="C885" s="11"/>
      <c r="D885" s="5"/>
      <c r="E885" s="12"/>
      <c r="F885" s="8"/>
      <c r="G885" s="9">
        <v>0</v>
      </c>
      <c r="H885" s="10"/>
      <c r="I885" s="5"/>
      <c r="J885" s="10"/>
    </row>
    <row r="886" spans="1:10" ht="15.75" customHeight="1">
      <c r="A886" s="5"/>
      <c r="B886" s="6"/>
      <c r="C886" s="11"/>
      <c r="D886" s="5"/>
      <c r="E886" s="12"/>
      <c r="F886" s="8"/>
      <c r="G886" s="9">
        <v>0</v>
      </c>
      <c r="H886" s="10"/>
      <c r="I886" s="5"/>
      <c r="J886" s="10"/>
    </row>
    <row r="887" spans="1:10" ht="15.75" customHeight="1">
      <c r="A887" s="5"/>
      <c r="B887" s="6"/>
      <c r="C887" s="11"/>
      <c r="D887" s="5"/>
      <c r="E887" s="12"/>
      <c r="F887" s="8"/>
      <c r="G887" s="9">
        <v>0</v>
      </c>
      <c r="H887" s="10"/>
      <c r="I887" s="5"/>
      <c r="J887" s="10"/>
    </row>
    <row r="888" spans="1:10" ht="15.75" customHeight="1">
      <c r="A888" s="5"/>
      <c r="B888" s="6"/>
      <c r="C888" s="11"/>
      <c r="D888" s="5"/>
      <c r="E888" s="12"/>
      <c r="F888" s="8"/>
      <c r="G888" s="9">
        <v>0</v>
      </c>
      <c r="H888" s="10"/>
      <c r="I888" s="5"/>
      <c r="J888" s="10"/>
    </row>
    <row r="889" spans="1:10" ht="15.75" customHeight="1">
      <c r="A889" s="5"/>
      <c r="B889" s="6"/>
      <c r="C889" s="11"/>
      <c r="D889" s="5"/>
      <c r="E889" s="12"/>
      <c r="F889" s="8"/>
      <c r="G889" s="9">
        <v>0</v>
      </c>
      <c r="H889" s="10"/>
      <c r="I889" s="5"/>
      <c r="J889" s="10"/>
    </row>
    <row r="890" spans="1:10" ht="15.75" customHeight="1">
      <c r="A890" s="5"/>
      <c r="B890" s="6"/>
      <c r="C890" s="11"/>
      <c r="D890" s="5"/>
      <c r="E890" s="12"/>
      <c r="F890" s="8"/>
      <c r="G890" s="9">
        <v>0</v>
      </c>
      <c r="H890" s="10"/>
      <c r="I890" s="5"/>
      <c r="J890" s="10"/>
    </row>
    <row r="891" spans="1:10" ht="15.75" customHeight="1">
      <c r="A891" s="5"/>
      <c r="B891" s="6"/>
      <c r="C891" s="11"/>
      <c r="D891" s="5"/>
      <c r="E891" s="12"/>
      <c r="F891" s="8"/>
      <c r="G891" s="9">
        <v>0</v>
      </c>
      <c r="H891" s="10"/>
      <c r="I891" s="5"/>
      <c r="J891" s="10"/>
    </row>
    <row r="892" spans="1:10" ht="15.75" customHeight="1">
      <c r="A892" s="5"/>
      <c r="B892" s="6"/>
      <c r="C892" s="11"/>
      <c r="D892" s="5"/>
      <c r="E892" s="12"/>
      <c r="F892" s="8"/>
      <c r="G892" s="9">
        <v>0</v>
      </c>
      <c r="H892" s="10"/>
      <c r="I892" s="5"/>
      <c r="J892" s="10"/>
    </row>
    <row r="893" spans="1:10" ht="15.75" customHeight="1">
      <c r="A893" s="5"/>
      <c r="B893" s="6"/>
      <c r="C893" s="11"/>
      <c r="D893" s="5"/>
      <c r="E893" s="12"/>
      <c r="F893" s="8"/>
      <c r="G893" s="9">
        <v>0</v>
      </c>
      <c r="H893" s="10"/>
      <c r="I893" s="5"/>
      <c r="J893" s="10"/>
    </row>
    <row r="894" spans="1:10" ht="15.75" customHeight="1">
      <c r="A894" s="5"/>
      <c r="B894" s="6"/>
      <c r="C894" s="11"/>
      <c r="D894" s="5"/>
      <c r="E894" s="12"/>
      <c r="F894" s="8"/>
      <c r="G894" s="9">
        <v>0</v>
      </c>
      <c r="H894" s="10"/>
      <c r="I894" s="5"/>
      <c r="J894" s="10"/>
    </row>
    <row r="895" spans="1:10" ht="15.75" customHeight="1">
      <c r="A895" s="5"/>
      <c r="B895" s="6"/>
      <c r="C895" s="11"/>
      <c r="D895" s="5"/>
      <c r="E895" s="12"/>
      <c r="F895" s="8"/>
      <c r="G895" s="9">
        <v>0</v>
      </c>
      <c r="H895" s="10"/>
      <c r="I895" s="5"/>
      <c r="J895" s="10"/>
    </row>
    <row r="896" spans="1:10" ht="15.75" customHeight="1">
      <c r="A896" s="5"/>
      <c r="B896" s="6"/>
      <c r="C896" s="11"/>
      <c r="D896" s="5"/>
      <c r="E896" s="12"/>
      <c r="F896" s="8"/>
      <c r="G896" s="9">
        <v>0</v>
      </c>
      <c r="H896" s="10"/>
      <c r="I896" s="5"/>
      <c r="J896" s="10"/>
    </row>
    <row r="897" spans="1:10" ht="15.75" customHeight="1">
      <c r="A897" s="5"/>
      <c r="B897" s="6"/>
      <c r="C897" s="11"/>
      <c r="D897" s="5"/>
      <c r="E897" s="12"/>
      <c r="F897" s="8"/>
      <c r="G897" s="9">
        <v>0</v>
      </c>
      <c r="H897" s="10"/>
      <c r="I897" s="5"/>
      <c r="J897" s="10"/>
    </row>
    <row r="898" spans="1:10" ht="15.75" customHeight="1">
      <c r="A898" s="5"/>
      <c r="B898" s="6"/>
      <c r="C898" s="11"/>
      <c r="D898" s="5"/>
      <c r="E898" s="12"/>
      <c r="F898" s="8"/>
      <c r="G898" s="9">
        <v>0</v>
      </c>
      <c r="H898" s="10"/>
      <c r="I898" s="5"/>
      <c r="J898" s="10"/>
    </row>
    <row r="899" spans="1:10" ht="15.75" customHeight="1">
      <c r="A899" s="5"/>
      <c r="B899" s="6"/>
      <c r="C899" s="11"/>
      <c r="D899" s="5"/>
      <c r="E899" s="12"/>
      <c r="F899" s="8"/>
      <c r="G899" s="9">
        <v>0</v>
      </c>
      <c r="H899" s="10"/>
      <c r="I899" s="5"/>
      <c r="J899" s="10"/>
    </row>
    <row r="900" spans="1:10" ht="15.75" customHeight="1">
      <c r="A900" s="5"/>
      <c r="B900" s="6"/>
      <c r="C900" s="11"/>
      <c r="D900" s="5"/>
      <c r="E900" s="12"/>
      <c r="F900" s="8"/>
      <c r="G900" s="9">
        <v>0</v>
      </c>
      <c r="H900" s="10"/>
      <c r="I900" s="5"/>
      <c r="J900" s="10"/>
    </row>
    <row r="901" spans="1:10" ht="15.75" customHeight="1">
      <c r="A901" s="5"/>
      <c r="B901" s="6"/>
      <c r="C901" s="11"/>
      <c r="D901" s="5"/>
      <c r="E901" s="12"/>
      <c r="F901" s="8"/>
      <c r="G901" s="9">
        <v>0</v>
      </c>
      <c r="H901" s="10"/>
      <c r="I901" s="5"/>
      <c r="J901" s="10"/>
    </row>
    <row r="902" spans="1:10" ht="15.75" customHeight="1">
      <c r="A902" s="5"/>
      <c r="B902" s="6"/>
      <c r="C902" s="11"/>
      <c r="D902" s="5"/>
      <c r="E902" s="12"/>
      <c r="F902" s="8"/>
      <c r="G902" s="9">
        <v>0</v>
      </c>
      <c r="H902" s="10"/>
      <c r="I902" s="5"/>
      <c r="J902" s="10"/>
    </row>
    <row r="903" spans="1:10" ht="15.75" customHeight="1">
      <c r="A903" s="5"/>
      <c r="B903" s="6"/>
      <c r="C903" s="11"/>
      <c r="D903" s="5"/>
      <c r="E903" s="12"/>
      <c r="F903" s="8"/>
      <c r="G903" s="9">
        <v>0</v>
      </c>
      <c r="H903" s="10"/>
      <c r="I903" s="5"/>
      <c r="J903" s="10"/>
    </row>
    <row r="904" spans="1:10" ht="15.75" customHeight="1">
      <c r="A904" s="5"/>
      <c r="B904" s="6"/>
      <c r="C904" s="11"/>
      <c r="D904" s="5"/>
      <c r="E904" s="12"/>
      <c r="F904" s="8"/>
      <c r="G904" s="9">
        <v>0</v>
      </c>
      <c r="H904" s="10"/>
      <c r="I904" s="5"/>
      <c r="J904" s="10"/>
    </row>
    <row r="905" spans="1:10" ht="15.75" customHeight="1">
      <c r="A905" s="5"/>
      <c r="B905" s="6"/>
      <c r="C905" s="11"/>
      <c r="D905" s="5"/>
      <c r="E905" s="12"/>
      <c r="F905" s="8"/>
      <c r="G905" s="9">
        <v>0</v>
      </c>
      <c r="H905" s="10"/>
      <c r="I905" s="5"/>
      <c r="J905" s="10"/>
    </row>
    <row r="906" spans="1:10" ht="15.75" customHeight="1">
      <c r="A906" s="5"/>
      <c r="B906" s="6"/>
      <c r="C906" s="11"/>
      <c r="D906" s="5"/>
      <c r="E906" s="12"/>
      <c r="F906" s="8"/>
      <c r="G906" s="9">
        <v>0</v>
      </c>
      <c r="H906" s="10"/>
      <c r="I906" s="5"/>
      <c r="J906" s="10"/>
    </row>
    <row r="907" spans="1:10" ht="15.75" customHeight="1">
      <c r="A907" s="5"/>
      <c r="B907" s="6"/>
      <c r="C907" s="11"/>
      <c r="D907" s="5"/>
      <c r="E907" s="12"/>
      <c r="F907" s="8"/>
      <c r="G907" s="9">
        <v>0</v>
      </c>
      <c r="H907" s="10"/>
      <c r="I907" s="5"/>
      <c r="J907" s="10"/>
    </row>
    <row r="908" spans="1:10" ht="15.75" customHeight="1">
      <c r="A908" s="5"/>
      <c r="B908" s="6"/>
      <c r="C908" s="11"/>
      <c r="D908" s="5"/>
      <c r="E908" s="12"/>
      <c r="F908" s="8"/>
      <c r="G908" s="9">
        <v>0</v>
      </c>
      <c r="H908" s="10"/>
      <c r="I908" s="5"/>
      <c r="J908" s="10"/>
    </row>
    <row r="909" spans="1:10" ht="15.75" customHeight="1">
      <c r="A909" s="5"/>
      <c r="B909" s="6"/>
      <c r="C909" s="11"/>
      <c r="D909" s="5"/>
      <c r="E909" s="12"/>
      <c r="F909" s="8"/>
      <c r="G909" s="9">
        <v>0</v>
      </c>
      <c r="H909" s="10"/>
      <c r="I909" s="5"/>
      <c r="J909" s="10"/>
    </row>
    <row r="910" spans="1:10" ht="15.75" customHeight="1">
      <c r="A910" s="5"/>
      <c r="B910" s="6"/>
      <c r="C910" s="11"/>
      <c r="D910" s="5"/>
      <c r="E910" s="12"/>
      <c r="F910" s="8"/>
      <c r="G910" s="9">
        <v>0</v>
      </c>
      <c r="H910" s="10"/>
      <c r="I910" s="5"/>
      <c r="J910" s="10"/>
    </row>
    <row r="911" spans="1:10" ht="15.75" customHeight="1">
      <c r="A911" s="5"/>
      <c r="B911" s="6"/>
      <c r="C911" s="11"/>
      <c r="D911" s="5"/>
      <c r="E911" s="12"/>
      <c r="F911" s="8"/>
      <c r="G911" s="9">
        <v>0</v>
      </c>
      <c r="H911" s="10"/>
      <c r="I911" s="5"/>
      <c r="J911" s="10"/>
    </row>
    <row r="912" spans="1:10" ht="15.75" customHeight="1">
      <c r="A912" s="5"/>
      <c r="B912" s="6"/>
      <c r="C912" s="11"/>
      <c r="D912" s="5"/>
      <c r="E912" s="12"/>
      <c r="F912" s="8"/>
      <c r="G912" s="9">
        <v>0</v>
      </c>
      <c r="H912" s="10"/>
      <c r="I912" s="5"/>
      <c r="J912" s="10"/>
    </row>
    <row r="913" spans="1:10" ht="15.75" customHeight="1">
      <c r="A913" s="5"/>
      <c r="B913" s="6"/>
      <c r="C913" s="11"/>
      <c r="D913" s="5"/>
      <c r="E913" s="12"/>
      <c r="F913" s="8"/>
      <c r="G913" s="9">
        <v>0</v>
      </c>
      <c r="H913" s="10"/>
      <c r="I913" s="5"/>
      <c r="J913" s="10"/>
    </row>
    <row r="914" spans="1:10" ht="15.75" customHeight="1">
      <c r="A914" s="5"/>
      <c r="B914" s="6"/>
      <c r="C914" s="11"/>
      <c r="D914" s="5"/>
      <c r="E914" s="12"/>
      <c r="F914" s="8"/>
      <c r="G914" s="9">
        <v>0</v>
      </c>
      <c r="H914" s="10"/>
      <c r="I914" s="5"/>
      <c r="J914" s="10"/>
    </row>
    <row r="915" spans="1:10" ht="15.75" customHeight="1">
      <c r="A915" s="5"/>
      <c r="B915" s="6"/>
      <c r="C915" s="11"/>
      <c r="D915" s="5"/>
      <c r="E915" s="12"/>
      <c r="F915" s="8"/>
      <c r="G915" s="9">
        <v>0</v>
      </c>
      <c r="H915" s="10"/>
      <c r="I915" s="5"/>
      <c r="J915" s="10"/>
    </row>
    <row r="916" spans="1:10" ht="15.75" customHeight="1">
      <c r="A916" s="5"/>
      <c r="B916" s="6"/>
      <c r="C916" s="11"/>
      <c r="D916" s="5"/>
      <c r="E916" s="12"/>
      <c r="F916" s="8"/>
      <c r="G916" s="9">
        <v>0</v>
      </c>
      <c r="H916" s="10"/>
      <c r="I916" s="5"/>
      <c r="J916" s="10"/>
    </row>
    <row r="917" spans="1:10" ht="15.75" customHeight="1">
      <c r="A917" s="5"/>
      <c r="B917" s="6"/>
      <c r="C917" s="11"/>
      <c r="D917" s="5"/>
      <c r="E917" s="12"/>
      <c r="F917" s="8"/>
      <c r="G917" s="9">
        <v>0</v>
      </c>
      <c r="H917" s="10"/>
      <c r="I917" s="5"/>
      <c r="J917" s="10"/>
    </row>
    <row r="918" spans="1:10" ht="15.75" customHeight="1">
      <c r="A918" s="5"/>
      <c r="B918" s="6"/>
      <c r="C918" s="11"/>
      <c r="D918" s="5"/>
      <c r="E918" s="12"/>
      <c r="F918" s="8"/>
      <c r="G918" s="9">
        <v>0</v>
      </c>
      <c r="H918" s="10"/>
      <c r="I918" s="5"/>
      <c r="J918" s="10"/>
    </row>
    <row r="919" spans="1:10" ht="15.75" customHeight="1">
      <c r="A919" s="5"/>
      <c r="B919" s="6"/>
      <c r="C919" s="11"/>
      <c r="D919" s="5"/>
      <c r="E919" s="12"/>
      <c r="F919" s="8"/>
      <c r="G919" s="9">
        <v>0</v>
      </c>
      <c r="H919" s="10"/>
      <c r="I919" s="5"/>
      <c r="J919" s="10"/>
    </row>
    <row r="920" spans="1:10" ht="15.75" customHeight="1">
      <c r="A920" s="5"/>
      <c r="B920" s="6"/>
      <c r="C920" s="11"/>
      <c r="D920" s="5"/>
      <c r="E920" s="12"/>
      <c r="F920" s="8"/>
      <c r="G920" s="9">
        <v>0</v>
      </c>
      <c r="H920" s="10"/>
      <c r="I920" s="5"/>
      <c r="J920" s="10"/>
    </row>
    <row r="921" spans="1:10" ht="15.75" customHeight="1">
      <c r="A921" s="5"/>
      <c r="B921" s="6"/>
      <c r="C921" s="11"/>
      <c r="D921" s="5"/>
      <c r="E921" s="12"/>
      <c r="F921" s="8"/>
      <c r="G921" s="9">
        <v>0</v>
      </c>
      <c r="H921" s="10"/>
      <c r="I921" s="5"/>
      <c r="J921" s="10"/>
    </row>
    <row r="922" spans="1:10" ht="15.75" customHeight="1">
      <c r="A922" s="5"/>
      <c r="B922" s="6"/>
      <c r="C922" s="11"/>
      <c r="D922" s="5"/>
      <c r="E922" s="12"/>
      <c r="F922" s="8"/>
      <c r="G922" s="9">
        <v>0</v>
      </c>
      <c r="H922" s="10"/>
      <c r="I922" s="5"/>
      <c r="J922" s="10"/>
    </row>
    <row r="923" spans="1:10" ht="15.75" customHeight="1">
      <c r="A923" s="5"/>
      <c r="B923" s="6"/>
      <c r="C923" s="11"/>
      <c r="D923" s="5"/>
      <c r="E923" s="12"/>
      <c r="F923" s="8"/>
      <c r="G923" s="9">
        <v>0</v>
      </c>
      <c r="H923" s="10"/>
      <c r="I923" s="5"/>
      <c r="J923" s="10"/>
    </row>
    <row r="924" spans="1:10" ht="15.75" customHeight="1">
      <c r="A924" s="5"/>
      <c r="B924" s="6"/>
      <c r="C924" s="11"/>
      <c r="D924" s="5"/>
      <c r="E924" s="12"/>
      <c r="F924" s="8"/>
      <c r="G924" s="9">
        <v>0</v>
      </c>
      <c r="H924" s="10"/>
      <c r="I924" s="5"/>
      <c r="J924" s="10"/>
    </row>
    <row r="925" spans="1:10" ht="15.75" customHeight="1">
      <c r="A925" s="5"/>
      <c r="B925" s="6"/>
      <c r="C925" s="11"/>
      <c r="D925" s="5"/>
      <c r="E925" s="12"/>
      <c r="F925" s="8"/>
      <c r="G925" s="9">
        <v>0</v>
      </c>
      <c r="H925" s="10"/>
      <c r="I925" s="5"/>
      <c r="J925" s="10"/>
    </row>
    <row r="926" spans="1:10" ht="15.75" customHeight="1">
      <c r="A926" s="5"/>
      <c r="B926" s="6"/>
      <c r="C926" s="11"/>
      <c r="D926" s="5"/>
      <c r="E926" s="12"/>
      <c r="F926" s="8"/>
      <c r="G926" s="9">
        <v>0</v>
      </c>
      <c r="H926" s="10"/>
      <c r="I926" s="5"/>
      <c r="J926" s="10"/>
    </row>
    <row r="927" spans="1:10" ht="15.75" customHeight="1">
      <c r="A927" s="5"/>
      <c r="B927" s="6"/>
      <c r="C927" s="11"/>
      <c r="D927" s="5"/>
      <c r="E927" s="12"/>
      <c r="F927" s="8"/>
      <c r="G927" s="9">
        <v>0</v>
      </c>
      <c r="H927" s="10"/>
      <c r="I927" s="5"/>
      <c r="J927" s="10"/>
    </row>
    <row r="928" spans="1:10" ht="15.75" customHeight="1">
      <c r="A928" s="5"/>
      <c r="B928" s="6"/>
      <c r="C928" s="11"/>
      <c r="D928" s="5"/>
      <c r="E928" s="12"/>
      <c r="F928" s="8"/>
      <c r="G928" s="9">
        <v>0</v>
      </c>
      <c r="H928" s="10"/>
      <c r="I928" s="5"/>
      <c r="J928" s="10"/>
    </row>
    <row r="929" spans="1:10" ht="15.75" customHeight="1">
      <c r="A929" s="5"/>
      <c r="B929" s="6"/>
      <c r="C929" s="11"/>
      <c r="D929" s="5"/>
      <c r="E929" s="12"/>
      <c r="F929" s="8"/>
      <c r="G929" s="9">
        <v>0</v>
      </c>
      <c r="H929" s="10"/>
      <c r="I929" s="5"/>
      <c r="J929" s="10"/>
    </row>
    <row r="930" spans="1:10" ht="15.75" customHeight="1">
      <c r="A930" s="5"/>
      <c r="B930" s="6"/>
      <c r="C930" s="11"/>
      <c r="D930" s="5"/>
      <c r="E930" s="12"/>
      <c r="F930" s="8"/>
      <c r="G930" s="9">
        <v>0</v>
      </c>
      <c r="H930" s="10"/>
      <c r="I930" s="5"/>
      <c r="J930" s="10"/>
    </row>
    <row r="931" spans="1:10" ht="15.75" customHeight="1">
      <c r="A931" s="5"/>
      <c r="B931" s="6"/>
      <c r="C931" s="11"/>
      <c r="D931" s="5"/>
      <c r="E931" s="12"/>
      <c r="F931" s="8"/>
      <c r="G931" s="9">
        <v>0</v>
      </c>
      <c r="H931" s="10"/>
      <c r="I931" s="5"/>
      <c r="J931" s="10"/>
    </row>
    <row r="932" spans="1:10" ht="15.75" customHeight="1">
      <c r="A932" s="5"/>
      <c r="B932" s="6"/>
      <c r="C932" s="11"/>
      <c r="D932" s="5"/>
      <c r="E932" s="12"/>
      <c r="F932" s="8"/>
      <c r="G932" s="9">
        <v>0</v>
      </c>
      <c r="H932" s="10"/>
      <c r="I932" s="5"/>
      <c r="J932" s="10"/>
    </row>
    <row r="933" spans="1:10" ht="15.75" customHeight="1">
      <c r="A933" s="5"/>
      <c r="B933" s="6"/>
      <c r="C933" s="11"/>
      <c r="D933" s="5"/>
      <c r="E933" s="12"/>
      <c r="F933" s="8"/>
      <c r="G933" s="9">
        <v>0</v>
      </c>
      <c r="H933" s="10"/>
      <c r="I933" s="5"/>
      <c r="J933" s="10"/>
    </row>
    <row r="934" spans="1:10" ht="15.75" customHeight="1">
      <c r="A934" s="5"/>
      <c r="B934" s="6"/>
      <c r="C934" s="11"/>
      <c r="D934" s="5"/>
      <c r="E934" s="12"/>
      <c r="F934" s="8"/>
      <c r="G934" s="9">
        <v>0</v>
      </c>
      <c r="H934" s="10"/>
      <c r="I934" s="5"/>
      <c r="J934" s="10"/>
    </row>
    <row r="935" spans="1:10" ht="15.75" customHeight="1">
      <c r="A935" s="5"/>
      <c r="B935" s="6"/>
      <c r="C935" s="11"/>
      <c r="D935" s="5"/>
      <c r="E935" s="12"/>
      <c r="F935" s="8"/>
      <c r="G935" s="9">
        <v>0</v>
      </c>
      <c r="H935" s="10"/>
      <c r="I935" s="5"/>
      <c r="J935" s="10"/>
    </row>
    <row r="936" spans="1:10" ht="15.75" customHeight="1">
      <c r="A936" s="5"/>
      <c r="B936" s="6"/>
      <c r="C936" s="11"/>
      <c r="D936" s="5"/>
      <c r="E936" s="12"/>
      <c r="F936" s="8"/>
      <c r="G936" s="9">
        <v>0</v>
      </c>
      <c r="H936" s="10"/>
      <c r="I936" s="5"/>
      <c r="J936" s="10"/>
    </row>
    <row r="937" spans="1:10" ht="15.75" customHeight="1">
      <c r="A937" s="5"/>
      <c r="B937" s="6"/>
      <c r="C937" s="11"/>
      <c r="D937" s="5"/>
      <c r="E937" s="12"/>
      <c r="F937" s="8"/>
      <c r="G937" s="9">
        <v>0</v>
      </c>
      <c r="H937" s="10"/>
      <c r="I937" s="5"/>
      <c r="J937" s="10"/>
    </row>
    <row r="938" spans="1:10" ht="15.75" customHeight="1">
      <c r="A938" s="5"/>
      <c r="B938" s="6"/>
      <c r="C938" s="11"/>
      <c r="D938" s="5"/>
      <c r="E938" s="12"/>
      <c r="F938" s="8"/>
      <c r="G938" s="9">
        <v>0</v>
      </c>
      <c r="H938" s="10"/>
      <c r="I938" s="5"/>
      <c r="J938" s="10"/>
    </row>
    <row r="939" spans="1:10" ht="15.75" customHeight="1">
      <c r="A939" s="5"/>
      <c r="B939" s="6"/>
      <c r="C939" s="11"/>
      <c r="D939" s="5"/>
      <c r="E939" s="12"/>
      <c r="F939" s="8"/>
      <c r="G939" s="9">
        <v>0</v>
      </c>
      <c r="H939" s="10"/>
      <c r="I939" s="5"/>
      <c r="J939" s="10"/>
    </row>
    <row r="940" spans="1:10" ht="15.75" customHeight="1">
      <c r="A940" s="5"/>
      <c r="B940" s="6"/>
      <c r="C940" s="11"/>
      <c r="D940" s="5"/>
      <c r="E940" s="12"/>
      <c r="F940" s="8"/>
      <c r="G940" s="9">
        <v>0</v>
      </c>
      <c r="H940" s="10"/>
      <c r="I940" s="5"/>
      <c r="J940" s="10"/>
    </row>
    <row r="941" spans="1:10" ht="15.75" customHeight="1">
      <c r="A941" s="5"/>
      <c r="B941" s="6"/>
      <c r="C941" s="11"/>
      <c r="D941" s="5"/>
      <c r="E941" s="12"/>
      <c r="F941" s="8"/>
      <c r="G941" s="9">
        <v>0</v>
      </c>
      <c r="H941" s="10"/>
      <c r="I941" s="5"/>
      <c r="J941" s="10"/>
    </row>
    <row r="942" spans="1:10" ht="15.75" customHeight="1">
      <c r="A942" s="5"/>
      <c r="B942" s="6"/>
      <c r="C942" s="11"/>
      <c r="D942" s="5"/>
      <c r="E942" s="12"/>
      <c r="F942" s="8"/>
      <c r="G942" s="9">
        <v>0</v>
      </c>
      <c r="H942" s="10"/>
      <c r="I942" s="5"/>
      <c r="J942" s="10"/>
    </row>
    <row r="943" spans="1:10" ht="15.75" customHeight="1">
      <c r="A943" s="5"/>
      <c r="B943" s="6"/>
      <c r="C943" s="11"/>
      <c r="D943" s="5"/>
      <c r="E943" s="12"/>
      <c r="F943" s="8"/>
      <c r="G943" s="9">
        <v>0</v>
      </c>
      <c r="H943" s="10"/>
      <c r="I943" s="5"/>
      <c r="J943" s="10"/>
    </row>
    <row r="944" spans="1:10" ht="15.75" customHeight="1">
      <c r="A944" s="5"/>
      <c r="B944" s="6"/>
      <c r="C944" s="11"/>
      <c r="D944" s="5"/>
      <c r="E944" s="12"/>
      <c r="F944" s="8"/>
      <c r="G944" s="9">
        <v>0</v>
      </c>
      <c r="H944" s="10"/>
      <c r="I944" s="5"/>
      <c r="J944" s="10"/>
    </row>
    <row r="945" spans="1:10" ht="15.75" customHeight="1">
      <c r="A945" s="5"/>
      <c r="B945" s="6"/>
      <c r="C945" s="11"/>
      <c r="D945" s="5"/>
      <c r="E945" s="12"/>
      <c r="F945" s="8"/>
      <c r="G945" s="9">
        <v>0</v>
      </c>
      <c r="H945" s="10"/>
      <c r="I945" s="5"/>
      <c r="J945" s="10"/>
    </row>
    <row r="946" spans="1:10" ht="15.75" customHeight="1">
      <c r="A946" s="5"/>
      <c r="B946" s="6"/>
      <c r="C946" s="11"/>
      <c r="D946" s="5"/>
      <c r="E946" s="12"/>
      <c r="F946" s="8"/>
      <c r="G946" s="9">
        <v>0</v>
      </c>
      <c r="H946" s="10"/>
      <c r="I946" s="5"/>
      <c r="J946" s="10"/>
    </row>
    <row r="947" spans="1:10" ht="15.75" customHeight="1">
      <c r="A947" s="5"/>
      <c r="B947" s="6"/>
      <c r="C947" s="11"/>
      <c r="D947" s="5"/>
      <c r="E947" s="12"/>
      <c r="F947" s="8"/>
      <c r="G947" s="9">
        <v>0</v>
      </c>
      <c r="H947" s="10"/>
      <c r="I947" s="5"/>
      <c r="J947" s="10"/>
    </row>
    <row r="948" spans="1:10" ht="15.75" customHeight="1">
      <c r="A948" s="5"/>
      <c r="B948" s="6"/>
      <c r="C948" s="11"/>
      <c r="D948" s="5"/>
      <c r="E948" s="12"/>
      <c r="F948" s="8"/>
      <c r="G948" s="9">
        <v>0</v>
      </c>
      <c r="H948" s="10"/>
      <c r="I948" s="5"/>
      <c r="J948" s="10"/>
    </row>
    <row r="949" spans="1:10" ht="15.75" customHeight="1">
      <c r="A949" s="5"/>
      <c r="B949" s="6"/>
      <c r="C949" s="11"/>
      <c r="D949" s="5"/>
      <c r="E949" s="12"/>
      <c r="F949" s="8"/>
      <c r="G949" s="9">
        <v>0</v>
      </c>
      <c r="H949" s="10"/>
      <c r="I949" s="5"/>
      <c r="J949" s="10"/>
    </row>
    <row r="950" spans="1:10" ht="15.75" customHeight="1">
      <c r="A950" s="5"/>
      <c r="B950" s="6"/>
      <c r="C950" s="11"/>
      <c r="D950" s="5"/>
      <c r="E950" s="12"/>
      <c r="F950" s="8"/>
      <c r="G950" s="9">
        <v>0</v>
      </c>
      <c r="H950" s="10"/>
      <c r="I950" s="5"/>
      <c r="J950" s="10"/>
    </row>
    <row r="951" spans="1:10" ht="15.75" customHeight="1">
      <c r="A951" s="5"/>
      <c r="B951" s="6"/>
      <c r="C951" s="11"/>
      <c r="D951" s="5"/>
      <c r="E951" s="12"/>
      <c r="F951" s="8"/>
      <c r="G951" s="9">
        <v>0</v>
      </c>
      <c r="H951" s="10"/>
      <c r="I951" s="5"/>
      <c r="J951" s="10"/>
    </row>
    <row r="952" spans="1:10" ht="15.75" customHeight="1">
      <c r="A952" s="5"/>
      <c r="B952" s="6"/>
      <c r="C952" s="11"/>
      <c r="D952" s="5"/>
      <c r="E952" s="12"/>
      <c r="F952" s="8"/>
      <c r="G952" s="9">
        <v>0</v>
      </c>
      <c r="H952" s="10"/>
      <c r="I952" s="5"/>
      <c r="J952" s="10"/>
    </row>
    <row r="953" spans="1:10" ht="15.75" customHeight="1">
      <c r="A953" s="5"/>
      <c r="B953" s="6"/>
      <c r="C953" s="11"/>
      <c r="D953" s="5"/>
      <c r="E953" s="12"/>
      <c r="F953" s="8"/>
      <c r="G953" s="9">
        <v>0</v>
      </c>
      <c r="H953" s="10"/>
      <c r="I953" s="5"/>
      <c r="J953" s="10"/>
    </row>
    <row r="954" spans="1:10" ht="15.75" customHeight="1">
      <c r="A954" s="5"/>
      <c r="B954" s="6"/>
      <c r="C954" s="11"/>
      <c r="D954" s="5"/>
      <c r="E954" s="12"/>
      <c r="F954" s="8"/>
      <c r="G954" s="9">
        <v>0</v>
      </c>
      <c r="H954" s="10"/>
      <c r="I954" s="5"/>
      <c r="J954" s="10"/>
    </row>
    <row r="955" spans="1:10" ht="15.75" customHeight="1">
      <c r="A955" s="5"/>
      <c r="B955" s="6"/>
      <c r="C955" s="11"/>
      <c r="D955" s="5"/>
      <c r="E955" s="12"/>
      <c r="F955" s="8"/>
      <c r="G955" s="9">
        <v>0</v>
      </c>
      <c r="H955" s="10"/>
      <c r="I955" s="5"/>
      <c r="J955" s="10"/>
    </row>
    <row r="956" spans="1:10" ht="15.75" customHeight="1">
      <c r="A956" s="5"/>
      <c r="B956" s="6"/>
      <c r="C956" s="11"/>
      <c r="D956" s="5"/>
      <c r="E956" s="12"/>
      <c r="F956" s="8"/>
      <c r="G956" s="9">
        <v>0</v>
      </c>
      <c r="H956" s="10"/>
      <c r="I956" s="5"/>
      <c r="J956" s="10"/>
    </row>
    <row r="957" spans="1:10" ht="15.75" customHeight="1">
      <c r="A957" s="5"/>
      <c r="B957" s="6"/>
      <c r="C957" s="11"/>
      <c r="D957" s="5"/>
      <c r="E957" s="12"/>
      <c r="F957" s="8"/>
      <c r="G957" s="9">
        <v>0</v>
      </c>
      <c r="H957" s="10"/>
      <c r="I957" s="5"/>
      <c r="J957" s="10"/>
    </row>
    <row r="958" spans="1:10" ht="15.75" customHeight="1">
      <c r="A958" s="5"/>
      <c r="B958" s="6"/>
      <c r="C958" s="11"/>
      <c r="D958" s="5"/>
      <c r="E958" s="12"/>
      <c r="F958" s="8"/>
      <c r="G958" s="9">
        <v>0</v>
      </c>
      <c r="H958" s="10"/>
      <c r="I958" s="5"/>
      <c r="J958" s="10"/>
    </row>
    <row r="959" spans="1:10" ht="15.75" customHeight="1">
      <c r="A959" s="5"/>
      <c r="B959" s="6"/>
      <c r="C959" s="11"/>
      <c r="D959" s="5"/>
      <c r="E959" s="12"/>
      <c r="F959" s="8"/>
      <c r="G959" s="9">
        <v>0</v>
      </c>
      <c r="H959" s="10"/>
      <c r="I959" s="5"/>
      <c r="J959" s="10"/>
    </row>
    <row r="960" spans="1:10" ht="15.75" customHeight="1">
      <c r="A960" s="5"/>
      <c r="B960" s="6"/>
      <c r="C960" s="11"/>
      <c r="D960" s="5"/>
      <c r="E960" s="12"/>
      <c r="F960" s="8"/>
      <c r="G960" s="9">
        <v>0</v>
      </c>
      <c r="H960" s="10"/>
      <c r="I960" s="5"/>
      <c r="J960" s="10"/>
    </row>
    <row r="961" spans="1:10" ht="15.75" customHeight="1">
      <c r="A961" s="5"/>
      <c r="B961" s="6"/>
      <c r="C961" s="11"/>
      <c r="D961" s="5"/>
      <c r="E961" s="12"/>
      <c r="F961" s="8"/>
      <c r="G961" s="9">
        <v>0</v>
      </c>
      <c r="H961" s="10"/>
      <c r="I961" s="5"/>
      <c r="J961" s="10"/>
    </row>
    <row r="962" spans="1:10" ht="15.75" customHeight="1">
      <c r="A962" s="5"/>
      <c r="B962" s="6"/>
      <c r="C962" s="11"/>
      <c r="D962" s="5"/>
      <c r="E962" s="12"/>
      <c r="F962" s="8"/>
      <c r="G962" s="9">
        <v>0</v>
      </c>
      <c r="H962" s="10"/>
      <c r="I962" s="5"/>
      <c r="J962" s="10"/>
    </row>
    <row r="963" spans="1:10" ht="15.75" customHeight="1">
      <c r="A963" s="5"/>
      <c r="B963" s="6"/>
      <c r="C963" s="11"/>
      <c r="D963" s="5"/>
      <c r="E963" s="12"/>
      <c r="F963" s="8"/>
      <c r="G963" s="9">
        <v>0</v>
      </c>
      <c r="H963" s="10"/>
      <c r="I963" s="5"/>
      <c r="J963" s="10"/>
    </row>
    <row r="964" spans="1:10" ht="15.75" customHeight="1">
      <c r="A964" s="5"/>
      <c r="B964" s="6"/>
      <c r="C964" s="11"/>
      <c r="D964" s="5"/>
      <c r="E964" s="12"/>
      <c r="F964" s="8"/>
      <c r="G964" s="9">
        <v>0</v>
      </c>
      <c r="H964" s="10"/>
      <c r="I964" s="5"/>
      <c r="J964" s="10"/>
    </row>
    <row r="965" spans="1:10" ht="15.75" customHeight="1">
      <c r="A965" s="5"/>
      <c r="B965" s="6"/>
      <c r="C965" s="11"/>
      <c r="D965" s="5"/>
      <c r="E965" s="12"/>
      <c r="F965" s="8"/>
      <c r="G965" s="9">
        <v>0</v>
      </c>
      <c r="H965" s="10"/>
      <c r="I965" s="5"/>
      <c r="J965" s="10"/>
    </row>
    <row r="966" spans="1:10" ht="15.75" customHeight="1">
      <c r="A966" s="5"/>
      <c r="B966" s="6"/>
      <c r="C966" s="11"/>
      <c r="D966" s="5"/>
      <c r="E966" s="12"/>
      <c r="F966" s="8"/>
      <c r="G966" s="9">
        <v>0</v>
      </c>
      <c r="H966" s="10"/>
      <c r="I966" s="5"/>
      <c r="J966" s="10"/>
    </row>
    <row r="967" spans="1:10" ht="15.75" customHeight="1">
      <c r="A967" s="5"/>
      <c r="B967" s="6"/>
      <c r="C967" s="11"/>
      <c r="D967" s="5"/>
      <c r="E967" s="12"/>
      <c r="F967" s="8"/>
      <c r="G967" s="9">
        <v>0</v>
      </c>
      <c r="H967" s="10"/>
      <c r="I967" s="5"/>
      <c r="J967" s="10"/>
    </row>
    <row r="968" spans="1:10" ht="15.75" customHeight="1">
      <c r="A968" s="5"/>
      <c r="B968" s="6"/>
      <c r="C968" s="11"/>
      <c r="D968" s="5"/>
      <c r="E968" s="12"/>
      <c r="F968" s="8"/>
      <c r="G968" s="9">
        <v>0</v>
      </c>
      <c r="H968" s="10"/>
      <c r="I968" s="5"/>
      <c r="J968" s="10"/>
    </row>
    <row r="969" spans="1:10" ht="15.75" customHeight="1">
      <c r="A969" s="5"/>
      <c r="B969" s="6"/>
      <c r="C969" s="11"/>
      <c r="D969" s="5"/>
      <c r="E969" s="12"/>
      <c r="F969" s="8"/>
      <c r="G969" s="9">
        <v>0</v>
      </c>
      <c r="H969" s="10"/>
      <c r="I969" s="5"/>
      <c r="J969" s="10"/>
    </row>
    <row r="970" spans="1:10" ht="15.75" customHeight="1">
      <c r="A970" s="5"/>
      <c r="B970" s="6"/>
      <c r="C970" s="11"/>
      <c r="D970" s="5"/>
      <c r="E970" s="12"/>
      <c r="F970" s="8"/>
      <c r="G970" s="9">
        <v>0</v>
      </c>
      <c r="H970" s="10"/>
      <c r="I970" s="5"/>
      <c r="J970" s="10"/>
    </row>
    <row r="971" spans="1:10" ht="15.75" customHeight="1">
      <c r="A971" s="5"/>
      <c r="B971" s="6"/>
      <c r="C971" s="11"/>
      <c r="D971" s="5"/>
      <c r="E971" s="12"/>
      <c r="F971" s="8"/>
      <c r="G971" s="9">
        <v>0</v>
      </c>
      <c r="H971" s="10"/>
      <c r="I971" s="5"/>
      <c r="J971" s="10"/>
    </row>
    <row r="972" spans="1:10" ht="15.75" customHeight="1">
      <c r="A972" s="5"/>
      <c r="B972" s="6"/>
      <c r="C972" s="11"/>
      <c r="D972" s="5"/>
      <c r="E972" s="12"/>
      <c r="F972" s="8"/>
      <c r="G972" s="9">
        <v>0</v>
      </c>
      <c r="H972" s="10"/>
      <c r="I972" s="5"/>
      <c r="J972" s="10"/>
    </row>
    <row r="973" spans="1:10" ht="15.75" customHeight="1">
      <c r="A973" s="5"/>
      <c r="B973" s="6"/>
      <c r="C973" s="11"/>
      <c r="D973" s="5"/>
      <c r="E973" s="12"/>
      <c r="F973" s="8"/>
      <c r="G973" s="9">
        <v>0</v>
      </c>
      <c r="H973" s="10"/>
      <c r="I973" s="5"/>
      <c r="J973" s="10"/>
    </row>
    <row r="974" spans="1:10" ht="15.75" customHeight="1">
      <c r="A974" s="5"/>
      <c r="B974" s="6"/>
      <c r="C974" s="11"/>
      <c r="D974" s="5"/>
      <c r="E974" s="12"/>
      <c r="F974" s="8"/>
      <c r="G974" s="9">
        <v>0</v>
      </c>
      <c r="H974" s="10"/>
      <c r="I974" s="5"/>
      <c r="J974" s="10"/>
    </row>
    <row r="975" spans="1:10" ht="15.75" customHeight="1">
      <c r="A975" s="5"/>
      <c r="B975" s="6"/>
      <c r="C975" s="11"/>
      <c r="D975" s="5"/>
      <c r="E975" s="12"/>
      <c r="F975" s="8"/>
      <c r="G975" s="9">
        <v>0</v>
      </c>
      <c r="H975" s="10"/>
      <c r="I975" s="5"/>
      <c r="J975" s="10"/>
    </row>
    <row r="976" spans="1:10" ht="15.75" customHeight="1">
      <c r="A976" s="5"/>
      <c r="B976" s="6"/>
      <c r="C976" s="11"/>
      <c r="D976" s="5"/>
      <c r="E976" s="12"/>
      <c r="F976" s="8"/>
      <c r="G976" s="9">
        <v>0</v>
      </c>
      <c r="H976" s="10"/>
      <c r="I976" s="5"/>
      <c r="J976" s="10"/>
    </row>
    <row r="977" spans="1:10" ht="15.75" customHeight="1">
      <c r="A977" s="5"/>
      <c r="B977" s="6"/>
      <c r="C977" s="11"/>
      <c r="D977" s="5"/>
      <c r="E977" s="12"/>
      <c r="F977" s="8"/>
      <c r="G977" s="9">
        <v>0</v>
      </c>
      <c r="H977" s="10"/>
      <c r="I977" s="5"/>
      <c r="J977" s="10"/>
    </row>
    <row r="978" spans="1:10" ht="15.75" customHeight="1">
      <c r="A978" s="5"/>
      <c r="B978" s="6"/>
      <c r="C978" s="11"/>
      <c r="D978" s="5"/>
      <c r="E978" s="12"/>
      <c r="F978" s="8"/>
      <c r="G978" s="9">
        <v>0</v>
      </c>
      <c r="H978" s="10"/>
      <c r="I978" s="5"/>
      <c r="J978" s="10"/>
    </row>
    <row r="979" spans="1:10" ht="15.75" customHeight="1">
      <c r="A979" s="5"/>
      <c r="B979" s="6"/>
      <c r="C979" s="11"/>
      <c r="D979" s="5"/>
      <c r="E979" s="12"/>
      <c r="F979" s="8"/>
      <c r="G979" s="9">
        <v>0</v>
      </c>
      <c r="H979" s="10"/>
      <c r="I979" s="5"/>
      <c r="J979" s="10"/>
    </row>
    <row r="980" spans="1:10" ht="15.75" customHeight="1">
      <c r="A980" s="5"/>
      <c r="B980" s="6"/>
      <c r="C980" s="11"/>
      <c r="D980" s="5"/>
      <c r="E980" s="12"/>
      <c r="F980" s="8"/>
      <c r="G980" s="9">
        <v>0</v>
      </c>
      <c r="H980" s="10"/>
      <c r="I980" s="5"/>
      <c r="J980" s="10"/>
    </row>
    <row r="981" spans="1:10" ht="15.75" customHeight="1">
      <c r="A981" s="5"/>
      <c r="B981" s="6"/>
      <c r="C981" s="11"/>
      <c r="D981" s="5"/>
      <c r="E981" s="12"/>
      <c r="F981" s="8"/>
      <c r="G981" s="9">
        <v>0</v>
      </c>
      <c r="H981" s="10"/>
      <c r="I981" s="5"/>
      <c r="J981" s="10"/>
    </row>
    <row r="982" spans="1:10" ht="15.75" customHeight="1">
      <c r="A982" s="5"/>
      <c r="B982" s="6"/>
      <c r="C982" s="11"/>
      <c r="D982" s="5"/>
      <c r="E982" s="12"/>
      <c r="F982" s="8"/>
      <c r="G982" s="9">
        <v>0</v>
      </c>
      <c r="H982" s="10"/>
      <c r="I982" s="5"/>
      <c r="J982" s="10"/>
    </row>
    <row r="983" spans="1:10" ht="15.75" customHeight="1">
      <c r="A983" s="5"/>
      <c r="B983" s="6"/>
      <c r="C983" s="11"/>
      <c r="D983" s="5"/>
      <c r="E983" s="12"/>
      <c r="F983" s="8"/>
      <c r="G983" s="9">
        <v>0</v>
      </c>
      <c r="H983" s="10"/>
      <c r="I983" s="5"/>
      <c r="J983" s="10"/>
    </row>
    <row r="984" spans="1:10" ht="15.75" customHeight="1">
      <c r="A984" s="5"/>
      <c r="B984" s="6"/>
      <c r="C984" s="11"/>
      <c r="D984" s="5"/>
      <c r="E984" s="12"/>
      <c r="F984" s="8"/>
      <c r="G984" s="9">
        <v>0</v>
      </c>
      <c r="H984" s="10"/>
      <c r="I984" s="5"/>
      <c r="J984" s="10"/>
    </row>
    <row r="985" spans="1:10" ht="15.75" customHeight="1">
      <c r="A985" s="5"/>
      <c r="B985" s="6"/>
      <c r="C985" s="11"/>
      <c r="D985" s="5"/>
      <c r="E985" s="12"/>
      <c r="F985" s="8"/>
      <c r="G985" s="9">
        <v>0</v>
      </c>
      <c r="H985" s="10"/>
      <c r="I985" s="5"/>
      <c r="J985" s="10"/>
    </row>
    <row r="986" spans="1:10" ht="15.75" customHeight="1">
      <c r="A986" s="5"/>
      <c r="B986" s="6"/>
      <c r="C986" s="11"/>
      <c r="D986" s="5"/>
      <c r="E986" s="12"/>
      <c r="F986" s="8"/>
      <c r="G986" s="9">
        <v>0</v>
      </c>
      <c r="H986" s="10"/>
      <c r="I986" s="5"/>
      <c r="J986" s="10"/>
    </row>
    <row r="987" spans="1:10" ht="15.75" customHeight="1">
      <c r="A987" s="5"/>
      <c r="B987" s="6"/>
      <c r="C987" s="11"/>
      <c r="D987" s="5"/>
      <c r="E987" s="12"/>
      <c r="F987" s="8"/>
      <c r="G987" s="9">
        <v>0</v>
      </c>
      <c r="H987" s="10"/>
      <c r="I987" s="5"/>
      <c r="J987" s="10"/>
    </row>
    <row r="988" spans="1:10" ht="15.75" customHeight="1">
      <c r="A988" s="5"/>
      <c r="B988" s="6"/>
      <c r="C988" s="11"/>
      <c r="D988" s="5"/>
      <c r="E988" s="12"/>
      <c r="F988" s="8"/>
      <c r="G988" s="9">
        <v>0</v>
      </c>
      <c r="H988" s="10"/>
      <c r="I988" s="5"/>
      <c r="J988" s="10"/>
    </row>
    <row r="989" spans="1:10" ht="15.75" customHeight="1">
      <c r="A989" s="5"/>
      <c r="B989" s="6"/>
      <c r="C989" s="11"/>
      <c r="D989" s="5"/>
      <c r="E989" s="12"/>
      <c r="F989" s="8"/>
      <c r="G989" s="9">
        <v>0</v>
      </c>
      <c r="H989" s="10"/>
      <c r="I989" s="5"/>
      <c r="J989" s="10"/>
    </row>
    <row r="990" spans="1:10" ht="15.75" customHeight="1">
      <c r="A990" s="5"/>
      <c r="B990" s="6"/>
      <c r="C990" s="11"/>
      <c r="D990" s="5"/>
      <c r="E990" s="12"/>
      <c r="F990" s="8"/>
      <c r="G990" s="9">
        <v>0</v>
      </c>
      <c r="H990" s="10"/>
      <c r="I990" s="5"/>
      <c r="J990" s="10"/>
    </row>
    <row r="991" spans="1:10" ht="15.75" customHeight="1">
      <c r="A991" s="5"/>
      <c r="B991" s="6"/>
      <c r="C991" s="11"/>
      <c r="D991" s="5"/>
      <c r="E991" s="12"/>
      <c r="F991" s="8"/>
      <c r="G991" s="9">
        <v>0</v>
      </c>
      <c r="H991" s="10"/>
      <c r="I991" s="5"/>
      <c r="J991" s="10"/>
    </row>
    <row r="992" spans="1:10" ht="15.75" customHeight="1">
      <c r="A992" s="5"/>
      <c r="B992" s="6"/>
      <c r="C992" s="11"/>
      <c r="D992" s="5"/>
      <c r="E992" s="12"/>
      <c r="F992" s="8"/>
      <c r="G992" s="9">
        <v>0</v>
      </c>
      <c r="H992" s="10"/>
      <c r="I992" s="5"/>
      <c r="J992" s="10"/>
    </row>
    <row r="993" spans="1:10" ht="15.75" customHeight="1">
      <c r="A993" s="5"/>
      <c r="B993" s="6"/>
      <c r="C993" s="11"/>
      <c r="D993" s="5"/>
      <c r="E993" s="12"/>
      <c r="F993" s="8"/>
      <c r="G993" s="9">
        <v>0</v>
      </c>
      <c r="H993" s="10"/>
      <c r="I993" s="5"/>
      <c r="J993" s="10"/>
    </row>
    <row r="994" spans="1:10" ht="15.75" customHeight="1">
      <c r="A994" s="5"/>
      <c r="B994" s="6"/>
      <c r="C994" s="11"/>
      <c r="D994" s="5"/>
      <c r="E994" s="12"/>
      <c r="F994" s="8"/>
      <c r="G994" s="9">
        <v>0</v>
      </c>
      <c r="H994" s="10"/>
      <c r="I994" s="5"/>
      <c r="J994" s="10"/>
    </row>
    <row r="995" spans="1:10" ht="15.75" customHeight="1">
      <c r="A995" s="5"/>
      <c r="B995" s="6"/>
      <c r="C995" s="11"/>
      <c r="D995" s="5"/>
      <c r="E995" s="12"/>
      <c r="F995" s="8"/>
      <c r="G995" s="9">
        <v>0</v>
      </c>
      <c r="H995" s="10"/>
      <c r="I995" s="5"/>
      <c r="J995" s="10"/>
    </row>
    <row r="996" spans="1:10" ht="15.75" customHeight="1">
      <c r="A996" s="5"/>
      <c r="B996" s="6"/>
      <c r="C996" s="11"/>
      <c r="D996" s="5"/>
      <c r="E996" s="12"/>
      <c r="F996" s="8"/>
      <c r="G996" s="9">
        <v>0</v>
      </c>
      <c r="H996" s="10"/>
      <c r="I996" s="5"/>
      <c r="J996" s="10"/>
    </row>
    <row r="997" spans="1:10" ht="15.75" customHeight="1">
      <c r="A997" s="5"/>
      <c r="B997" s="6"/>
      <c r="C997" s="11"/>
      <c r="D997" s="5"/>
      <c r="E997" s="12"/>
      <c r="F997" s="8"/>
      <c r="G997" s="9">
        <v>0</v>
      </c>
      <c r="H997" s="10"/>
      <c r="I997" s="5"/>
      <c r="J997" s="10"/>
    </row>
    <row r="998" spans="1:10" ht="15.75" customHeight="1">
      <c r="A998" s="5"/>
      <c r="B998" s="6"/>
      <c r="C998" s="11"/>
      <c r="D998" s="5"/>
      <c r="E998" s="12"/>
      <c r="F998" s="8"/>
      <c r="G998" s="9">
        <v>0</v>
      </c>
      <c r="H998" s="10"/>
      <c r="I998" s="5"/>
      <c r="J998" s="10"/>
    </row>
    <row r="999" spans="1:10" ht="15.75" customHeight="1">
      <c r="A999" s="5"/>
      <c r="B999" s="6"/>
      <c r="C999" s="11"/>
      <c r="D999" s="5"/>
      <c r="E999" s="12"/>
      <c r="F999" s="8"/>
      <c r="G999" s="9">
        <v>0</v>
      </c>
      <c r="H999" s="10"/>
      <c r="I999" s="5"/>
      <c r="J999" s="10"/>
    </row>
    <row r="1000" spans="1:10" ht="15.75" customHeight="1">
      <c r="A1000" s="5"/>
      <c r="B1000" s="6"/>
      <c r="C1000" s="11"/>
      <c r="D1000" s="5"/>
      <c r="E1000" s="12"/>
      <c r="F1000" s="8"/>
      <c r="G1000" s="9">
        <v>0</v>
      </c>
      <c r="H1000" s="10"/>
      <c r="I1000" s="5"/>
      <c r="J1000" s="10"/>
    </row>
    <row r="1001" spans="1:10" ht="15.75" customHeight="1">
      <c r="A1001" s="5"/>
      <c r="B1001" s="6"/>
      <c r="C1001" s="11"/>
      <c r="D1001" s="5"/>
      <c r="E1001" s="12"/>
      <c r="F1001" s="8"/>
      <c r="G1001" s="9">
        <v>0</v>
      </c>
      <c r="H1001" s="10"/>
      <c r="I1001" s="5"/>
      <c r="J1001" s="10"/>
    </row>
    <row r="1002" spans="1:10" ht="15.75" customHeight="1">
      <c r="A1002" s="5"/>
      <c r="B1002" s="6"/>
      <c r="C1002" s="11"/>
      <c r="D1002" s="5"/>
      <c r="E1002" s="12"/>
      <c r="F1002" s="8"/>
      <c r="G1002" s="9">
        <v>0</v>
      </c>
      <c r="H1002" s="10"/>
      <c r="I1002" s="5"/>
      <c r="J1002" s="10"/>
    </row>
    <row r="1003" spans="1:10" ht="15.75" customHeight="1">
      <c r="A1003" s="5"/>
      <c r="B1003" s="6"/>
      <c r="C1003" s="11"/>
      <c r="D1003" s="5"/>
      <c r="E1003" s="12"/>
      <c r="F1003" s="8"/>
      <c r="G1003" s="9">
        <v>0</v>
      </c>
      <c r="H1003" s="10"/>
      <c r="I1003" s="5"/>
      <c r="J1003" s="10"/>
    </row>
    <row r="1004" spans="1:10" ht="15.75" customHeight="1">
      <c r="A1004" s="5"/>
      <c r="B1004" s="6"/>
      <c r="C1004" s="11"/>
      <c r="D1004" s="5"/>
      <c r="E1004" s="12"/>
      <c r="F1004" s="8"/>
      <c r="G1004" s="9">
        <v>0</v>
      </c>
      <c r="H1004" s="10"/>
      <c r="I1004" s="5"/>
      <c r="J1004" s="10"/>
    </row>
    <row r="1005" spans="1:10" ht="15.75" customHeight="1">
      <c r="A1005" s="5"/>
      <c r="B1005" s="6"/>
      <c r="C1005" s="11"/>
      <c r="D1005" s="5"/>
      <c r="E1005" s="12"/>
      <c r="F1005" s="8"/>
      <c r="G1005" s="9">
        <v>0</v>
      </c>
      <c r="H1005" s="10"/>
      <c r="I1005" s="5"/>
      <c r="J1005" s="10"/>
    </row>
    <row r="1006" spans="1:10" ht="15.75" customHeight="1">
      <c r="A1006" s="5"/>
      <c r="B1006" s="6"/>
      <c r="C1006" s="11"/>
      <c r="D1006" s="5"/>
      <c r="E1006" s="12"/>
      <c r="F1006" s="8"/>
      <c r="G1006" s="9">
        <v>0</v>
      </c>
      <c r="H1006" s="10"/>
      <c r="I1006" s="5"/>
      <c r="J1006" s="10"/>
    </row>
    <row r="1007" spans="1:10" ht="15.75" customHeight="1">
      <c r="A1007" s="5"/>
      <c r="B1007" s="6"/>
      <c r="C1007" s="11"/>
      <c r="D1007" s="5"/>
      <c r="E1007" s="12"/>
      <c r="F1007" s="8"/>
      <c r="G1007" s="9">
        <v>0</v>
      </c>
      <c r="H1007" s="10"/>
      <c r="I1007" s="5"/>
      <c r="J1007" s="10"/>
    </row>
    <row r="1008" spans="1:10" ht="15.75" customHeight="1">
      <c r="A1008" s="5"/>
      <c r="B1008" s="6"/>
      <c r="C1008" s="11"/>
      <c r="D1008" s="5"/>
      <c r="E1008" s="12"/>
      <c r="F1008" s="8"/>
      <c r="G1008" s="9">
        <v>0</v>
      </c>
      <c r="H1008" s="10"/>
      <c r="I1008" s="5"/>
      <c r="J1008" s="10"/>
    </row>
    <row r="1009" spans="1:10" ht="15.75" customHeight="1">
      <c r="A1009" s="5"/>
      <c r="B1009" s="6"/>
      <c r="C1009" s="11"/>
      <c r="D1009" s="5"/>
      <c r="E1009" s="12"/>
      <c r="F1009" s="8"/>
      <c r="G1009" s="9">
        <v>0</v>
      </c>
      <c r="H1009" s="10"/>
      <c r="I1009" s="5"/>
      <c r="J1009" s="10"/>
    </row>
    <row r="1010" spans="1:10" ht="15.75" customHeight="1">
      <c r="A1010" s="5"/>
      <c r="B1010" s="6"/>
      <c r="C1010" s="11"/>
      <c r="D1010" s="5"/>
      <c r="E1010" s="12"/>
      <c r="F1010" s="8"/>
      <c r="G1010" s="9">
        <v>0</v>
      </c>
      <c r="H1010" s="10"/>
      <c r="I1010" s="5"/>
      <c r="J1010" s="10"/>
    </row>
    <row r="1011" spans="1:10" ht="15.75" customHeight="1">
      <c r="A1011" s="5"/>
      <c r="B1011" s="6"/>
      <c r="C1011" s="11"/>
      <c r="D1011" s="5"/>
      <c r="E1011" s="12"/>
      <c r="F1011" s="8"/>
      <c r="G1011" s="9">
        <v>0</v>
      </c>
      <c r="H1011" s="10"/>
      <c r="I1011" s="5"/>
      <c r="J1011" s="10"/>
    </row>
    <row r="1012" spans="1:10" ht="15.75" customHeight="1">
      <c r="A1012" s="5"/>
      <c r="B1012" s="6"/>
      <c r="C1012" s="11"/>
      <c r="D1012" s="5"/>
      <c r="E1012" s="12"/>
      <c r="F1012" s="8"/>
      <c r="G1012" s="9">
        <v>0</v>
      </c>
      <c r="H1012" s="10"/>
      <c r="I1012" s="5"/>
      <c r="J1012" s="10"/>
    </row>
    <row r="1013" spans="1:10" ht="15.75" customHeight="1">
      <c r="A1013" s="5"/>
      <c r="B1013" s="6"/>
      <c r="C1013" s="11"/>
      <c r="D1013" s="5"/>
      <c r="E1013" s="12"/>
      <c r="F1013" s="8"/>
      <c r="G1013" s="9">
        <v>0</v>
      </c>
      <c r="H1013" s="10"/>
      <c r="I1013" s="5"/>
      <c r="J1013" s="10"/>
    </row>
    <row r="1014" spans="1:10" ht="15.75" customHeight="1">
      <c r="A1014" s="5"/>
      <c r="B1014" s="6"/>
      <c r="C1014" s="11"/>
      <c r="D1014" s="5"/>
      <c r="E1014" s="12"/>
      <c r="F1014" s="8"/>
      <c r="G1014" s="9">
        <v>0</v>
      </c>
      <c r="H1014" s="10"/>
      <c r="I1014" s="5"/>
      <c r="J1014" s="10"/>
    </row>
    <row r="1015" spans="1:10" ht="15.75" customHeight="1">
      <c r="A1015" s="5"/>
      <c r="B1015" s="6"/>
      <c r="C1015" s="11"/>
      <c r="D1015" s="5"/>
      <c r="E1015" s="12"/>
      <c r="F1015" s="8"/>
      <c r="G1015" s="9">
        <v>0</v>
      </c>
      <c r="H1015" s="10"/>
      <c r="I1015" s="5"/>
      <c r="J1015" s="10"/>
    </row>
    <row r="1016" spans="1:10" ht="15.75" customHeight="1">
      <c r="A1016" s="5"/>
      <c r="B1016" s="6"/>
      <c r="C1016" s="11"/>
      <c r="D1016" s="5"/>
      <c r="E1016" s="12"/>
      <c r="F1016" s="8"/>
      <c r="G1016" s="9">
        <v>0</v>
      </c>
      <c r="H1016" s="10"/>
      <c r="I1016" s="5"/>
      <c r="J1016" s="10"/>
    </row>
    <row r="1017" spans="1:10" ht="15.75" customHeight="1">
      <c r="A1017" s="5"/>
      <c r="B1017" s="6"/>
      <c r="C1017" s="11"/>
      <c r="D1017" s="5"/>
      <c r="E1017" s="12"/>
      <c r="F1017" s="8"/>
      <c r="G1017" s="9">
        <v>0</v>
      </c>
      <c r="H1017" s="10"/>
      <c r="I1017" s="5"/>
      <c r="J1017" s="10"/>
    </row>
    <row r="1018" spans="1:10" ht="15.75" customHeight="1">
      <c r="A1018" s="5"/>
      <c r="B1018" s="6"/>
      <c r="C1018" s="11"/>
      <c r="D1018" s="5"/>
      <c r="E1018" s="12"/>
      <c r="F1018" s="8"/>
      <c r="G1018" s="9">
        <v>0</v>
      </c>
      <c r="H1018" s="10"/>
      <c r="I1018" s="5"/>
      <c r="J1018" s="10"/>
    </row>
    <row r="1019" spans="1:10" ht="15.75" customHeight="1">
      <c r="A1019" s="5"/>
      <c r="B1019" s="6"/>
      <c r="C1019" s="11"/>
      <c r="D1019" s="5"/>
      <c r="E1019" s="12"/>
      <c r="F1019" s="8"/>
      <c r="G1019" s="9">
        <v>0</v>
      </c>
      <c r="H1019" s="10"/>
      <c r="I1019" s="5"/>
      <c r="J1019" s="10"/>
    </row>
    <row r="1020" spans="1:10" ht="15.75" customHeight="1">
      <c r="A1020" s="5"/>
      <c r="B1020" s="6"/>
      <c r="C1020" s="11"/>
      <c r="D1020" s="5"/>
      <c r="E1020" s="12"/>
      <c r="F1020" s="8"/>
      <c r="G1020" s="9">
        <v>0</v>
      </c>
      <c r="H1020" s="10"/>
      <c r="I1020" s="5"/>
      <c r="J1020" s="10"/>
    </row>
    <row r="1021" spans="1:10" ht="15.75" customHeight="1">
      <c r="A1021" s="5"/>
      <c r="B1021" s="6"/>
      <c r="C1021" s="11"/>
      <c r="D1021" s="5"/>
      <c r="E1021" s="12"/>
      <c r="F1021" s="8"/>
      <c r="G1021" s="9">
        <v>0</v>
      </c>
      <c r="H1021" s="10"/>
      <c r="I1021" s="5"/>
      <c r="J1021" s="10"/>
    </row>
    <row r="1022" spans="1:10" ht="15.75" customHeight="1">
      <c r="A1022" s="5"/>
      <c r="B1022" s="6"/>
      <c r="C1022" s="11"/>
      <c r="D1022" s="5"/>
      <c r="E1022" s="12"/>
      <c r="F1022" s="8"/>
      <c r="G1022" s="9">
        <v>0</v>
      </c>
      <c r="H1022" s="10"/>
      <c r="I1022" s="5"/>
      <c r="J1022" s="10"/>
    </row>
    <row r="1023" spans="1:10" ht="15.75" customHeight="1">
      <c r="A1023" s="5"/>
      <c r="B1023" s="6"/>
      <c r="C1023" s="11"/>
      <c r="D1023" s="5"/>
      <c r="E1023" s="12"/>
      <c r="F1023" s="8"/>
      <c r="G1023" s="9">
        <v>0</v>
      </c>
      <c r="H1023" s="10"/>
      <c r="I1023" s="5"/>
      <c r="J1023" s="10"/>
    </row>
    <row r="1024" spans="1:10" ht="15.75" customHeight="1">
      <c r="A1024" s="5"/>
      <c r="B1024" s="6"/>
      <c r="C1024" s="11"/>
      <c r="D1024" s="5"/>
      <c r="E1024" s="12"/>
      <c r="F1024" s="8"/>
      <c r="G1024" s="9">
        <v>0</v>
      </c>
      <c r="H1024" s="10"/>
      <c r="I1024" s="5"/>
      <c r="J1024" s="10"/>
    </row>
    <row r="1025" spans="1:10" ht="15.75" customHeight="1">
      <c r="A1025" s="5"/>
      <c r="B1025" s="6"/>
      <c r="C1025" s="11"/>
      <c r="D1025" s="5"/>
      <c r="E1025" s="12"/>
      <c r="F1025" s="8"/>
      <c r="G1025" s="9">
        <v>0</v>
      </c>
      <c r="H1025" s="10"/>
      <c r="I1025" s="5"/>
      <c r="J1025" s="10"/>
    </row>
    <row r="1026" spans="1:10" ht="15.75" customHeight="1">
      <c r="A1026" s="5"/>
      <c r="B1026" s="6"/>
      <c r="C1026" s="11"/>
      <c r="D1026" s="5"/>
      <c r="E1026" s="12"/>
      <c r="F1026" s="8"/>
      <c r="G1026" s="9">
        <v>0</v>
      </c>
      <c r="H1026" s="10"/>
      <c r="I1026" s="5"/>
      <c r="J1026" s="10"/>
    </row>
    <row r="1027" spans="1:10" ht="15.75" customHeight="1">
      <c r="A1027" s="5"/>
      <c r="B1027" s="6"/>
      <c r="C1027" s="11"/>
      <c r="D1027" s="5"/>
      <c r="E1027" s="12"/>
      <c r="F1027" s="8"/>
      <c r="G1027" s="9">
        <v>0</v>
      </c>
      <c r="H1027" s="10"/>
      <c r="I1027" s="5"/>
      <c r="J1027" s="10"/>
    </row>
    <row r="1028" spans="1:10" ht="15.75" customHeight="1">
      <c r="A1028" s="5"/>
      <c r="B1028" s="6"/>
      <c r="C1028" s="11"/>
      <c r="D1028" s="5"/>
      <c r="E1028" s="12"/>
      <c r="F1028" s="8"/>
      <c r="G1028" s="9">
        <v>0</v>
      </c>
      <c r="H1028" s="10"/>
      <c r="I1028" s="5"/>
      <c r="J1028" s="10"/>
    </row>
    <row r="1029" spans="1:10" ht="15.75" customHeight="1">
      <c r="A1029" s="5"/>
      <c r="B1029" s="6"/>
      <c r="C1029" s="11"/>
      <c r="D1029" s="5"/>
      <c r="E1029" s="12"/>
      <c r="F1029" s="8"/>
      <c r="G1029" s="9">
        <v>0</v>
      </c>
      <c r="H1029" s="10"/>
      <c r="I1029" s="5"/>
      <c r="J1029" s="10"/>
    </row>
    <row r="1030" spans="1:10" ht="15.75" customHeight="1">
      <c r="A1030" s="5"/>
      <c r="B1030" s="6"/>
      <c r="C1030" s="11"/>
      <c r="D1030" s="5"/>
      <c r="E1030" s="12"/>
      <c r="F1030" s="8"/>
      <c r="G1030" s="9">
        <v>0</v>
      </c>
      <c r="H1030" s="10"/>
      <c r="I1030" s="5"/>
      <c r="J1030" s="10"/>
    </row>
    <row r="1031" spans="1:10" ht="15.75" customHeight="1">
      <c r="A1031" s="5"/>
      <c r="B1031" s="6"/>
      <c r="C1031" s="11"/>
      <c r="D1031" s="5"/>
      <c r="E1031" s="12"/>
      <c r="F1031" s="8"/>
      <c r="G1031" s="9">
        <v>0</v>
      </c>
      <c r="H1031" s="10"/>
      <c r="I1031" s="5"/>
      <c r="J1031" s="10"/>
    </row>
    <row r="1032" spans="1:10" ht="15.75" customHeight="1">
      <c r="A1032" s="5"/>
      <c r="B1032" s="6"/>
      <c r="C1032" s="11"/>
      <c r="D1032" s="5"/>
      <c r="E1032" s="12"/>
      <c r="F1032" s="8"/>
      <c r="G1032" s="9">
        <v>0</v>
      </c>
      <c r="H1032" s="10"/>
      <c r="I1032" s="5"/>
      <c r="J1032" s="10"/>
    </row>
    <row r="1033" spans="1:10" ht="15.75" customHeight="1">
      <c r="A1033" s="5"/>
      <c r="B1033" s="6"/>
      <c r="C1033" s="11"/>
      <c r="D1033" s="5"/>
      <c r="E1033" s="12"/>
      <c r="F1033" s="8"/>
      <c r="G1033" s="9">
        <v>0</v>
      </c>
      <c r="H1033" s="10"/>
      <c r="I1033" s="5"/>
      <c r="J1033" s="10"/>
    </row>
    <row r="1034" spans="1:10" ht="15.75" customHeight="1">
      <c r="A1034" s="5"/>
      <c r="B1034" s="6"/>
      <c r="C1034" s="11"/>
      <c r="D1034" s="5"/>
      <c r="E1034" s="12"/>
      <c r="F1034" s="8"/>
      <c r="G1034" s="9">
        <v>0</v>
      </c>
      <c r="H1034" s="10"/>
      <c r="I1034" s="5"/>
      <c r="J1034" s="10"/>
    </row>
    <row r="1035" spans="1:10" ht="15.75" customHeight="1">
      <c r="A1035" s="5"/>
      <c r="B1035" s="6"/>
      <c r="C1035" s="11"/>
      <c r="D1035" s="5"/>
      <c r="E1035" s="12"/>
      <c r="F1035" s="8"/>
      <c r="G1035" s="9">
        <v>0</v>
      </c>
      <c r="H1035" s="10"/>
      <c r="I1035" s="5"/>
      <c r="J1035" s="10"/>
    </row>
    <row r="1036" spans="1:10" ht="15.75" customHeight="1">
      <c r="A1036" s="5"/>
      <c r="B1036" s="20"/>
      <c r="C1036" s="11"/>
      <c r="D1036" s="5"/>
      <c r="E1036" s="12"/>
      <c r="F1036" s="8"/>
      <c r="G1036" s="9">
        <v>0</v>
      </c>
      <c r="H1036" s="10"/>
      <c r="I1036" s="5"/>
      <c r="J1036" s="10"/>
    </row>
    <row r="1037" spans="1:10" ht="15.75" customHeight="1">
      <c r="A1037" s="5"/>
      <c r="B1037" s="20"/>
      <c r="C1037" s="11"/>
      <c r="D1037" s="5"/>
      <c r="E1037" s="12"/>
      <c r="F1037" s="8"/>
      <c r="G1037" s="9">
        <v>0</v>
      </c>
      <c r="H1037" s="10"/>
      <c r="I1037" s="5"/>
      <c r="J1037" s="10"/>
    </row>
    <row r="1038" spans="1:10" ht="15.75" customHeight="1">
      <c r="A1038" s="5"/>
      <c r="B1038" s="6"/>
      <c r="C1038" s="11"/>
      <c r="D1038" s="5"/>
      <c r="E1038" s="12"/>
      <c r="F1038" s="8"/>
      <c r="G1038" s="9">
        <v>0</v>
      </c>
      <c r="H1038" s="10"/>
      <c r="I1038" s="5"/>
      <c r="J1038" s="10"/>
    </row>
    <row r="1039" spans="1:10" ht="15.75" customHeight="1">
      <c r="A1039" s="5"/>
      <c r="B1039" s="6"/>
      <c r="C1039" s="11"/>
      <c r="D1039" s="5"/>
      <c r="E1039" s="12"/>
      <c r="F1039" s="8"/>
      <c r="G1039" s="9">
        <v>0</v>
      </c>
      <c r="H1039" s="10"/>
      <c r="I1039" s="5"/>
      <c r="J1039" s="10"/>
    </row>
    <row r="1040" spans="1:10" ht="15.75" customHeight="1">
      <c r="A1040" s="5"/>
      <c r="B1040" s="6"/>
      <c r="C1040" s="11"/>
      <c r="D1040" s="5"/>
      <c r="E1040" s="12"/>
      <c r="F1040" s="8"/>
      <c r="G1040" s="9">
        <v>0</v>
      </c>
      <c r="H1040" s="10"/>
      <c r="I1040" s="5"/>
      <c r="J1040" s="10"/>
    </row>
    <row r="1041" spans="1:10" ht="15.75" customHeight="1">
      <c r="A1041" s="5"/>
      <c r="B1041" s="6"/>
      <c r="C1041" s="11"/>
      <c r="D1041" s="5"/>
      <c r="E1041" s="12"/>
      <c r="F1041" s="8"/>
      <c r="G1041" s="9">
        <v>0</v>
      </c>
      <c r="H1041" s="10"/>
      <c r="I1041" s="5"/>
      <c r="J1041" s="10"/>
    </row>
    <row r="1042" spans="1:10" ht="15.75" customHeight="1">
      <c r="A1042" s="5"/>
      <c r="B1042" s="6"/>
      <c r="C1042" s="11"/>
      <c r="D1042" s="5"/>
      <c r="E1042" s="12"/>
      <c r="F1042" s="8"/>
      <c r="G1042" s="9">
        <v>0</v>
      </c>
      <c r="H1042" s="10"/>
      <c r="I1042" s="5"/>
      <c r="J1042" s="10"/>
    </row>
    <row r="1043" spans="1:10" ht="15.75" customHeight="1">
      <c r="A1043" s="5"/>
      <c r="B1043" s="6"/>
      <c r="C1043" s="11"/>
      <c r="D1043" s="5"/>
      <c r="E1043" s="12"/>
      <c r="F1043" s="8"/>
      <c r="G1043" s="9">
        <v>0</v>
      </c>
      <c r="H1043" s="10"/>
      <c r="I1043" s="5"/>
      <c r="J1043" s="10"/>
    </row>
    <row r="1044" spans="1:10" ht="15.75" customHeight="1">
      <c r="A1044" s="5"/>
      <c r="B1044" s="6"/>
      <c r="C1044" s="11"/>
      <c r="D1044" s="5"/>
      <c r="E1044" s="12"/>
      <c r="F1044" s="8"/>
      <c r="G1044" s="9">
        <v>0</v>
      </c>
      <c r="H1044" s="10"/>
      <c r="I1044" s="5"/>
      <c r="J1044" s="10"/>
    </row>
    <row r="1045" spans="1:10" ht="15.75" customHeight="1">
      <c r="A1045" s="5"/>
      <c r="B1045" s="6"/>
      <c r="C1045" s="11"/>
      <c r="D1045" s="5"/>
      <c r="E1045" s="12"/>
      <c r="F1045" s="8"/>
      <c r="G1045" s="9">
        <v>0</v>
      </c>
      <c r="H1045" s="10"/>
      <c r="I1045" s="5"/>
      <c r="J1045" s="10"/>
    </row>
    <row r="1046" spans="1:10" ht="15.75" customHeight="1">
      <c r="A1046" s="5"/>
      <c r="B1046" s="6"/>
      <c r="C1046" s="11"/>
      <c r="D1046" s="5"/>
      <c r="E1046" s="12"/>
      <c r="F1046" s="8"/>
      <c r="G1046" s="9">
        <v>0</v>
      </c>
      <c r="H1046" s="10"/>
      <c r="I1046" s="5"/>
      <c r="J1046" s="10"/>
    </row>
    <row r="1047" spans="1:10" ht="15.75" customHeight="1">
      <c r="A1047" s="5"/>
      <c r="B1047" s="6"/>
      <c r="C1047" s="11"/>
      <c r="D1047" s="5"/>
      <c r="E1047" s="12"/>
      <c r="F1047" s="8"/>
      <c r="G1047" s="9">
        <v>0</v>
      </c>
      <c r="H1047" s="10"/>
      <c r="I1047" s="5"/>
      <c r="J1047" s="10"/>
    </row>
    <row r="1048" spans="1:10" ht="15.75" customHeight="1">
      <c r="A1048" s="5"/>
      <c r="B1048" s="6"/>
      <c r="C1048" s="11"/>
      <c r="D1048" s="5"/>
      <c r="E1048" s="12"/>
      <c r="F1048" s="8"/>
      <c r="G1048" s="9">
        <v>0</v>
      </c>
      <c r="H1048" s="10"/>
      <c r="I1048" s="5"/>
      <c r="J1048" s="10"/>
    </row>
    <row r="1049" spans="1:10" ht="15.75" customHeight="1">
      <c r="A1049" s="5"/>
      <c r="B1049" s="6"/>
      <c r="C1049" s="11"/>
      <c r="D1049" s="5"/>
      <c r="E1049" s="12"/>
      <c r="F1049" s="8"/>
      <c r="G1049" s="9">
        <v>0</v>
      </c>
      <c r="H1049" s="10"/>
      <c r="I1049" s="5"/>
      <c r="J1049" s="10"/>
    </row>
    <row r="1050" spans="1:10" ht="15.75" customHeight="1">
      <c r="A1050" s="5"/>
      <c r="B1050" s="6"/>
      <c r="C1050" s="11"/>
      <c r="D1050" s="5"/>
      <c r="E1050" s="12"/>
      <c r="F1050" s="8"/>
      <c r="G1050" s="9">
        <v>0</v>
      </c>
      <c r="H1050" s="10"/>
      <c r="I1050" s="5"/>
      <c r="J1050" s="10"/>
    </row>
    <row r="1051" spans="1:10" ht="15.75" customHeight="1">
      <c r="A1051" s="5"/>
      <c r="B1051" s="6"/>
      <c r="C1051" s="11"/>
      <c r="D1051" s="5"/>
      <c r="E1051" s="12"/>
      <c r="F1051" s="8"/>
      <c r="G1051" s="9">
        <v>0</v>
      </c>
      <c r="H1051" s="10"/>
      <c r="I1051" s="5"/>
      <c r="J1051" s="10"/>
    </row>
    <row r="1052" spans="1:10" ht="15.75" customHeight="1">
      <c r="A1052" s="5"/>
      <c r="B1052" s="6"/>
      <c r="C1052" s="11"/>
      <c r="D1052" s="5"/>
      <c r="E1052" s="12"/>
      <c r="F1052" s="8"/>
      <c r="G1052" s="9">
        <v>0</v>
      </c>
      <c r="H1052" s="10"/>
      <c r="I1052" s="5"/>
      <c r="J1052" s="10"/>
    </row>
    <row r="1053" spans="1:10" ht="15.75" customHeight="1">
      <c r="A1053" s="5"/>
      <c r="B1053" s="6"/>
      <c r="C1053" s="11"/>
      <c r="D1053" s="5"/>
      <c r="E1053" s="12"/>
      <c r="F1053" s="8"/>
      <c r="G1053" s="9">
        <v>0</v>
      </c>
      <c r="H1053" s="10"/>
      <c r="I1053" s="5"/>
      <c r="J1053" s="10"/>
    </row>
    <row r="1054" spans="1:10" ht="15.75" customHeight="1">
      <c r="A1054" s="5"/>
      <c r="B1054" s="6"/>
      <c r="C1054" s="11"/>
      <c r="D1054" s="5"/>
      <c r="E1054" s="12"/>
      <c r="F1054" s="8"/>
      <c r="G1054" s="9">
        <v>0</v>
      </c>
      <c r="H1054" s="10"/>
      <c r="I1054" s="5"/>
      <c r="J1054" s="10"/>
    </row>
    <row r="1055" spans="1:10" ht="15.75" customHeight="1">
      <c r="A1055" s="5"/>
      <c r="B1055" s="6"/>
      <c r="C1055" s="11"/>
      <c r="D1055" s="5"/>
      <c r="E1055" s="12"/>
      <c r="F1055" s="8"/>
      <c r="G1055" s="9">
        <v>0</v>
      </c>
      <c r="H1055" s="10"/>
      <c r="I1055" s="5"/>
      <c r="J1055" s="10"/>
    </row>
    <row r="1056" spans="1:10" ht="15.75" customHeight="1">
      <c r="A1056" s="5"/>
      <c r="B1056" s="6"/>
      <c r="C1056" s="11"/>
      <c r="D1056" s="5"/>
      <c r="E1056" s="12"/>
      <c r="F1056" s="8"/>
      <c r="G1056" s="9">
        <v>0</v>
      </c>
      <c r="H1056" s="10"/>
      <c r="I1056" s="5"/>
      <c r="J1056" s="10"/>
    </row>
    <row r="1057" spans="1:10" ht="15.75" customHeight="1">
      <c r="A1057" s="5"/>
      <c r="B1057" s="6"/>
      <c r="C1057" s="11"/>
      <c r="D1057" s="5"/>
      <c r="E1057" s="12"/>
      <c r="F1057" s="8"/>
      <c r="G1057" s="9">
        <v>0</v>
      </c>
      <c r="H1057" s="10"/>
      <c r="I1057" s="5"/>
      <c r="J1057" s="10"/>
    </row>
    <row r="1058" spans="1:10" ht="15.75" customHeight="1">
      <c r="A1058" s="5"/>
      <c r="B1058" s="6"/>
      <c r="C1058" s="11"/>
      <c r="D1058" s="5"/>
      <c r="E1058" s="12"/>
      <c r="F1058" s="8"/>
      <c r="G1058" s="9">
        <v>0</v>
      </c>
      <c r="H1058" s="10"/>
      <c r="I1058" s="5"/>
      <c r="J1058" s="10"/>
    </row>
    <row r="1059" spans="1:10" ht="15.75" customHeight="1">
      <c r="A1059" s="5"/>
      <c r="B1059" s="6"/>
      <c r="C1059" s="11"/>
      <c r="D1059" s="5"/>
      <c r="E1059" s="12"/>
      <c r="F1059" s="8"/>
      <c r="G1059" s="9">
        <v>0</v>
      </c>
      <c r="H1059" s="10"/>
      <c r="I1059" s="5"/>
      <c r="J1059" s="10"/>
    </row>
    <row r="1060" spans="1:10" ht="15.75" customHeight="1">
      <c r="A1060" s="5"/>
      <c r="B1060" s="6"/>
      <c r="C1060" s="11"/>
      <c r="D1060" s="5"/>
      <c r="E1060" s="12"/>
      <c r="F1060" s="8"/>
      <c r="G1060" s="9">
        <v>0</v>
      </c>
      <c r="H1060" s="10"/>
      <c r="I1060" s="5"/>
      <c r="J1060" s="10"/>
    </row>
    <row r="1061" spans="1:10" ht="15.75" customHeight="1">
      <c r="A1061" s="5"/>
      <c r="B1061" s="6"/>
      <c r="C1061" s="11"/>
      <c r="D1061" s="5"/>
      <c r="E1061" s="12"/>
      <c r="F1061" s="8"/>
      <c r="G1061" s="9">
        <v>0</v>
      </c>
      <c r="H1061" s="10"/>
      <c r="I1061" s="5"/>
      <c r="J1061" s="10"/>
    </row>
    <row r="1062" spans="1:10" ht="15.75" customHeight="1">
      <c r="A1062" s="5"/>
      <c r="B1062" s="6"/>
      <c r="C1062" s="11"/>
      <c r="D1062" s="5"/>
      <c r="E1062" s="12"/>
      <c r="F1062" s="8"/>
      <c r="G1062" s="9">
        <v>0</v>
      </c>
      <c r="H1062" s="10"/>
      <c r="I1062" s="5"/>
      <c r="J1062" s="10"/>
    </row>
    <row r="1063" spans="1:10" ht="15.75" customHeight="1">
      <c r="A1063" s="5"/>
      <c r="B1063" s="6"/>
      <c r="C1063" s="11"/>
      <c r="D1063" s="5"/>
      <c r="E1063" s="12"/>
      <c r="F1063" s="8"/>
      <c r="G1063" s="9">
        <v>0</v>
      </c>
      <c r="H1063" s="10"/>
      <c r="I1063" s="5"/>
      <c r="J1063" s="10"/>
    </row>
    <row r="1064" spans="1:10" ht="15.75" customHeight="1">
      <c r="A1064" s="5"/>
      <c r="B1064" s="6"/>
      <c r="C1064" s="11"/>
      <c r="D1064" s="5"/>
      <c r="E1064" s="12"/>
      <c r="F1064" s="8"/>
      <c r="G1064" s="9">
        <v>0</v>
      </c>
      <c r="H1064" s="10"/>
      <c r="I1064" s="5"/>
      <c r="J1064" s="10"/>
    </row>
    <row r="1065" spans="1:10" ht="15.75" customHeight="1">
      <c r="A1065" s="5"/>
      <c r="B1065" s="6"/>
      <c r="C1065" s="11"/>
      <c r="D1065" s="5"/>
      <c r="E1065" s="12"/>
      <c r="F1065" s="8"/>
      <c r="G1065" s="9">
        <v>0</v>
      </c>
      <c r="H1065" s="10"/>
      <c r="I1065" s="5"/>
      <c r="J1065" s="10"/>
    </row>
    <row r="1066" spans="1:10" ht="15.75" customHeight="1">
      <c r="A1066" s="5"/>
      <c r="B1066" s="6"/>
      <c r="C1066" s="11"/>
      <c r="D1066" s="5"/>
      <c r="E1066" s="12"/>
      <c r="F1066" s="8"/>
      <c r="G1066" s="9">
        <v>0</v>
      </c>
      <c r="H1066" s="10"/>
      <c r="I1066" s="5"/>
      <c r="J1066" s="10"/>
    </row>
    <row r="1067" spans="1:10" ht="15.75" customHeight="1">
      <c r="A1067" s="5"/>
      <c r="B1067" s="6"/>
      <c r="C1067" s="11"/>
      <c r="D1067" s="5"/>
      <c r="E1067" s="12"/>
      <c r="F1067" s="8"/>
      <c r="G1067" s="9">
        <v>0</v>
      </c>
      <c r="H1067" s="10"/>
      <c r="I1067" s="5"/>
      <c r="J1067" s="10"/>
    </row>
    <row r="1068" spans="1:10" ht="15.75" customHeight="1">
      <c r="A1068" s="5"/>
      <c r="B1068" s="6"/>
      <c r="C1068" s="11"/>
      <c r="D1068" s="5"/>
      <c r="E1068" s="12"/>
      <c r="F1068" s="8"/>
      <c r="G1068" s="9">
        <v>0</v>
      </c>
      <c r="H1068" s="10"/>
      <c r="I1068" s="5"/>
      <c r="J1068" s="10"/>
    </row>
    <row r="1069" spans="1:10" ht="15.75" customHeight="1">
      <c r="A1069" s="5"/>
      <c r="B1069" s="6"/>
      <c r="C1069" s="11"/>
      <c r="D1069" s="5"/>
      <c r="E1069" s="12"/>
      <c r="F1069" s="8"/>
      <c r="G1069" s="9">
        <v>0</v>
      </c>
      <c r="H1069" s="10"/>
      <c r="I1069" s="5"/>
      <c r="J1069" s="10"/>
    </row>
    <row r="1070" spans="1:10" ht="15.75" customHeight="1">
      <c r="A1070" s="5"/>
      <c r="B1070" s="6"/>
      <c r="C1070" s="11"/>
      <c r="D1070" s="5"/>
      <c r="E1070" s="12"/>
      <c r="F1070" s="8"/>
      <c r="G1070" s="9">
        <v>0</v>
      </c>
      <c r="H1070" s="10"/>
      <c r="I1070" s="5"/>
      <c r="J1070" s="10"/>
    </row>
    <row r="1071" spans="1:10" ht="15.75" customHeight="1">
      <c r="A1071" s="5"/>
      <c r="B1071" s="6"/>
      <c r="C1071" s="11"/>
      <c r="D1071" s="5"/>
      <c r="E1071" s="12"/>
      <c r="F1071" s="8"/>
      <c r="G1071" s="9">
        <v>0</v>
      </c>
      <c r="H1071" s="10"/>
      <c r="I1071" s="5"/>
      <c r="J1071" s="10"/>
    </row>
    <row r="1072" spans="1:10" ht="15.75" customHeight="1">
      <c r="A1072" s="5"/>
      <c r="B1072" s="6"/>
      <c r="C1072" s="11"/>
      <c r="D1072" s="5"/>
      <c r="E1072" s="12"/>
      <c r="F1072" s="8"/>
      <c r="G1072" s="9">
        <v>0</v>
      </c>
      <c r="H1072" s="10"/>
      <c r="I1072" s="5"/>
      <c r="J1072" s="10"/>
    </row>
    <row r="1073" spans="1:10" ht="15.75" customHeight="1">
      <c r="A1073" s="5"/>
      <c r="B1073" s="6"/>
      <c r="C1073" s="11"/>
      <c r="D1073" s="5"/>
      <c r="E1073" s="12"/>
      <c r="F1073" s="8"/>
      <c r="G1073" s="9">
        <v>0</v>
      </c>
      <c r="H1073" s="10"/>
      <c r="I1073" s="5"/>
      <c r="J1073" s="10"/>
    </row>
    <row r="1074" spans="1:10" ht="15.75" customHeight="1">
      <c r="A1074" s="5"/>
      <c r="B1074" s="6"/>
      <c r="C1074" s="11"/>
      <c r="D1074" s="5"/>
      <c r="E1074" s="12"/>
      <c r="F1074" s="8"/>
      <c r="G1074" s="9">
        <v>0</v>
      </c>
      <c r="H1074" s="10"/>
      <c r="I1074" s="5"/>
      <c r="J1074" s="10"/>
    </row>
    <row r="1075" spans="1:10" ht="15.75" customHeight="1">
      <c r="A1075" s="5"/>
      <c r="B1075" s="6"/>
      <c r="C1075" s="11"/>
      <c r="D1075" s="5"/>
      <c r="E1075" s="12"/>
      <c r="F1075" s="8"/>
      <c r="G1075" s="9">
        <v>0</v>
      </c>
      <c r="H1075" s="10"/>
      <c r="I1075" s="5"/>
      <c r="J1075" s="10"/>
    </row>
    <row r="1076" spans="1:10" ht="15.75" customHeight="1">
      <c r="A1076" s="5"/>
      <c r="B1076" s="6"/>
      <c r="C1076" s="11"/>
      <c r="D1076" s="5"/>
      <c r="E1076" s="12"/>
      <c r="F1076" s="8"/>
      <c r="G1076" s="9">
        <v>0</v>
      </c>
      <c r="H1076" s="10"/>
      <c r="I1076" s="5"/>
      <c r="J1076" s="10"/>
    </row>
    <row r="1077" spans="1:10" ht="15.75" customHeight="1">
      <c r="A1077" s="5"/>
      <c r="B1077" s="6"/>
      <c r="C1077" s="11"/>
      <c r="D1077" s="5"/>
      <c r="E1077" s="12"/>
      <c r="F1077" s="8"/>
      <c r="G1077" s="9">
        <v>0</v>
      </c>
      <c r="H1077" s="10"/>
      <c r="I1077" s="5"/>
      <c r="J1077" s="10"/>
    </row>
    <row r="1078" spans="1:10" ht="15.75" customHeight="1">
      <c r="A1078" s="5"/>
      <c r="B1078" s="6"/>
      <c r="C1078" s="11"/>
      <c r="D1078" s="5"/>
      <c r="E1078" s="12"/>
      <c r="F1078" s="8"/>
      <c r="G1078" s="9">
        <v>0</v>
      </c>
      <c r="H1078" s="10"/>
      <c r="I1078" s="5"/>
      <c r="J1078" s="10"/>
    </row>
    <row r="1079" spans="1:10" ht="15.75" customHeight="1">
      <c r="A1079" s="5"/>
      <c r="B1079" s="6"/>
      <c r="C1079" s="11"/>
      <c r="D1079" s="5"/>
      <c r="E1079" s="12"/>
      <c r="F1079" s="8"/>
      <c r="G1079" s="9">
        <v>0</v>
      </c>
      <c r="H1079" s="10"/>
      <c r="I1079" s="5"/>
      <c r="J1079" s="10"/>
    </row>
    <row r="1080" spans="1:10" ht="15.75" customHeight="1">
      <c r="A1080" s="5"/>
      <c r="B1080" s="6"/>
      <c r="C1080" s="11"/>
      <c r="D1080" s="5"/>
      <c r="E1080" s="12"/>
      <c r="F1080" s="8"/>
      <c r="G1080" s="9">
        <v>0</v>
      </c>
      <c r="H1080" s="10"/>
      <c r="I1080" s="5"/>
      <c r="J1080" s="10"/>
    </row>
    <row r="1081" spans="1:10" ht="15.75" customHeight="1">
      <c r="A1081" s="5"/>
      <c r="B1081" s="6"/>
      <c r="C1081" s="11"/>
      <c r="D1081" s="5"/>
      <c r="E1081" s="12"/>
      <c r="F1081" s="8"/>
      <c r="G1081" s="9">
        <v>0</v>
      </c>
      <c r="H1081" s="10"/>
      <c r="I1081" s="5"/>
      <c r="J1081" s="10"/>
    </row>
    <row r="1082" spans="1:10" ht="15.75" customHeight="1">
      <c r="A1082" s="5"/>
      <c r="B1082" s="6"/>
      <c r="C1082" s="11"/>
      <c r="D1082" s="5"/>
      <c r="E1082" s="12"/>
      <c r="F1082" s="8"/>
      <c r="G1082" s="9">
        <v>0</v>
      </c>
      <c r="H1082" s="10"/>
      <c r="I1082" s="5"/>
      <c r="J1082" s="10"/>
    </row>
    <row r="1083" spans="1:10" ht="15.75" customHeight="1">
      <c r="A1083" s="5"/>
      <c r="B1083" s="6"/>
      <c r="C1083" s="11"/>
      <c r="D1083" s="5"/>
      <c r="E1083" s="12"/>
      <c r="F1083" s="8"/>
      <c r="G1083" s="9">
        <v>0</v>
      </c>
      <c r="H1083" s="10"/>
      <c r="I1083" s="5"/>
      <c r="J1083" s="10"/>
    </row>
    <row r="1084" spans="1:10" ht="15.75" customHeight="1">
      <c r="A1084" s="5"/>
      <c r="B1084" s="6"/>
      <c r="C1084" s="11"/>
      <c r="D1084" s="5"/>
      <c r="E1084" s="12"/>
      <c r="F1084" s="8"/>
      <c r="G1084" s="9">
        <v>0</v>
      </c>
      <c r="H1084" s="10"/>
      <c r="I1084" s="5"/>
      <c r="J1084" s="10"/>
    </row>
    <row r="1085" spans="1:10" ht="15.75" customHeight="1">
      <c r="A1085" s="5"/>
      <c r="B1085" s="6"/>
      <c r="C1085" s="11"/>
      <c r="D1085" s="5"/>
      <c r="E1085" s="12"/>
      <c r="F1085" s="8"/>
      <c r="G1085" s="9">
        <v>0</v>
      </c>
      <c r="H1085" s="10"/>
      <c r="I1085" s="5"/>
      <c r="J1085" s="10"/>
    </row>
    <row r="1086" spans="1:10" ht="15.75" customHeight="1">
      <c r="A1086" s="5"/>
      <c r="B1086" s="6"/>
      <c r="C1086" s="11"/>
      <c r="D1086" s="5"/>
      <c r="E1086" s="12"/>
      <c r="F1086" s="8"/>
      <c r="G1086" s="9">
        <v>0</v>
      </c>
      <c r="H1086" s="10"/>
      <c r="I1086" s="5"/>
      <c r="J1086" s="10"/>
    </row>
    <row r="1087" spans="1:10" ht="15.75" customHeight="1">
      <c r="A1087" s="5"/>
      <c r="B1087" s="6"/>
      <c r="C1087" s="11"/>
      <c r="D1087" s="5"/>
      <c r="E1087" s="12"/>
      <c r="F1087" s="8"/>
      <c r="G1087" s="9">
        <v>0</v>
      </c>
      <c r="H1087" s="10"/>
      <c r="I1087" s="5"/>
      <c r="J1087" s="10"/>
    </row>
    <row r="1088" spans="1:10" ht="15.75" customHeight="1">
      <c r="A1088" s="5"/>
      <c r="B1088" s="6"/>
      <c r="C1088" s="11"/>
      <c r="D1088" s="5"/>
      <c r="E1088" s="12"/>
      <c r="F1088" s="8"/>
      <c r="G1088" s="9">
        <v>0</v>
      </c>
      <c r="H1088" s="10"/>
      <c r="I1088" s="5"/>
      <c r="J1088" s="10"/>
    </row>
    <row r="1089" spans="1:10" ht="15.75" customHeight="1">
      <c r="A1089" s="5"/>
      <c r="B1089" s="6"/>
      <c r="C1089" s="11"/>
      <c r="D1089" s="5"/>
      <c r="E1089" s="12"/>
      <c r="F1089" s="8"/>
      <c r="G1089" s="9">
        <v>0</v>
      </c>
      <c r="H1089" s="10"/>
      <c r="I1089" s="5"/>
      <c r="J1089" s="10"/>
    </row>
    <row r="1090" spans="1:10" ht="15.75" customHeight="1">
      <c r="A1090" s="5"/>
      <c r="B1090" s="6"/>
      <c r="C1090" s="11"/>
      <c r="D1090" s="5"/>
      <c r="E1090" s="12"/>
      <c r="F1090" s="8"/>
      <c r="G1090" s="9">
        <v>0</v>
      </c>
      <c r="H1090" s="10"/>
      <c r="I1090" s="5"/>
      <c r="J1090" s="10"/>
    </row>
    <row r="1091" spans="1:10" ht="15.75" customHeight="1">
      <c r="A1091" s="5"/>
      <c r="B1091" s="6"/>
      <c r="C1091" s="11"/>
      <c r="D1091" s="5"/>
      <c r="E1091" s="12"/>
      <c r="F1091" s="8"/>
      <c r="G1091" s="9">
        <v>0</v>
      </c>
      <c r="H1091" s="10"/>
      <c r="I1091" s="5"/>
      <c r="J1091" s="10"/>
    </row>
    <row r="1092" spans="1:10" ht="15.75" customHeight="1">
      <c r="A1092" s="5"/>
      <c r="B1092" s="6"/>
      <c r="C1092" s="11"/>
      <c r="D1092" s="5"/>
      <c r="E1092" s="12"/>
      <c r="F1092" s="8"/>
      <c r="G1092" s="9">
        <v>0</v>
      </c>
      <c r="H1092" s="10"/>
      <c r="I1092" s="5"/>
      <c r="J1092" s="10"/>
    </row>
    <row r="1093" spans="1:10" ht="15.75" customHeight="1">
      <c r="A1093" s="5"/>
      <c r="B1093" s="6"/>
      <c r="C1093" s="11"/>
      <c r="D1093" s="5"/>
      <c r="E1093" s="12"/>
      <c r="F1093" s="8"/>
      <c r="G1093" s="9">
        <v>0</v>
      </c>
      <c r="H1093" s="10"/>
      <c r="I1093" s="5"/>
      <c r="J1093" s="10"/>
    </row>
    <row r="1094" spans="1:10" ht="15.75" customHeight="1">
      <c r="A1094" s="5"/>
      <c r="B1094" s="6"/>
      <c r="C1094" s="11"/>
      <c r="D1094" s="5"/>
      <c r="E1094" s="12"/>
      <c r="F1094" s="8"/>
      <c r="G1094" s="9">
        <v>0</v>
      </c>
      <c r="H1094" s="10"/>
      <c r="I1094" s="5"/>
      <c r="J1094" s="10"/>
    </row>
    <row r="1095" spans="1:10" ht="15.75" customHeight="1">
      <c r="A1095" s="5"/>
      <c r="B1095" s="6"/>
      <c r="C1095" s="11"/>
      <c r="D1095" s="5"/>
      <c r="E1095" s="12"/>
      <c r="F1095" s="8"/>
      <c r="G1095" s="9">
        <v>0</v>
      </c>
      <c r="H1095" s="10"/>
      <c r="I1095" s="5"/>
      <c r="J1095" s="10"/>
    </row>
    <row r="1096" spans="1:10" ht="15.75" customHeight="1">
      <c r="A1096" s="5"/>
      <c r="B1096" s="6"/>
      <c r="C1096" s="11"/>
      <c r="D1096" s="5"/>
      <c r="E1096" s="12"/>
      <c r="F1096" s="8"/>
      <c r="G1096" s="9">
        <v>0</v>
      </c>
      <c r="H1096" s="10"/>
      <c r="I1096" s="5"/>
      <c r="J1096" s="10"/>
    </row>
    <row r="1097" spans="1:10" ht="15.75" customHeight="1">
      <c r="A1097" s="5"/>
      <c r="B1097" s="6"/>
      <c r="C1097" s="11"/>
      <c r="D1097" s="5"/>
      <c r="E1097" s="12"/>
      <c r="F1097" s="8"/>
      <c r="G1097" s="9">
        <v>0</v>
      </c>
      <c r="H1097" s="10"/>
      <c r="I1097" s="5"/>
      <c r="J1097" s="10"/>
    </row>
    <row r="1098" spans="1:10" ht="15.75" customHeight="1">
      <c r="A1098" s="5"/>
      <c r="B1098" s="6"/>
      <c r="C1098" s="11"/>
      <c r="D1098" s="5"/>
      <c r="E1098" s="12"/>
      <c r="F1098" s="8"/>
      <c r="G1098" s="9">
        <v>0</v>
      </c>
      <c r="H1098" s="10"/>
      <c r="I1098" s="5"/>
      <c r="J1098" s="10"/>
    </row>
    <row r="1099" spans="1:10" ht="15.75" customHeight="1">
      <c r="A1099" s="5"/>
      <c r="B1099" s="6"/>
      <c r="C1099" s="11"/>
      <c r="D1099" s="5"/>
      <c r="E1099" s="12"/>
      <c r="F1099" s="8"/>
      <c r="G1099" s="9">
        <v>0</v>
      </c>
      <c r="H1099" s="10"/>
      <c r="I1099" s="5"/>
      <c r="J1099" s="10"/>
    </row>
    <row r="1100" spans="1:10" ht="15.75" customHeight="1">
      <c r="A1100" s="5"/>
      <c r="B1100" s="6"/>
      <c r="C1100" s="11"/>
      <c r="D1100" s="5"/>
      <c r="E1100" s="12"/>
      <c r="F1100" s="8"/>
      <c r="G1100" s="9">
        <v>0</v>
      </c>
      <c r="H1100" s="10"/>
      <c r="I1100" s="5"/>
      <c r="J1100" s="10"/>
    </row>
    <row r="1101" spans="1:10" ht="15.75" customHeight="1">
      <c r="A1101" s="5"/>
      <c r="B1101" s="6"/>
      <c r="C1101" s="11"/>
      <c r="D1101" s="5"/>
      <c r="E1101" s="12"/>
      <c r="F1101" s="8"/>
      <c r="G1101" s="9">
        <v>0</v>
      </c>
      <c r="H1101" s="10"/>
      <c r="I1101" s="5"/>
      <c r="J1101" s="10"/>
    </row>
    <row r="1102" spans="1:10" ht="15.75" customHeight="1">
      <c r="A1102" s="5"/>
      <c r="B1102" s="6"/>
      <c r="C1102" s="11"/>
      <c r="D1102" s="5"/>
      <c r="E1102" s="12"/>
      <c r="F1102" s="8"/>
      <c r="G1102" s="9">
        <v>0</v>
      </c>
      <c r="H1102" s="10"/>
      <c r="I1102" s="5"/>
      <c r="J1102" s="10"/>
    </row>
    <row r="1103" spans="1:10" ht="15.75" customHeight="1">
      <c r="A1103" s="5"/>
      <c r="B1103" s="6"/>
      <c r="C1103" s="11"/>
      <c r="D1103" s="5"/>
      <c r="E1103" s="12"/>
      <c r="F1103" s="8"/>
      <c r="G1103" s="9">
        <v>0</v>
      </c>
      <c r="H1103" s="10"/>
      <c r="I1103" s="5"/>
      <c r="J1103" s="10"/>
    </row>
    <row r="1104" spans="1:10" ht="15.75" customHeight="1">
      <c r="A1104" s="5"/>
      <c r="B1104" s="6"/>
      <c r="C1104" s="11"/>
      <c r="D1104" s="5"/>
      <c r="E1104" s="12"/>
      <c r="F1104" s="8"/>
      <c r="G1104" s="9">
        <v>0</v>
      </c>
      <c r="H1104" s="10"/>
      <c r="I1104" s="5"/>
      <c r="J1104" s="10"/>
    </row>
    <row r="1105" spans="1:10" ht="15.75" customHeight="1">
      <c r="A1105" s="5"/>
      <c r="B1105" s="6"/>
      <c r="C1105" s="11"/>
      <c r="D1105" s="5"/>
      <c r="E1105" s="12"/>
      <c r="F1105" s="8"/>
      <c r="G1105" s="9">
        <v>0</v>
      </c>
      <c r="H1105" s="10"/>
      <c r="I1105" s="5"/>
      <c r="J1105" s="10"/>
    </row>
    <row r="1106" spans="1:10" ht="15.75" customHeight="1">
      <c r="A1106" s="5"/>
      <c r="B1106" s="6"/>
      <c r="C1106" s="11"/>
      <c r="D1106" s="5"/>
      <c r="E1106" s="12"/>
      <c r="F1106" s="8"/>
      <c r="G1106" s="9">
        <v>0</v>
      </c>
      <c r="H1106" s="10"/>
      <c r="I1106" s="5"/>
      <c r="J1106" s="10"/>
    </row>
    <row r="1107" spans="1:10" ht="15.75" customHeight="1">
      <c r="A1107" s="5"/>
      <c r="B1107" s="6"/>
      <c r="C1107" s="11"/>
      <c r="D1107" s="5"/>
      <c r="E1107" s="12"/>
      <c r="F1107" s="8"/>
      <c r="G1107" s="9">
        <v>0</v>
      </c>
      <c r="H1107" s="10"/>
      <c r="I1107" s="5"/>
      <c r="J1107" s="10"/>
    </row>
    <row r="1108" spans="1:10" ht="15.75" customHeight="1">
      <c r="A1108" s="5"/>
      <c r="B1108" s="6"/>
      <c r="C1108" s="11"/>
      <c r="D1108" s="5"/>
      <c r="E1108" s="12"/>
      <c r="F1108" s="8"/>
      <c r="G1108" s="9">
        <v>0</v>
      </c>
      <c r="H1108" s="10"/>
      <c r="I1108" s="5"/>
      <c r="J1108" s="10"/>
    </row>
    <row r="1109" spans="1:10" ht="15.75" customHeight="1">
      <c r="A1109" s="5"/>
      <c r="B1109" s="6"/>
      <c r="C1109" s="11"/>
      <c r="D1109" s="5"/>
      <c r="E1109" s="12"/>
      <c r="F1109" s="8"/>
      <c r="G1109" s="9">
        <v>0</v>
      </c>
      <c r="H1109" s="10"/>
      <c r="I1109" s="5"/>
      <c r="J1109" s="10"/>
    </row>
    <row r="1110" spans="1:10" ht="15.75" customHeight="1">
      <c r="A1110" s="5"/>
      <c r="B1110" s="6"/>
      <c r="C1110" s="11"/>
      <c r="D1110" s="5"/>
      <c r="E1110" s="12"/>
      <c r="F1110" s="8"/>
      <c r="G1110" s="9">
        <v>0</v>
      </c>
      <c r="H1110" s="10"/>
      <c r="I1110" s="5"/>
      <c r="J1110" s="10"/>
    </row>
    <row r="1111" spans="1:10" ht="15.75" customHeight="1">
      <c r="A1111" s="5"/>
      <c r="B1111" s="6"/>
      <c r="C1111" s="11"/>
      <c r="D1111" s="5"/>
      <c r="E1111" s="12"/>
      <c r="F1111" s="8"/>
      <c r="G1111" s="9">
        <v>0</v>
      </c>
      <c r="H1111" s="10"/>
      <c r="I1111" s="5"/>
      <c r="J1111" s="10"/>
    </row>
    <row r="1112" spans="1:10" ht="15.75" customHeight="1">
      <c r="A1112" s="5"/>
      <c r="B1112" s="6"/>
      <c r="C1112" s="11"/>
      <c r="D1112" s="5"/>
      <c r="E1112" s="12"/>
      <c r="F1112" s="8"/>
      <c r="G1112" s="9">
        <v>0</v>
      </c>
      <c r="H1112" s="10"/>
      <c r="I1112" s="5"/>
      <c r="J1112" s="10"/>
    </row>
    <row r="1113" spans="1:10" ht="15.75" customHeight="1">
      <c r="A1113" s="5"/>
      <c r="B1113" s="6"/>
      <c r="C1113" s="11"/>
      <c r="D1113" s="5"/>
      <c r="E1113" s="12"/>
      <c r="F1113" s="8"/>
      <c r="G1113" s="9">
        <v>0</v>
      </c>
      <c r="H1113" s="10"/>
      <c r="I1113" s="5"/>
      <c r="J1113" s="10"/>
    </row>
    <row r="1114" spans="1:10" ht="15.75" customHeight="1">
      <c r="A1114" s="5"/>
      <c r="B1114" s="6"/>
      <c r="C1114" s="11"/>
      <c r="D1114" s="5"/>
      <c r="E1114" s="12"/>
      <c r="F1114" s="8"/>
      <c r="G1114" s="9">
        <v>0</v>
      </c>
      <c r="H1114" s="10"/>
      <c r="I1114" s="5"/>
      <c r="J1114" s="10"/>
    </row>
    <row r="1115" spans="1:10" ht="15.75" customHeight="1">
      <c r="A1115" s="5"/>
      <c r="B1115" s="6"/>
      <c r="C1115" s="11"/>
      <c r="D1115" s="5"/>
      <c r="E1115" s="12"/>
      <c r="F1115" s="8"/>
      <c r="G1115" s="9">
        <v>0</v>
      </c>
      <c r="H1115" s="10"/>
      <c r="I1115" s="5"/>
      <c r="J1115" s="10"/>
    </row>
    <row r="1116" spans="1:10" ht="15.75" customHeight="1">
      <c r="A1116" s="5"/>
      <c r="B1116" s="6"/>
      <c r="C1116" s="11"/>
      <c r="D1116" s="5"/>
      <c r="E1116" s="12"/>
      <c r="F1116" s="8"/>
      <c r="G1116" s="9">
        <v>0</v>
      </c>
      <c r="H1116" s="10"/>
      <c r="I1116" s="5"/>
      <c r="J1116" s="10"/>
    </row>
    <row r="1117" spans="1:10" ht="15.75" customHeight="1">
      <c r="A1117" s="5"/>
      <c r="B1117" s="6"/>
      <c r="C1117" s="11"/>
      <c r="D1117" s="5"/>
      <c r="E1117" s="12"/>
      <c r="F1117" s="8"/>
      <c r="G1117" s="9">
        <v>0</v>
      </c>
      <c r="H1117" s="10"/>
      <c r="I1117" s="5"/>
      <c r="J1117" s="10"/>
    </row>
    <row r="1118" spans="1:10" ht="15.75" customHeight="1">
      <c r="A1118" s="5"/>
      <c r="B1118" s="6"/>
      <c r="C1118" s="11"/>
      <c r="D1118" s="5"/>
      <c r="E1118" s="12"/>
      <c r="F1118" s="8"/>
      <c r="G1118" s="9">
        <v>0</v>
      </c>
      <c r="H1118" s="10"/>
      <c r="I1118" s="5"/>
      <c r="J1118" s="10"/>
    </row>
    <row r="1119" spans="1:10" ht="15.75" customHeight="1">
      <c r="A1119" s="5"/>
      <c r="B1119" s="6"/>
      <c r="C1119" s="11"/>
      <c r="D1119" s="5"/>
      <c r="E1119" s="12"/>
      <c r="F1119" s="8"/>
      <c r="G1119" s="9">
        <v>0</v>
      </c>
      <c r="H1119" s="10"/>
      <c r="I1119" s="5"/>
      <c r="J1119" s="10"/>
    </row>
    <row r="1120" spans="1:10" ht="15.75" customHeight="1">
      <c r="A1120" s="5"/>
      <c r="B1120" s="6"/>
      <c r="C1120" s="11"/>
      <c r="D1120" s="5"/>
      <c r="E1120" s="12"/>
      <c r="F1120" s="8"/>
      <c r="G1120" s="9">
        <v>0</v>
      </c>
      <c r="H1120" s="10"/>
      <c r="I1120" s="5"/>
      <c r="J1120" s="10"/>
    </row>
    <row r="1121" spans="1:10" ht="15.75" customHeight="1">
      <c r="A1121" s="5"/>
      <c r="B1121" s="6"/>
      <c r="C1121" s="11"/>
      <c r="D1121" s="5"/>
      <c r="E1121" s="12"/>
      <c r="F1121" s="8"/>
      <c r="G1121" s="9">
        <v>0</v>
      </c>
      <c r="H1121" s="10"/>
      <c r="I1121" s="5"/>
      <c r="J1121" s="10"/>
    </row>
    <row r="1122" spans="1:10" ht="15.75" customHeight="1">
      <c r="A1122" s="5"/>
      <c r="B1122" s="6"/>
      <c r="C1122" s="11"/>
      <c r="D1122" s="5"/>
      <c r="E1122" s="12"/>
      <c r="F1122" s="8"/>
      <c r="G1122" s="9">
        <v>0</v>
      </c>
      <c r="H1122" s="10"/>
      <c r="I1122" s="5"/>
      <c r="J1122" s="10"/>
    </row>
    <row r="1123" spans="1:10" ht="15.75" customHeight="1">
      <c r="A1123" s="5"/>
      <c r="B1123" s="6"/>
      <c r="C1123" s="11"/>
      <c r="D1123" s="5"/>
      <c r="E1123" s="12"/>
      <c r="F1123" s="8"/>
      <c r="G1123" s="9">
        <v>0</v>
      </c>
      <c r="H1123" s="10"/>
      <c r="I1123" s="5"/>
      <c r="J1123" s="10"/>
    </row>
    <row r="1124" spans="1:10" ht="15.75" customHeight="1">
      <c r="A1124" s="5"/>
      <c r="B1124" s="6"/>
      <c r="C1124" s="11"/>
      <c r="D1124" s="5"/>
      <c r="E1124" s="12"/>
      <c r="F1124" s="8"/>
      <c r="G1124" s="9">
        <v>0</v>
      </c>
      <c r="H1124" s="10"/>
      <c r="I1124" s="5"/>
      <c r="J1124" s="10"/>
    </row>
    <row r="1125" spans="1:10" ht="15.75" customHeight="1">
      <c r="A1125" s="5"/>
      <c r="B1125" s="6"/>
      <c r="C1125" s="11"/>
      <c r="D1125" s="5"/>
      <c r="E1125" s="12"/>
      <c r="F1125" s="8"/>
      <c r="G1125" s="9">
        <v>0</v>
      </c>
      <c r="H1125" s="10"/>
      <c r="I1125" s="5"/>
      <c r="J1125" s="10"/>
    </row>
    <row r="1126" spans="1:10" ht="15.75" customHeight="1">
      <c r="A1126" s="5"/>
      <c r="B1126" s="6"/>
      <c r="C1126" s="11"/>
      <c r="D1126" s="5"/>
      <c r="E1126" s="12"/>
      <c r="F1126" s="8"/>
      <c r="G1126" s="9">
        <v>0</v>
      </c>
      <c r="H1126" s="10"/>
      <c r="I1126" s="5"/>
      <c r="J1126" s="10"/>
    </row>
    <row r="1127" spans="1:10" ht="15.75" customHeight="1">
      <c r="A1127" s="5"/>
      <c r="B1127" s="6"/>
      <c r="C1127" s="11"/>
      <c r="D1127" s="5"/>
      <c r="E1127" s="12"/>
      <c r="F1127" s="8"/>
      <c r="G1127" s="9">
        <v>0</v>
      </c>
      <c r="H1127" s="10"/>
      <c r="I1127" s="5"/>
      <c r="J1127" s="10"/>
    </row>
    <row r="1128" spans="1:10" ht="15.75" customHeight="1">
      <c r="A1128" s="5"/>
      <c r="B1128" s="6"/>
      <c r="C1128" s="11"/>
      <c r="D1128" s="5"/>
      <c r="E1128" s="12"/>
      <c r="F1128" s="8"/>
      <c r="G1128" s="9">
        <v>0</v>
      </c>
      <c r="H1128" s="10"/>
      <c r="I1128" s="5"/>
      <c r="J1128" s="10"/>
    </row>
    <row r="1129" spans="1:10" ht="15.75" customHeight="1">
      <c r="A1129" s="5"/>
      <c r="B1129" s="6"/>
      <c r="C1129" s="11"/>
      <c r="D1129" s="5"/>
      <c r="E1129" s="12"/>
      <c r="F1129" s="8"/>
      <c r="G1129" s="9">
        <v>0</v>
      </c>
      <c r="H1129" s="10"/>
      <c r="I1129" s="5"/>
      <c r="J1129" s="10"/>
    </row>
    <row r="1130" spans="1:10" ht="15.75" customHeight="1">
      <c r="A1130" s="5"/>
      <c r="B1130" s="6"/>
      <c r="C1130" s="11"/>
      <c r="D1130" s="5"/>
      <c r="E1130" s="12"/>
      <c r="F1130" s="8"/>
      <c r="G1130" s="9">
        <v>0</v>
      </c>
      <c r="H1130" s="10"/>
      <c r="I1130" s="5"/>
      <c r="J1130" s="10"/>
    </row>
    <row r="1131" spans="1:10" ht="15.75" customHeight="1">
      <c r="A1131" s="5"/>
      <c r="B1131" s="6"/>
      <c r="C1131" s="11"/>
      <c r="D1131" s="5"/>
      <c r="E1131" s="12"/>
      <c r="F1131" s="8"/>
      <c r="G1131" s="9">
        <v>0</v>
      </c>
      <c r="H1131" s="10"/>
      <c r="I1131" s="5"/>
      <c r="J1131" s="10"/>
    </row>
    <row r="1132" spans="1:10" ht="15.75" customHeight="1">
      <c r="A1132" s="5"/>
      <c r="B1132" s="6"/>
      <c r="C1132" s="11"/>
      <c r="D1132" s="5"/>
      <c r="E1132" s="12"/>
      <c r="F1132" s="8"/>
      <c r="G1132" s="9">
        <v>0</v>
      </c>
      <c r="H1132" s="10"/>
      <c r="I1132" s="5"/>
      <c r="J1132" s="10"/>
    </row>
    <row r="1133" spans="1:10" ht="15.75" customHeight="1">
      <c r="A1133" s="5"/>
      <c r="B1133" s="6"/>
      <c r="C1133" s="11"/>
      <c r="D1133" s="5"/>
      <c r="E1133" s="12"/>
      <c r="F1133" s="8"/>
      <c r="G1133" s="9">
        <v>0</v>
      </c>
      <c r="H1133" s="10"/>
      <c r="I1133" s="5"/>
      <c r="J1133" s="10"/>
    </row>
    <row r="1134" spans="1:10" ht="15.75" customHeight="1">
      <c r="A1134" s="5"/>
      <c r="B1134" s="6"/>
      <c r="C1134" s="11"/>
      <c r="D1134" s="5"/>
      <c r="E1134" s="12"/>
      <c r="F1134" s="8"/>
      <c r="G1134" s="9">
        <v>0</v>
      </c>
      <c r="H1134" s="10"/>
      <c r="I1134" s="5"/>
      <c r="J1134" s="10"/>
    </row>
    <row r="1135" spans="1:10" ht="15.75" customHeight="1">
      <c r="A1135" s="5"/>
      <c r="B1135" s="6"/>
      <c r="C1135" s="11"/>
      <c r="D1135" s="5"/>
      <c r="E1135" s="12"/>
      <c r="F1135" s="8"/>
      <c r="G1135" s="9">
        <v>0</v>
      </c>
      <c r="H1135" s="10"/>
      <c r="I1135" s="5"/>
      <c r="J1135" s="10"/>
    </row>
    <row r="1136" spans="1:10" ht="15.75" customHeight="1">
      <c r="A1136" s="5"/>
      <c r="B1136" s="6"/>
      <c r="C1136" s="11"/>
      <c r="D1136" s="5"/>
      <c r="E1136" s="12"/>
      <c r="F1136" s="8"/>
      <c r="G1136" s="9">
        <v>0</v>
      </c>
      <c r="H1136" s="10"/>
      <c r="I1136" s="5"/>
      <c r="J1136" s="10"/>
    </row>
    <row r="1137" spans="1:10" ht="15.75" customHeight="1">
      <c r="A1137" s="5"/>
      <c r="B1137" s="6"/>
      <c r="C1137" s="11"/>
      <c r="D1137" s="5"/>
      <c r="E1137" s="12"/>
      <c r="F1137" s="8"/>
      <c r="G1137" s="9">
        <v>0</v>
      </c>
      <c r="H1137" s="10"/>
      <c r="I1137" s="5"/>
      <c r="J1137" s="10"/>
    </row>
    <row r="1138" spans="1:10" ht="15.75" customHeight="1">
      <c r="A1138" s="5"/>
      <c r="B1138" s="6"/>
      <c r="C1138" s="11"/>
      <c r="D1138" s="5"/>
      <c r="E1138" s="12"/>
      <c r="F1138" s="8"/>
      <c r="G1138" s="9">
        <v>0</v>
      </c>
      <c r="H1138" s="10"/>
      <c r="I1138" s="5"/>
      <c r="J1138" s="10"/>
    </row>
    <row r="1139" spans="1:10" ht="15.75" customHeight="1">
      <c r="A1139" s="5"/>
      <c r="B1139" s="6"/>
      <c r="C1139" s="11"/>
      <c r="D1139" s="5"/>
      <c r="E1139" s="12"/>
      <c r="F1139" s="8"/>
      <c r="G1139" s="9">
        <v>0</v>
      </c>
      <c r="H1139" s="10"/>
      <c r="I1139" s="5"/>
      <c r="J1139" s="10"/>
    </row>
    <row r="1140" spans="1:10" ht="15.75" customHeight="1">
      <c r="A1140" s="5"/>
      <c r="B1140" s="6"/>
      <c r="C1140" s="11"/>
      <c r="D1140" s="5"/>
      <c r="E1140" s="12"/>
      <c r="F1140" s="8"/>
      <c r="G1140" s="9">
        <v>0</v>
      </c>
      <c r="H1140" s="10"/>
      <c r="I1140" s="5"/>
      <c r="J1140" s="10"/>
    </row>
    <row r="1141" spans="1:10" ht="15.75" customHeight="1">
      <c r="A1141" s="5"/>
      <c r="B1141" s="6"/>
      <c r="C1141" s="11"/>
      <c r="D1141" s="5"/>
      <c r="E1141" s="12"/>
      <c r="F1141" s="8"/>
      <c r="G1141" s="9">
        <v>0</v>
      </c>
      <c r="H1141" s="10"/>
      <c r="I1141" s="5"/>
      <c r="J1141" s="10"/>
    </row>
    <row r="1142" spans="1:10" ht="15.75" customHeight="1">
      <c r="A1142" s="5"/>
      <c r="B1142" s="6"/>
      <c r="C1142" s="11"/>
      <c r="D1142" s="5"/>
      <c r="E1142" s="12"/>
      <c r="F1142" s="8"/>
      <c r="G1142" s="9">
        <v>0</v>
      </c>
      <c r="H1142" s="10"/>
      <c r="I1142" s="5"/>
      <c r="J1142" s="10"/>
    </row>
    <row r="1143" spans="1:10" ht="15.75" customHeight="1">
      <c r="A1143" s="5"/>
      <c r="B1143" s="6"/>
      <c r="C1143" s="11"/>
      <c r="D1143" s="5"/>
      <c r="E1143" s="12"/>
      <c r="F1143" s="8"/>
      <c r="G1143" s="9">
        <v>0</v>
      </c>
      <c r="H1143" s="10"/>
      <c r="I1143" s="5"/>
      <c r="J1143" s="10"/>
    </row>
    <row r="1144" spans="1:10" ht="15.75" customHeight="1">
      <c r="A1144" s="5"/>
      <c r="B1144" s="6"/>
      <c r="C1144" s="11"/>
      <c r="D1144" s="5"/>
      <c r="E1144" s="12"/>
      <c r="F1144" s="8"/>
      <c r="G1144" s="9">
        <v>0</v>
      </c>
      <c r="H1144" s="10"/>
      <c r="I1144" s="5"/>
      <c r="J1144" s="10"/>
    </row>
    <row r="1145" spans="1:10" ht="15.75" customHeight="1">
      <c r="A1145" s="5"/>
      <c r="B1145" s="6"/>
      <c r="C1145" s="11"/>
      <c r="D1145" s="5"/>
      <c r="E1145" s="12"/>
      <c r="F1145" s="8"/>
      <c r="G1145" s="9">
        <v>0</v>
      </c>
      <c r="H1145" s="10"/>
      <c r="I1145" s="5"/>
      <c r="J1145" s="10"/>
    </row>
    <row r="1146" spans="1:10" ht="15.75" customHeight="1">
      <c r="A1146" s="5"/>
      <c r="B1146" s="6"/>
      <c r="C1146" s="11"/>
      <c r="D1146" s="5"/>
      <c r="E1146" s="12"/>
      <c r="F1146" s="8"/>
      <c r="G1146" s="9">
        <v>0</v>
      </c>
      <c r="H1146" s="10"/>
      <c r="I1146" s="5"/>
      <c r="J1146" s="10"/>
    </row>
    <row r="1147" spans="1:10" ht="15.75" customHeight="1">
      <c r="A1147" s="5"/>
      <c r="B1147" s="6"/>
      <c r="C1147" s="11"/>
      <c r="D1147" s="5"/>
      <c r="E1147" s="12"/>
      <c r="F1147" s="8"/>
      <c r="G1147" s="9">
        <v>0</v>
      </c>
      <c r="H1147" s="10"/>
      <c r="I1147" s="5"/>
      <c r="J1147" s="10"/>
    </row>
    <row r="1148" spans="1:10" ht="15.75" customHeight="1">
      <c r="A1148" s="5"/>
      <c r="B1148" s="6"/>
      <c r="C1148" s="11"/>
      <c r="D1148" s="5"/>
      <c r="E1148" s="12"/>
      <c r="F1148" s="8"/>
      <c r="G1148" s="9">
        <v>0</v>
      </c>
      <c r="H1148" s="10"/>
      <c r="I1148" s="5"/>
      <c r="J1148" s="10"/>
    </row>
    <row r="1149" spans="1:10" ht="15.75" customHeight="1">
      <c r="A1149" s="5"/>
      <c r="B1149" s="6"/>
      <c r="C1149" s="11"/>
      <c r="D1149" s="5"/>
      <c r="E1149" s="12"/>
      <c r="F1149" s="8"/>
      <c r="G1149" s="9">
        <v>0</v>
      </c>
      <c r="H1149" s="10"/>
      <c r="I1149" s="5"/>
      <c r="J1149" s="10"/>
    </row>
    <row r="1150" spans="1:10" ht="15.75" customHeight="1">
      <c r="A1150" s="5"/>
      <c r="B1150" s="6"/>
      <c r="C1150" s="11"/>
      <c r="D1150" s="5"/>
      <c r="E1150" s="12"/>
      <c r="F1150" s="8"/>
      <c r="G1150" s="9">
        <v>0</v>
      </c>
      <c r="H1150" s="10"/>
      <c r="I1150" s="5"/>
      <c r="J1150" s="10"/>
    </row>
    <row r="1151" spans="1:10" ht="15.75" customHeight="1">
      <c r="A1151" s="5"/>
      <c r="B1151" s="6"/>
      <c r="C1151" s="11"/>
      <c r="D1151" s="5"/>
      <c r="E1151" s="12"/>
      <c r="F1151" s="8"/>
      <c r="G1151" s="9">
        <v>0</v>
      </c>
      <c r="H1151" s="10"/>
      <c r="I1151" s="5"/>
      <c r="J1151" s="10"/>
    </row>
    <row r="1152" spans="1:10" ht="15.75" customHeight="1">
      <c r="A1152" s="5"/>
      <c r="B1152" s="6"/>
      <c r="C1152" s="11"/>
      <c r="D1152" s="5"/>
      <c r="E1152" s="12"/>
      <c r="F1152" s="8"/>
      <c r="G1152" s="9">
        <v>0</v>
      </c>
      <c r="H1152" s="10"/>
      <c r="I1152" s="5"/>
      <c r="J1152" s="10"/>
    </row>
    <row r="1153" spans="1:10" ht="15.75" customHeight="1">
      <c r="A1153" s="5"/>
      <c r="B1153" s="6"/>
      <c r="C1153" s="11"/>
      <c r="D1153" s="5"/>
      <c r="E1153" s="12"/>
      <c r="F1153" s="8"/>
      <c r="G1153" s="9">
        <v>0</v>
      </c>
      <c r="H1153" s="10"/>
      <c r="I1153" s="5"/>
      <c r="J1153" s="10"/>
    </row>
    <row r="1154" spans="1:10" ht="15.75" customHeight="1">
      <c r="A1154" s="5"/>
      <c r="B1154" s="6"/>
      <c r="C1154" s="11"/>
      <c r="D1154" s="5"/>
      <c r="E1154" s="12"/>
      <c r="F1154" s="8"/>
      <c r="G1154" s="9">
        <v>0</v>
      </c>
      <c r="H1154" s="10"/>
      <c r="I1154" s="5"/>
      <c r="J1154" s="10"/>
    </row>
    <row r="1155" spans="1:10" ht="15.75" customHeight="1">
      <c r="A1155" s="5"/>
      <c r="B1155" s="6"/>
      <c r="C1155" s="11"/>
      <c r="D1155" s="5"/>
      <c r="E1155" s="12"/>
      <c r="F1155" s="8"/>
      <c r="G1155" s="9">
        <v>0</v>
      </c>
      <c r="H1155" s="10"/>
      <c r="I1155" s="5"/>
      <c r="J1155" s="10"/>
    </row>
    <row r="1156" spans="1:10" ht="15.75" customHeight="1">
      <c r="A1156" s="5"/>
      <c r="B1156" s="6"/>
      <c r="C1156" s="11"/>
      <c r="D1156" s="5"/>
      <c r="E1156" s="12"/>
      <c r="F1156" s="8"/>
      <c r="G1156" s="9">
        <v>0</v>
      </c>
      <c r="H1156" s="10"/>
      <c r="I1156" s="5"/>
      <c r="J1156" s="10"/>
    </row>
    <row r="1157" spans="1:10" ht="15.75" customHeight="1">
      <c r="A1157" s="5"/>
      <c r="B1157" s="6"/>
      <c r="C1157" s="11"/>
      <c r="D1157" s="5"/>
      <c r="E1157" s="12"/>
      <c r="F1157" s="8"/>
      <c r="G1157" s="9">
        <v>0</v>
      </c>
      <c r="H1157" s="10"/>
      <c r="I1157" s="5"/>
      <c r="J1157" s="10"/>
    </row>
    <row r="1158" spans="1:10" ht="15.75" customHeight="1">
      <c r="A1158" s="5"/>
      <c r="B1158" s="6"/>
      <c r="C1158" s="11"/>
      <c r="D1158" s="5"/>
      <c r="E1158" s="12"/>
      <c r="F1158" s="8"/>
      <c r="G1158" s="9">
        <v>0</v>
      </c>
      <c r="H1158" s="10"/>
      <c r="I1158" s="5"/>
      <c r="J1158" s="10"/>
    </row>
    <row r="1159" spans="1:10" ht="15.75" customHeight="1">
      <c r="A1159" s="5"/>
      <c r="B1159" s="6"/>
      <c r="C1159" s="11"/>
      <c r="D1159" s="5"/>
      <c r="E1159" s="12"/>
      <c r="F1159" s="8"/>
      <c r="G1159" s="9">
        <v>0</v>
      </c>
      <c r="H1159" s="10"/>
      <c r="I1159" s="5"/>
      <c r="J1159" s="10"/>
    </row>
    <row r="1160" spans="1:10" ht="15.75" customHeight="1">
      <c r="A1160" s="5"/>
      <c r="B1160" s="6"/>
      <c r="C1160" s="11"/>
      <c r="D1160" s="5"/>
      <c r="E1160" s="12"/>
      <c r="F1160" s="8"/>
      <c r="G1160" s="9">
        <v>0</v>
      </c>
      <c r="H1160" s="10"/>
      <c r="I1160" s="5"/>
      <c r="J1160" s="10"/>
    </row>
    <row r="1161" spans="1:10" ht="15.75" customHeight="1">
      <c r="A1161" s="5"/>
      <c r="B1161" s="6"/>
      <c r="C1161" s="11"/>
      <c r="D1161" s="5"/>
      <c r="E1161" s="12"/>
      <c r="F1161" s="8"/>
      <c r="G1161" s="9">
        <v>0</v>
      </c>
      <c r="H1161" s="10"/>
      <c r="I1161" s="5"/>
      <c r="J1161" s="10"/>
    </row>
    <row r="1162" spans="1:10" ht="15.75" customHeight="1">
      <c r="A1162" s="5"/>
      <c r="B1162" s="6"/>
      <c r="C1162" s="11"/>
      <c r="D1162" s="5"/>
      <c r="E1162" s="12"/>
      <c r="F1162" s="8"/>
      <c r="G1162" s="9">
        <v>0</v>
      </c>
      <c r="H1162" s="10"/>
      <c r="I1162" s="5"/>
      <c r="J1162" s="10"/>
    </row>
    <row r="1163" spans="1:10" ht="15.75" customHeight="1">
      <c r="A1163" s="5"/>
      <c r="B1163" s="6"/>
      <c r="C1163" s="11"/>
      <c r="D1163" s="5"/>
      <c r="E1163" s="12"/>
      <c r="F1163" s="8"/>
      <c r="G1163" s="9">
        <v>0</v>
      </c>
      <c r="H1163" s="10"/>
      <c r="I1163" s="5"/>
      <c r="J1163" s="10"/>
    </row>
    <row r="1164" spans="1:10" ht="15.75" customHeight="1">
      <c r="A1164" s="5"/>
      <c r="B1164" s="6"/>
      <c r="C1164" s="11"/>
      <c r="D1164" s="5"/>
      <c r="E1164" s="12"/>
      <c r="F1164" s="8"/>
      <c r="G1164" s="9">
        <v>0</v>
      </c>
      <c r="H1164" s="10"/>
      <c r="I1164" s="5"/>
      <c r="J1164" s="10"/>
    </row>
    <row r="1165" spans="1:10" ht="15.75" customHeight="1">
      <c r="A1165" s="5"/>
      <c r="B1165" s="6"/>
      <c r="C1165" s="11"/>
      <c r="D1165" s="5"/>
      <c r="E1165" s="12"/>
      <c r="F1165" s="8"/>
      <c r="G1165" s="9">
        <v>0</v>
      </c>
      <c r="H1165" s="10"/>
      <c r="I1165" s="5"/>
      <c r="J1165" s="10"/>
    </row>
    <row r="1166" spans="1:10" ht="15.75" customHeight="1">
      <c r="A1166" s="5"/>
      <c r="B1166" s="6"/>
      <c r="C1166" s="11"/>
      <c r="D1166" s="5"/>
      <c r="E1166" s="12"/>
      <c r="F1166" s="8"/>
      <c r="G1166" s="9">
        <v>0</v>
      </c>
      <c r="H1166" s="10"/>
      <c r="I1166" s="5"/>
      <c r="J1166" s="10"/>
    </row>
    <row r="1167" spans="1:10" ht="15.75" customHeight="1">
      <c r="A1167" s="5"/>
      <c r="B1167" s="6"/>
      <c r="C1167" s="11"/>
      <c r="D1167" s="5"/>
      <c r="E1167" s="12"/>
      <c r="F1167" s="8"/>
      <c r="G1167" s="9">
        <v>0</v>
      </c>
      <c r="H1167" s="10"/>
      <c r="I1167" s="5"/>
      <c r="J1167" s="10"/>
    </row>
    <row r="1168" spans="1:10" ht="15.75" customHeight="1">
      <c r="A1168" s="5"/>
      <c r="B1168" s="6"/>
      <c r="C1168" s="11"/>
      <c r="D1168" s="5"/>
      <c r="E1168" s="12"/>
      <c r="F1168" s="8"/>
      <c r="G1168" s="9">
        <v>0</v>
      </c>
      <c r="H1168" s="10"/>
      <c r="I1168" s="5"/>
      <c r="J1168" s="10"/>
    </row>
    <row r="1169" spans="1:10" ht="15.75" customHeight="1">
      <c r="A1169" s="5"/>
      <c r="B1169" s="6"/>
      <c r="C1169" s="11"/>
      <c r="D1169" s="5"/>
      <c r="E1169" s="12"/>
      <c r="F1169" s="8"/>
      <c r="G1169" s="9">
        <v>0</v>
      </c>
      <c r="H1169" s="10"/>
      <c r="I1169" s="5"/>
      <c r="J1169" s="10"/>
    </row>
    <row r="1170" spans="1:10" ht="15.75" customHeight="1">
      <c r="A1170" s="5"/>
      <c r="B1170" s="6"/>
      <c r="C1170" s="11"/>
      <c r="D1170" s="5"/>
      <c r="E1170" s="12"/>
      <c r="F1170" s="8"/>
      <c r="G1170" s="9">
        <v>0</v>
      </c>
      <c r="H1170" s="10"/>
      <c r="I1170" s="5"/>
      <c r="J1170" s="10"/>
    </row>
    <row r="1171" spans="1:10" ht="15.75" customHeight="1">
      <c r="A1171" s="5"/>
      <c r="B1171" s="6"/>
      <c r="C1171" s="11"/>
      <c r="D1171" s="5"/>
      <c r="E1171" s="12"/>
      <c r="F1171" s="8"/>
      <c r="G1171" s="9">
        <v>0</v>
      </c>
      <c r="H1171" s="10"/>
      <c r="I1171" s="5"/>
      <c r="J1171" s="10"/>
    </row>
    <row r="1172" spans="1:10" ht="15.75" customHeight="1">
      <c r="A1172" s="5"/>
      <c r="B1172" s="6"/>
      <c r="C1172" s="11"/>
      <c r="D1172" s="5"/>
      <c r="E1172" s="12"/>
      <c r="F1172" s="8"/>
      <c r="G1172" s="9">
        <v>0</v>
      </c>
      <c r="H1172" s="10"/>
      <c r="I1172" s="5"/>
      <c r="J1172" s="10"/>
    </row>
    <row r="1173" spans="1:10" ht="15.75" customHeight="1">
      <c r="A1173" s="5"/>
      <c r="B1173" s="6"/>
      <c r="C1173" s="11"/>
      <c r="D1173" s="5"/>
      <c r="E1173" s="12"/>
      <c r="F1173" s="8"/>
      <c r="G1173" s="9">
        <v>0</v>
      </c>
      <c r="H1173" s="10"/>
      <c r="I1173" s="5"/>
      <c r="J1173" s="10"/>
    </row>
    <row r="1174" spans="1:10" ht="15.75" customHeight="1">
      <c r="A1174" s="5"/>
      <c r="B1174" s="6"/>
      <c r="C1174" s="11"/>
      <c r="D1174" s="5"/>
      <c r="E1174" s="12"/>
      <c r="F1174" s="21"/>
      <c r="G1174" s="9">
        <v>0</v>
      </c>
      <c r="H1174" s="10"/>
      <c r="I1174" s="5"/>
      <c r="J1174" s="10"/>
    </row>
    <row r="1175" spans="1:10" ht="15.75" customHeight="1">
      <c r="A1175" s="5"/>
      <c r="B1175" s="6"/>
      <c r="C1175" s="11"/>
      <c r="D1175" s="5"/>
      <c r="E1175" s="12"/>
      <c r="F1175" s="21"/>
      <c r="G1175" s="9">
        <v>0</v>
      </c>
      <c r="H1175" s="10"/>
      <c r="I1175" s="5"/>
      <c r="J1175" s="10"/>
    </row>
    <row r="1176" spans="1:10" ht="15.75" customHeight="1">
      <c r="A1176" s="5"/>
      <c r="B1176" s="6"/>
      <c r="C1176" s="11"/>
      <c r="D1176" s="5"/>
      <c r="E1176" s="12"/>
      <c r="F1176" s="8"/>
      <c r="G1176" s="9">
        <v>0</v>
      </c>
      <c r="H1176" s="10"/>
      <c r="I1176" s="5"/>
      <c r="J1176" s="10"/>
    </row>
    <row r="1177" spans="1:10" ht="15.75" customHeight="1">
      <c r="A1177" s="5"/>
      <c r="B1177" s="6"/>
      <c r="C1177" s="11"/>
      <c r="D1177" s="5"/>
      <c r="E1177" s="12"/>
      <c r="F1177" s="8"/>
      <c r="G1177" s="9">
        <v>0</v>
      </c>
      <c r="H1177" s="10"/>
      <c r="I1177" s="5"/>
      <c r="J1177" s="10"/>
    </row>
    <row r="1178" spans="1:10" ht="15.75" customHeight="1">
      <c r="A1178" s="5"/>
      <c r="B1178" s="6"/>
      <c r="C1178" s="11"/>
      <c r="D1178" s="5"/>
      <c r="E1178" s="12"/>
      <c r="F1178" s="8"/>
      <c r="G1178" s="9">
        <v>0</v>
      </c>
      <c r="H1178" s="10"/>
      <c r="I1178" s="5"/>
      <c r="J1178" s="10"/>
    </row>
    <row r="1179" spans="1:10" ht="15.75" customHeight="1">
      <c r="A1179" s="5"/>
      <c r="B1179" s="6"/>
      <c r="C1179" s="11"/>
      <c r="D1179" s="5"/>
      <c r="E1179" s="12"/>
      <c r="F1179" s="8"/>
      <c r="G1179" s="9">
        <v>0</v>
      </c>
      <c r="H1179" s="10"/>
      <c r="I1179" s="5"/>
      <c r="J1179" s="10"/>
    </row>
    <row r="1180" spans="1:10" ht="15.75" customHeight="1">
      <c r="A1180" s="5"/>
      <c r="B1180" s="6"/>
      <c r="C1180" s="11"/>
      <c r="D1180" s="5"/>
      <c r="E1180" s="12"/>
      <c r="F1180" s="8"/>
      <c r="G1180" s="9">
        <v>0</v>
      </c>
      <c r="H1180" s="10"/>
      <c r="I1180" s="5"/>
      <c r="J1180" s="10"/>
    </row>
    <row r="1181" spans="1:10" ht="15.75" customHeight="1">
      <c r="A1181" s="5"/>
      <c r="B1181" s="6"/>
      <c r="C1181" s="11"/>
      <c r="D1181" s="5"/>
      <c r="E1181" s="12"/>
      <c r="F1181" s="8"/>
      <c r="G1181" s="9">
        <v>0</v>
      </c>
      <c r="H1181" s="10"/>
      <c r="I1181" s="5"/>
      <c r="J1181" s="10"/>
    </row>
    <row r="1182" spans="1:10" ht="15.75" customHeight="1">
      <c r="A1182" s="5"/>
      <c r="B1182" s="6"/>
      <c r="C1182" s="11"/>
      <c r="D1182" s="5"/>
      <c r="E1182" s="12"/>
      <c r="F1182" s="8"/>
      <c r="G1182" s="9">
        <v>0</v>
      </c>
      <c r="H1182" s="10"/>
      <c r="I1182" s="5"/>
      <c r="J1182" s="10"/>
    </row>
    <row r="1183" spans="1:10" ht="15.75" customHeight="1">
      <c r="A1183" s="5"/>
      <c r="B1183" s="6"/>
      <c r="C1183" s="11"/>
      <c r="D1183" s="5"/>
      <c r="E1183" s="12"/>
      <c r="F1183" s="8"/>
      <c r="G1183" s="9">
        <v>0</v>
      </c>
      <c r="H1183" s="10"/>
      <c r="I1183" s="5"/>
      <c r="J1183" s="10"/>
    </row>
    <row r="1184" spans="1:10" ht="15.75" customHeight="1">
      <c r="A1184" s="5"/>
      <c r="B1184" s="6"/>
      <c r="C1184" s="11"/>
      <c r="D1184" s="5"/>
      <c r="E1184" s="12"/>
      <c r="F1184" s="8"/>
      <c r="G1184" s="9">
        <v>0</v>
      </c>
      <c r="H1184" s="10"/>
      <c r="I1184" s="5"/>
      <c r="J1184" s="10"/>
    </row>
    <row r="1185" spans="1:10" ht="15.75" customHeight="1">
      <c r="A1185" s="5"/>
      <c r="B1185" s="6"/>
      <c r="C1185" s="11"/>
      <c r="D1185" s="5"/>
      <c r="E1185" s="12"/>
      <c r="F1185" s="8"/>
      <c r="G1185" s="9">
        <v>0</v>
      </c>
      <c r="H1185" s="10"/>
      <c r="I1185" s="5"/>
      <c r="J1185" s="10"/>
    </row>
    <row r="1186" spans="1:10" ht="15.75" customHeight="1">
      <c r="A1186" s="5"/>
      <c r="B1186" s="6"/>
      <c r="C1186" s="11"/>
      <c r="D1186" s="5"/>
      <c r="E1186" s="12"/>
      <c r="F1186" s="8"/>
      <c r="G1186" s="9">
        <v>0</v>
      </c>
      <c r="H1186" s="10"/>
      <c r="I1186" s="5"/>
      <c r="J1186" s="10"/>
    </row>
    <row r="1187" spans="1:10" ht="15.75" customHeight="1">
      <c r="A1187" s="5"/>
      <c r="B1187" s="6"/>
      <c r="C1187" s="11"/>
      <c r="D1187" s="5"/>
      <c r="E1187" s="12"/>
      <c r="F1187" s="8"/>
      <c r="G1187" s="9">
        <v>0</v>
      </c>
      <c r="H1187" s="10"/>
      <c r="I1187" s="5"/>
      <c r="J1187" s="10"/>
    </row>
    <row r="1188" spans="1:10" ht="15.75" customHeight="1">
      <c r="A1188" s="5"/>
      <c r="B1188" s="6"/>
      <c r="C1188" s="11"/>
      <c r="D1188" s="5"/>
      <c r="E1188" s="12"/>
      <c r="F1188" s="8"/>
      <c r="G1188" s="9">
        <v>0</v>
      </c>
      <c r="H1188" s="10"/>
      <c r="I1188" s="5"/>
      <c r="J1188" s="10"/>
    </row>
    <row r="1189" spans="1:10" ht="15.75" customHeight="1">
      <c r="A1189" s="5"/>
      <c r="B1189" s="6"/>
      <c r="C1189" s="11"/>
      <c r="D1189" s="5"/>
      <c r="E1189" s="12"/>
      <c r="F1189" s="8"/>
      <c r="G1189" s="9">
        <v>0</v>
      </c>
      <c r="H1189" s="10"/>
      <c r="I1189" s="5"/>
      <c r="J1189" s="10"/>
    </row>
    <row r="1190" spans="1:10" ht="15.75" customHeight="1">
      <c r="A1190" s="5"/>
      <c r="B1190" s="6"/>
      <c r="C1190" s="11"/>
      <c r="D1190" s="5"/>
      <c r="E1190" s="12"/>
      <c r="F1190" s="8"/>
      <c r="G1190" s="9">
        <v>0</v>
      </c>
      <c r="H1190" s="10"/>
      <c r="I1190" s="5"/>
      <c r="J1190" s="10"/>
    </row>
    <row r="1191" spans="1:10" ht="15.75" customHeight="1">
      <c r="A1191" s="5"/>
      <c r="B1191" s="6"/>
      <c r="C1191" s="11"/>
      <c r="D1191" s="5"/>
      <c r="E1191" s="12"/>
      <c r="F1191" s="8"/>
      <c r="G1191" s="9">
        <v>0</v>
      </c>
      <c r="H1191" s="10"/>
      <c r="I1191" s="5"/>
      <c r="J1191" s="10"/>
    </row>
    <row r="1192" spans="1:10" ht="15.75" customHeight="1">
      <c r="A1192" s="5"/>
      <c r="B1192" s="6"/>
      <c r="C1192" s="11"/>
      <c r="D1192" s="5"/>
      <c r="E1192" s="12"/>
      <c r="F1192" s="8"/>
      <c r="G1192" s="9">
        <v>0</v>
      </c>
      <c r="H1192" s="10"/>
      <c r="I1192" s="5"/>
      <c r="J1192" s="10"/>
    </row>
    <row r="1193" spans="1:10" ht="15.75" customHeight="1">
      <c r="A1193" s="5"/>
      <c r="B1193" s="6"/>
      <c r="C1193" s="11"/>
      <c r="D1193" s="5"/>
      <c r="E1193" s="12"/>
      <c r="F1193" s="8"/>
      <c r="G1193" s="9">
        <v>0</v>
      </c>
      <c r="H1193" s="10"/>
      <c r="I1193" s="5"/>
      <c r="J1193" s="10"/>
    </row>
    <row r="1194" spans="1:10" ht="15.75" customHeight="1">
      <c r="A1194" s="5"/>
      <c r="B1194" s="6"/>
      <c r="C1194" s="11"/>
      <c r="D1194" s="5"/>
      <c r="E1194" s="12"/>
      <c r="F1194" s="8"/>
      <c r="G1194" s="9">
        <v>0</v>
      </c>
      <c r="H1194" s="10"/>
      <c r="I1194" s="5"/>
      <c r="J1194" s="10"/>
    </row>
    <row r="1195" spans="1:10" ht="15.75" customHeight="1">
      <c r="A1195" s="5"/>
      <c r="B1195" s="6"/>
      <c r="C1195" s="11"/>
      <c r="D1195" s="5"/>
      <c r="E1195" s="12"/>
      <c r="F1195" s="8"/>
      <c r="G1195" s="9">
        <v>0</v>
      </c>
      <c r="H1195" s="10"/>
      <c r="I1195" s="5"/>
      <c r="J1195" s="10"/>
    </row>
    <row r="1196" spans="1:10" ht="15.75" customHeight="1">
      <c r="A1196" s="5"/>
      <c r="B1196" s="6"/>
      <c r="C1196" s="11"/>
      <c r="D1196" s="5"/>
      <c r="E1196" s="12"/>
      <c r="F1196" s="8"/>
      <c r="G1196" s="9">
        <v>0</v>
      </c>
      <c r="H1196" s="10"/>
      <c r="I1196" s="5"/>
      <c r="J1196" s="10"/>
    </row>
    <row r="1197" spans="1:10" ht="15.75" customHeight="1">
      <c r="A1197" s="5"/>
      <c r="B1197" s="6"/>
      <c r="C1197" s="11"/>
      <c r="D1197" s="5"/>
      <c r="E1197" s="12"/>
      <c r="F1197" s="8"/>
      <c r="G1197" s="9">
        <v>0</v>
      </c>
      <c r="H1197" s="10"/>
      <c r="I1197" s="5"/>
      <c r="J1197" s="10"/>
    </row>
    <row r="1198" spans="1:10" ht="15.75" customHeight="1">
      <c r="A1198" s="5"/>
      <c r="B1198" s="6"/>
      <c r="C1198" s="11"/>
      <c r="D1198" s="5"/>
      <c r="E1198" s="12"/>
      <c r="F1198" s="8"/>
      <c r="G1198" s="9">
        <v>0</v>
      </c>
      <c r="H1198" s="10"/>
      <c r="I1198" s="5"/>
      <c r="J1198" s="10"/>
    </row>
    <row r="1199" spans="1:10" ht="15.75" customHeight="1">
      <c r="A1199" s="5"/>
      <c r="B1199" s="6"/>
      <c r="C1199" s="11"/>
      <c r="D1199" s="5"/>
      <c r="E1199" s="12"/>
      <c r="F1199" s="8"/>
      <c r="G1199" s="9">
        <v>0</v>
      </c>
      <c r="H1199" s="10"/>
      <c r="I1199" s="5"/>
      <c r="J1199" s="10"/>
    </row>
    <row r="1200" spans="1:10" ht="15.75" customHeight="1">
      <c r="A1200" s="5"/>
      <c r="B1200" s="6"/>
      <c r="C1200" s="11"/>
      <c r="D1200" s="5"/>
      <c r="E1200" s="12"/>
      <c r="F1200" s="8"/>
      <c r="G1200" s="9">
        <v>0</v>
      </c>
      <c r="H1200" s="10"/>
      <c r="I1200" s="5"/>
      <c r="J1200" s="10"/>
    </row>
    <row r="1201" spans="1:10" ht="15.75" customHeight="1">
      <c r="A1201" s="5"/>
      <c r="B1201" s="6"/>
      <c r="C1201" s="11"/>
      <c r="D1201" s="5"/>
      <c r="E1201" s="12"/>
      <c r="F1201" s="8"/>
      <c r="G1201" s="9">
        <v>0</v>
      </c>
      <c r="H1201" s="10"/>
      <c r="I1201" s="5"/>
      <c r="J1201" s="10"/>
    </row>
    <row r="1202" spans="1:10" ht="15.75" customHeight="1">
      <c r="A1202" s="5"/>
      <c r="B1202" s="6"/>
      <c r="C1202" s="11"/>
      <c r="D1202" s="5"/>
      <c r="E1202" s="12"/>
      <c r="F1202" s="8"/>
      <c r="G1202" s="9">
        <v>0</v>
      </c>
      <c r="H1202" s="10"/>
      <c r="I1202" s="5"/>
      <c r="J1202" s="10"/>
    </row>
    <row r="1203" spans="1:10" ht="15.75" customHeight="1">
      <c r="A1203" s="5"/>
      <c r="B1203" s="6"/>
      <c r="C1203" s="11"/>
      <c r="D1203" s="5"/>
      <c r="E1203" s="12"/>
      <c r="F1203" s="8"/>
      <c r="G1203" s="9">
        <v>0</v>
      </c>
      <c r="H1203" s="10"/>
      <c r="I1203" s="5"/>
      <c r="J1203" s="10"/>
    </row>
    <row r="1204" spans="1:10" ht="15.75" customHeight="1">
      <c r="A1204" s="5"/>
      <c r="B1204" s="6"/>
      <c r="C1204" s="11"/>
      <c r="D1204" s="5"/>
      <c r="E1204" s="12"/>
      <c r="F1204" s="8"/>
      <c r="G1204" s="9">
        <v>0</v>
      </c>
      <c r="H1204" s="10"/>
      <c r="I1204" s="5"/>
      <c r="J1204" s="10"/>
    </row>
    <row r="1205" spans="1:10" ht="15.75" customHeight="1">
      <c r="A1205" s="5"/>
      <c r="B1205" s="6"/>
      <c r="C1205" s="11"/>
      <c r="D1205" s="5"/>
      <c r="E1205" s="12"/>
      <c r="F1205" s="8"/>
      <c r="G1205" s="9">
        <v>0</v>
      </c>
      <c r="H1205" s="10"/>
      <c r="I1205" s="5"/>
      <c r="J1205" s="10"/>
    </row>
    <row r="1206" spans="1:10" ht="15.75" customHeight="1">
      <c r="A1206" s="5"/>
      <c r="B1206" s="6"/>
      <c r="C1206" s="11"/>
      <c r="D1206" s="5"/>
      <c r="E1206" s="12"/>
      <c r="F1206" s="8"/>
      <c r="G1206" s="9">
        <v>0</v>
      </c>
      <c r="H1206" s="10"/>
      <c r="I1206" s="5"/>
      <c r="J1206" s="10"/>
    </row>
    <row r="1207" spans="1:10" ht="15.75" customHeight="1">
      <c r="A1207" s="5"/>
      <c r="B1207" s="6"/>
      <c r="C1207" s="11"/>
      <c r="D1207" s="5"/>
      <c r="E1207" s="12"/>
      <c r="F1207" s="8"/>
      <c r="G1207" s="9">
        <v>0</v>
      </c>
      <c r="H1207" s="10"/>
      <c r="I1207" s="5"/>
      <c r="J1207" s="10"/>
    </row>
    <row r="1208" spans="1:10" ht="15.75" customHeight="1">
      <c r="A1208" s="5"/>
      <c r="B1208" s="6"/>
      <c r="C1208" s="11"/>
      <c r="D1208" s="5"/>
      <c r="E1208" s="12"/>
      <c r="F1208" s="8"/>
      <c r="G1208" s="9">
        <v>0</v>
      </c>
      <c r="H1208" s="10"/>
      <c r="I1208" s="5"/>
      <c r="J1208" s="10"/>
    </row>
    <row r="1209" spans="1:10" ht="15.75" customHeight="1">
      <c r="A1209" s="5"/>
      <c r="B1209" s="6"/>
      <c r="C1209" s="11"/>
      <c r="D1209" s="5"/>
      <c r="E1209" s="12"/>
      <c r="F1209" s="8"/>
      <c r="G1209" s="9">
        <v>0</v>
      </c>
      <c r="H1209" s="10"/>
      <c r="I1209" s="5"/>
      <c r="J1209" s="10"/>
    </row>
    <row r="1210" spans="1:10" ht="15.75" customHeight="1">
      <c r="A1210" s="5"/>
      <c r="B1210" s="6"/>
      <c r="C1210" s="11"/>
      <c r="D1210" s="5"/>
      <c r="E1210" s="12"/>
      <c r="F1210" s="8"/>
      <c r="G1210" s="9">
        <v>0</v>
      </c>
      <c r="H1210" s="10"/>
      <c r="I1210" s="5"/>
      <c r="J1210" s="10"/>
    </row>
    <row r="1211" spans="1:10" ht="15.75" customHeight="1">
      <c r="A1211" s="5"/>
      <c r="B1211" s="6"/>
      <c r="C1211" s="11"/>
      <c r="D1211" s="5"/>
      <c r="E1211" s="12"/>
      <c r="F1211" s="8"/>
      <c r="G1211" s="9">
        <v>0</v>
      </c>
      <c r="H1211" s="10"/>
      <c r="I1211" s="5"/>
      <c r="J1211" s="10"/>
    </row>
    <row r="1212" spans="1:10" ht="15.75" customHeight="1">
      <c r="A1212" s="5"/>
      <c r="B1212" s="6"/>
      <c r="C1212" s="11"/>
      <c r="D1212" s="5"/>
      <c r="E1212" s="12"/>
      <c r="F1212" s="8"/>
      <c r="G1212" s="9">
        <v>0</v>
      </c>
      <c r="H1212" s="10"/>
      <c r="I1212" s="5"/>
      <c r="J1212" s="10"/>
    </row>
    <row r="1213" spans="1:10" ht="15.75" customHeight="1">
      <c r="A1213" s="5"/>
      <c r="B1213" s="6"/>
      <c r="C1213" s="11"/>
      <c r="D1213" s="5"/>
      <c r="E1213" s="12"/>
      <c r="F1213" s="8"/>
      <c r="G1213" s="9">
        <v>0</v>
      </c>
      <c r="H1213" s="10"/>
      <c r="I1213" s="5"/>
      <c r="J1213" s="10"/>
    </row>
    <row r="1214" spans="1:10" ht="15.75" customHeight="1">
      <c r="A1214" s="5"/>
      <c r="B1214" s="6"/>
      <c r="C1214" s="11"/>
      <c r="D1214" s="5"/>
      <c r="E1214" s="12"/>
      <c r="F1214" s="8"/>
      <c r="G1214" s="9">
        <v>0</v>
      </c>
      <c r="H1214" s="10"/>
      <c r="I1214" s="5"/>
      <c r="J1214" s="10"/>
    </row>
    <row r="1215" spans="1:10" ht="15.75" customHeight="1">
      <c r="A1215" s="5"/>
      <c r="B1215" s="6"/>
      <c r="C1215" s="11"/>
      <c r="D1215" s="5"/>
      <c r="E1215" s="12"/>
      <c r="F1215" s="8"/>
      <c r="G1215" s="9">
        <v>0</v>
      </c>
      <c r="H1215" s="10"/>
      <c r="I1215" s="5"/>
      <c r="J1215" s="10"/>
    </row>
    <row r="1216" spans="1:10" ht="15.75" customHeight="1">
      <c r="A1216" s="5"/>
      <c r="B1216" s="6"/>
      <c r="C1216" s="11"/>
      <c r="D1216" s="5"/>
      <c r="E1216" s="12"/>
      <c r="F1216" s="8"/>
      <c r="G1216" s="9">
        <v>0</v>
      </c>
      <c r="H1216" s="10"/>
      <c r="I1216" s="5"/>
      <c r="J1216" s="10"/>
    </row>
    <row r="1217" spans="1:10" ht="15.75" customHeight="1">
      <c r="A1217" s="5"/>
      <c r="B1217" s="6"/>
      <c r="C1217" s="11"/>
      <c r="D1217" s="5"/>
      <c r="E1217" s="12"/>
      <c r="F1217" s="8"/>
      <c r="G1217" s="9">
        <v>0</v>
      </c>
      <c r="H1217" s="10"/>
      <c r="I1217" s="5"/>
      <c r="J1217" s="10"/>
    </row>
    <row r="1218" spans="1:10" ht="15.75" customHeight="1">
      <c r="A1218" s="5"/>
      <c r="B1218" s="6"/>
      <c r="C1218" s="11"/>
      <c r="D1218" s="5"/>
      <c r="E1218" s="12"/>
      <c r="F1218" s="8"/>
      <c r="G1218" s="9">
        <v>0</v>
      </c>
      <c r="H1218" s="10"/>
      <c r="I1218" s="5"/>
      <c r="J1218" s="10"/>
    </row>
    <row r="1219" spans="1:10" ht="15.75" customHeight="1">
      <c r="A1219" s="5"/>
      <c r="B1219" s="6"/>
      <c r="C1219" s="11"/>
      <c r="D1219" s="5"/>
      <c r="E1219" s="12"/>
      <c r="F1219" s="8"/>
      <c r="G1219" s="9">
        <v>0</v>
      </c>
      <c r="H1219" s="10"/>
      <c r="I1219" s="5"/>
      <c r="J1219" s="10"/>
    </row>
    <row r="1220" spans="1:10" ht="15.75" customHeight="1">
      <c r="A1220" s="5"/>
      <c r="B1220" s="6"/>
      <c r="C1220" s="11"/>
      <c r="D1220" s="5"/>
      <c r="E1220" s="12"/>
      <c r="F1220" s="8"/>
      <c r="G1220" s="9">
        <v>0</v>
      </c>
      <c r="H1220" s="10"/>
      <c r="I1220" s="5"/>
      <c r="J1220" s="10"/>
    </row>
    <row r="1221" spans="1:10" ht="15.75" customHeight="1">
      <c r="A1221" s="5"/>
      <c r="B1221" s="6"/>
      <c r="C1221" s="11"/>
      <c r="D1221" s="5"/>
      <c r="E1221" s="12"/>
      <c r="F1221" s="8"/>
      <c r="G1221" s="9">
        <v>0</v>
      </c>
      <c r="H1221" s="10"/>
      <c r="I1221" s="5"/>
      <c r="J1221" s="10"/>
    </row>
    <row r="1222" spans="1:10" ht="15.75" customHeight="1">
      <c r="A1222" s="5"/>
      <c r="B1222" s="6"/>
      <c r="C1222" s="11"/>
      <c r="D1222" s="5"/>
      <c r="E1222" s="12"/>
      <c r="F1222" s="8"/>
      <c r="G1222" s="9">
        <v>0</v>
      </c>
      <c r="H1222" s="10"/>
      <c r="I1222" s="5"/>
      <c r="J1222" s="10"/>
    </row>
    <row r="1223" spans="1:10" ht="15.75" customHeight="1">
      <c r="A1223" s="5"/>
      <c r="B1223" s="6"/>
      <c r="C1223" s="11"/>
      <c r="D1223" s="5"/>
      <c r="E1223" s="12"/>
      <c r="F1223" s="8"/>
      <c r="G1223" s="9">
        <v>0</v>
      </c>
      <c r="H1223" s="10"/>
      <c r="I1223" s="5"/>
      <c r="J1223" s="10"/>
    </row>
    <row r="1224" spans="1:10" ht="15.75" customHeight="1">
      <c r="A1224" s="5"/>
      <c r="B1224" s="6"/>
      <c r="C1224" s="11"/>
      <c r="D1224" s="5"/>
      <c r="E1224" s="12"/>
      <c r="F1224" s="8"/>
      <c r="G1224" s="9">
        <v>0</v>
      </c>
      <c r="H1224" s="10"/>
      <c r="I1224" s="5"/>
      <c r="J1224" s="10"/>
    </row>
    <row r="1225" spans="1:10" ht="15.75" customHeight="1">
      <c r="A1225" s="5"/>
      <c r="B1225" s="6"/>
      <c r="C1225" s="11"/>
      <c r="D1225" s="5"/>
      <c r="E1225" s="12"/>
      <c r="F1225" s="8"/>
      <c r="G1225" s="9">
        <v>0</v>
      </c>
      <c r="H1225" s="10"/>
      <c r="I1225" s="5"/>
      <c r="J1225" s="10"/>
    </row>
    <row r="1226" spans="1:10" ht="15.75" customHeight="1">
      <c r="A1226" s="5"/>
      <c r="B1226" s="6"/>
      <c r="C1226" s="11"/>
      <c r="D1226" s="5"/>
      <c r="E1226" s="12"/>
      <c r="F1226" s="8"/>
      <c r="G1226" s="9">
        <v>0</v>
      </c>
      <c r="H1226" s="10"/>
      <c r="I1226" s="5"/>
      <c r="J1226" s="10"/>
    </row>
    <row r="1227" spans="1:10" ht="15.75" customHeight="1">
      <c r="A1227" s="5"/>
      <c r="B1227" s="6"/>
      <c r="C1227" s="11"/>
      <c r="D1227" s="5"/>
      <c r="E1227" s="12"/>
      <c r="F1227" s="8"/>
      <c r="G1227" s="9">
        <v>0</v>
      </c>
      <c r="H1227" s="10"/>
      <c r="I1227" s="5"/>
      <c r="J1227" s="10"/>
    </row>
    <row r="1228" spans="1:10" ht="15.75" customHeight="1">
      <c r="A1228" s="5"/>
      <c r="B1228" s="6"/>
      <c r="C1228" s="11"/>
      <c r="D1228" s="5"/>
      <c r="E1228" s="12"/>
      <c r="F1228" s="8"/>
      <c r="G1228" s="9">
        <v>0</v>
      </c>
      <c r="H1228" s="10"/>
      <c r="I1228" s="5"/>
      <c r="J1228" s="10"/>
    </row>
    <row r="1229" spans="1:10" ht="15.75" customHeight="1">
      <c r="A1229" s="5"/>
      <c r="B1229" s="6"/>
      <c r="C1229" s="11"/>
      <c r="D1229" s="5"/>
      <c r="E1229" s="12"/>
      <c r="F1229" s="8"/>
      <c r="G1229" s="9">
        <v>0</v>
      </c>
      <c r="H1229" s="10"/>
      <c r="I1229" s="5"/>
      <c r="J1229" s="10"/>
    </row>
    <row r="1230" spans="1:10" ht="15.75" customHeight="1">
      <c r="A1230" s="5"/>
      <c r="B1230" s="6"/>
      <c r="C1230" s="11"/>
      <c r="D1230" s="5"/>
      <c r="E1230" s="12"/>
      <c r="F1230" s="8"/>
      <c r="G1230" s="9">
        <v>0</v>
      </c>
      <c r="H1230" s="10"/>
      <c r="I1230" s="5"/>
      <c r="J1230" s="10"/>
    </row>
    <row r="1231" spans="1:10" ht="15.75" customHeight="1">
      <c r="A1231" s="5"/>
      <c r="B1231" s="6"/>
      <c r="C1231" s="11"/>
      <c r="D1231" s="5"/>
      <c r="E1231" s="12"/>
      <c r="F1231" s="8"/>
      <c r="G1231" s="9">
        <v>0</v>
      </c>
      <c r="H1231" s="10"/>
      <c r="I1231" s="5"/>
      <c r="J1231" s="10"/>
    </row>
    <row r="1232" spans="1:10" ht="15.75" customHeight="1">
      <c r="A1232" s="5"/>
      <c r="B1232" s="6"/>
      <c r="C1232" s="11"/>
      <c r="D1232" s="5"/>
      <c r="E1232" s="12"/>
      <c r="F1232" s="8"/>
      <c r="G1232" s="9">
        <v>0</v>
      </c>
      <c r="H1232" s="10"/>
      <c r="I1232" s="5"/>
      <c r="J1232" s="10"/>
    </row>
    <row r="1233" spans="1:10" ht="15.75" customHeight="1">
      <c r="A1233" s="5"/>
      <c r="B1233" s="6"/>
      <c r="C1233" s="11"/>
      <c r="D1233" s="5"/>
      <c r="E1233" s="12"/>
      <c r="F1233" s="8"/>
      <c r="G1233" s="9">
        <v>0</v>
      </c>
      <c r="H1233" s="10"/>
      <c r="I1233" s="5"/>
      <c r="J1233" s="10"/>
    </row>
    <row r="1234" spans="1:10" ht="15.75" customHeight="1">
      <c r="A1234" s="5"/>
      <c r="B1234" s="6"/>
      <c r="C1234" s="11"/>
      <c r="D1234" s="5"/>
      <c r="E1234" s="12"/>
      <c r="F1234" s="8"/>
      <c r="G1234" s="9">
        <v>0</v>
      </c>
      <c r="H1234" s="10"/>
      <c r="I1234" s="5"/>
      <c r="J1234" s="10"/>
    </row>
    <row r="1235" spans="1:10" ht="15.75" customHeight="1">
      <c r="A1235" s="5"/>
      <c r="B1235" s="6"/>
      <c r="C1235" s="11"/>
      <c r="D1235" s="5"/>
      <c r="E1235" s="12"/>
      <c r="F1235" s="8"/>
      <c r="G1235" s="9">
        <v>0</v>
      </c>
      <c r="H1235" s="10"/>
      <c r="I1235" s="5"/>
      <c r="J1235" s="10"/>
    </row>
    <row r="1236" spans="1:10" ht="15.75" customHeight="1">
      <c r="A1236" s="5"/>
      <c r="B1236" s="6"/>
      <c r="C1236" s="11"/>
      <c r="D1236" s="5"/>
      <c r="E1236" s="12"/>
      <c r="F1236" s="8"/>
      <c r="G1236" s="9">
        <v>0</v>
      </c>
      <c r="H1236" s="10"/>
      <c r="I1236" s="5"/>
      <c r="J1236" s="10"/>
    </row>
    <row r="1237" spans="1:10" ht="15.75" customHeight="1">
      <c r="A1237" s="5"/>
      <c r="B1237" s="6"/>
      <c r="C1237" s="11"/>
      <c r="D1237" s="5"/>
      <c r="E1237" s="12"/>
      <c r="F1237" s="8"/>
      <c r="G1237" s="9">
        <v>0</v>
      </c>
      <c r="H1237" s="10"/>
      <c r="I1237" s="5"/>
      <c r="J1237" s="10"/>
    </row>
    <row r="1238" spans="1:10" ht="15.75" customHeight="1">
      <c r="A1238" s="5"/>
      <c r="B1238" s="6"/>
      <c r="C1238" s="11"/>
      <c r="D1238" s="5"/>
      <c r="E1238" s="12"/>
      <c r="F1238" s="8"/>
      <c r="G1238" s="9">
        <v>0</v>
      </c>
      <c r="H1238" s="10"/>
      <c r="I1238" s="5"/>
      <c r="J1238" s="10"/>
    </row>
    <row r="1239" spans="1:10" ht="15.75" customHeight="1">
      <c r="A1239" s="5"/>
      <c r="B1239" s="6"/>
      <c r="C1239" s="11"/>
      <c r="D1239" s="5"/>
      <c r="E1239" s="12"/>
      <c r="F1239" s="8"/>
      <c r="G1239" s="9">
        <v>0</v>
      </c>
      <c r="H1239" s="10"/>
      <c r="I1239" s="5"/>
      <c r="J1239" s="10"/>
    </row>
    <row r="1240" spans="1:10" ht="15.75" customHeight="1">
      <c r="A1240" s="5"/>
      <c r="B1240" s="6"/>
      <c r="C1240" s="11"/>
      <c r="D1240" s="5"/>
      <c r="E1240" s="12"/>
      <c r="F1240" s="8"/>
      <c r="G1240" s="9">
        <v>0</v>
      </c>
      <c r="H1240" s="10"/>
      <c r="I1240" s="5"/>
      <c r="J1240" s="10"/>
    </row>
    <row r="1241" spans="1:10" ht="15.75" customHeight="1">
      <c r="A1241" s="5"/>
      <c r="B1241" s="6"/>
      <c r="C1241" s="11"/>
      <c r="D1241" s="5"/>
      <c r="E1241" s="12"/>
      <c r="F1241" s="8"/>
      <c r="G1241" s="9">
        <v>0</v>
      </c>
      <c r="H1241" s="10"/>
      <c r="I1241" s="5"/>
      <c r="J1241" s="10"/>
    </row>
    <row r="1242" spans="1:10" ht="15.75" customHeight="1">
      <c r="A1242" s="5"/>
      <c r="B1242" s="6"/>
      <c r="C1242" s="11"/>
      <c r="D1242" s="5"/>
      <c r="E1242" s="12"/>
      <c r="F1242" s="8"/>
      <c r="G1242" s="9">
        <v>0</v>
      </c>
      <c r="H1242" s="10"/>
      <c r="I1242" s="5"/>
      <c r="J1242" s="10"/>
    </row>
    <row r="1243" spans="1:10" ht="15.75" customHeight="1">
      <c r="A1243" s="5"/>
      <c r="B1243" s="6"/>
      <c r="C1243" s="11"/>
      <c r="D1243" s="5"/>
      <c r="E1243" s="12"/>
      <c r="F1243" s="8"/>
      <c r="G1243" s="9">
        <v>0</v>
      </c>
      <c r="H1243" s="10"/>
      <c r="I1243" s="5"/>
      <c r="J1243" s="10"/>
    </row>
    <row r="1244" spans="1:10" ht="15.75" customHeight="1">
      <c r="A1244" s="5"/>
      <c r="B1244" s="6"/>
      <c r="C1244" s="11"/>
      <c r="D1244" s="5"/>
      <c r="E1244" s="12"/>
      <c r="F1244" s="8"/>
      <c r="G1244" s="9">
        <v>0</v>
      </c>
      <c r="H1244" s="10"/>
      <c r="I1244" s="5"/>
      <c r="J1244" s="10"/>
    </row>
    <row r="1245" spans="1:10" ht="15.75" customHeight="1">
      <c r="A1245" s="5"/>
      <c r="B1245" s="6"/>
      <c r="C1245" s="11"/>
      <c r="D1245" s="5"/>
      <c r="E1245" s="12"/>
      <c r="F1245" s="8"/>
      <c r="G1245" s="9">
        <v>0</v>
      </c>
      <c r="H1245" s="10"/>
      <c r="I1245" s="5"/>
      <c r="J1245" s="10"/>
    </row>
    <row r="1246" spans="1:10" ht="15.75" customHeight="1">
      <c r="A1246" s="5"/>
      <c r="B1246" s="6"/>
      <c r="C1246" s="11"/>
      <c r="D1246" s="5"/>
      <c r="E1246" s="12"/>
      <c r="F1246" s="8"/>
      <c r="G1246" s="9">
        <v>0</v>
      </c>
      <c r="H1246" s="10"/>
      <c r="I1246" s="5"/>
      <c r="J1246" s="10"/>
    </row>
    <row r="1247" spans="1:10" ht="15.75" customHeight="1">
      <c r="A1247" s="5"/>
      <c r="B1247" s="6"/>
      <c r="C1247" s="11"/>
      <c r="D1247" s="5"/>
      <c r="E1247" s="12"/>
      <c r="F1247" s="8"/>
      <c r="G1247" s="9">
        <v>0</v>
      </c>
      <c r="H1247" s="10"/>
      <c r="I1247" s="5"/>
      <c r="J1247" s="10"/>
    </row>
    <row r="1248" spans="1:10" ht="15.75" customHeight="1">
      <c r="A1248" s="5"/>
      <c r="B1248" s="6"/>
      <c r="C1248" s="11"/>
      <c r="D1248" s="5"/>
      <c r="E1248" s="12"/>
      <c r="F1248" s="8"/>
      <c r="G1248" s="9">
        <v>0</v>
      </c>
      <c r="H1248" s="10"/>
      <c r="I1248" s="5"/>
      <c r="J1248" s="10"/>
    </row>
    <row r="1249" spans="1:10" ht="15.75" customHeight="1">
      <c r="A1249" s="5"/>
      <c r="B1249" s="6"/>
      <c r="C1249" s="11"/>
      <c r="D1249" s="5"/>
      <c r="E1249" s="12"/>
      <c r="F1249" s="8"/>
      <c r="G1249" s="9">
        <v>0</v>
      </c>
      <c r="H1249" s="10"/>
      <c r="I1249" s="5"/>
      <c r="J1249" s="10"/>
    </row>
    <row r="1250" spans="1:10" ht="15.75" customHeight="1">
      <c r="A1250" s="5"/>
      <c r="B1250" s="6"/>
      <c r="C1250" s="11"/>
      <c r="D1250" s="5"/>
      <c r="E1250" s="12"/>
      <c r="F1250" s="8"/>
      <c r="G1250" s="9">
        <v>0</v>
      </c>
      <c r="H1250" s="10"/>
      <c r="I1250" s="5"/>
      <c r="J1250" s="10"/>
    </row>
    <row r="1251" spans="1:10" ht="15.75" customHeight="1">
      <c r="A1251" s="5"/>
      <c r="B1251" s="6"/>
      <c r="C1251" s="11"/>
      <c r="D1251" s="5"/>
      <c r="E1251" s="12"/>
      <c r="F1251" s="8"/>
      <c r="G1251" s="9">
        <v>0</v>
      </c>
      <c r="H1251" s="10"/>
      <c r="I1251" s="5"/>
      <c r="J1251" s="10"/>
    </row>
    <row r="1252" spans="1:10" ht="15.75" customHeight="1">
      <c r="A1252" s="5"/>
      <c r="B1252" s="6"/>
      <c r="C1252" s="11"/>
      <c r="D1252" s="5"/>
      <c r="E1252" s="12"/>
      <c r="F1252" s="8"/>
      <c r="G1252" s="9">
        <v>0</v>
      </c>
      <c r="H1252" s="10"/>
      <c r="I1252" s="5"/>
      <c r="J1252" s="10"/>
    </row>
    <row r="1253" spans="1:10" ht="15.75" customHeight="1">
      <c r="A1253" s="5"/>
      <c r="B1253" s="6"/>
      <c r="C1253" s="11"/>
      <c r="D1253" s="5"/>
      <c r="E1253" s="12"/>
      <c r="F1253" s="8"/>
      <c r="G1253" s="9">
        <v>0</v>
      </c>
      <c r="H1253" s="10"/>
      <c r="I1253" s="5"/>
      <c r="J1253" s="10"/>
    </row>
    <row r="1254" spans="1:10" ht="15.75" customHeight="1">
      <c r="A1254" s="5"/>
      <c r="B1254" s="6"/>
      <c r="C1254" s="11"/>
      <c r="D1254" s="5"/>
      <c r="E1254" s="12"/>
      <c r="F1254" s="8"/>
      <c r="G1254" s="9">
        <v>0</v>
      </c>
      <c r="H1254" s="10"/>
      <c r="I1254" s="5"/>
      <c r="J1254" s="10"/>
    </row>
    <row r="1255" spans="1:10" ht="15.75" customHeight="1">
      <c r="A1255" s="5"/>
      <c r="B1255" s="6"/>
      <c r="C1255" s="11"/>
      <c r="D1255" s="5"/>
      <c r="E1255" s="12"/>
      <c r="F1255" s="22"/>
      <c r="G1255" s="9">
        <v>0</v>
      </c>
      <c r="H1255" s="10"/>
      <c r="I1255" s="5"/>
      <c r="J1255" s="10"/>
    </row>
    <row r="1256" spans="1:10" ht="15.75" customHeight="1">
      <c r="A1256" s="5"/>
      <c r="B1256" s="6"/>
      <c r="C1256" s="11"/>
      <c r="D1256" s="5"/>
      <c r="E1256" s="12"/>
      <c r="F1256" s="8"/>
      <c r="G1256" s="9">
        <v>0</v>
      </c>
      <c r="H1256" s="10"/>
      <c r="I1256" s="5"/>
      <c r="J1256" s="10"/>
    </row>
    <row r="1257" spans="1:10" ht="15.75" customHeight="1">
      <c r="A1257" s="5"/>
      <c r="B1257" s="6"/>
      <c r="C1257" s="11"/>
      <c r="D1257" s="5"/>
      <c r="E1257" s="12"/>
      <c r="F1257" s="8"/>
      <c r="G1257" s="9">
        <v>0</v>
      </c>
      <c r="H1257" s="10"/>
      <c r="I1257" s="5"/>
      <c r="J1257" s="10"/>
    </row>
    <row r="1258" spans="1:10" ht="15.75" customHeight="1">
      <c r="A1258" s="5"/>
      <c r="B1258" s="6"/>
      <c r="C1258" s="11"/>
      <c r="D1258" s="5"/>
      <c r="E1258" s="12"/>
      <c r="F1258" s="22"/>
      <c r="G1258" s="9">
        <v>0</v>
      </c>
      <c r="H1258" s="10"/>
      <c r="I1258" s="5"/>
      <c r="J1258" s="10"/>
    </row>
    <row r="1259" spans="1:10" ht="15.75" customHeight="1">
      <c r="A1259" s="5"/>
      <c r="B1259" s="6"/>
      <c r="C1259" s="11"/>
      <c r="D1259" s="5"/>
      <c r="E1259" s="12"/>
      <c r="F1259" s="8"/>
      <c r="G1259" s="9">
        <v>0</v>
      </c>
      <c r="H1259" s="10"/>
      <c r="I1259" s="5"/>
      <c r="J1259" s="10"/>
    </row>
    <row r="1260" spans="1:10" ht="15.75" customHeight="1">
      <c r="A1260" s="5"/>
      <c r="B1260" s="6"/>
      <c r="C1260" s="11"/>
      <c r="D1260" s="5"/>
      <c r="E1260" s="12"/>
      <c r="F1260" s="8"/>
      <c r="G1260" s="9">
        <v>0</v>
      </c>
      <c r="H1260" s="10"/>
      <c r="I1260" s="5"/>
      <c r="J1260" s="10"/>
    </row>
    <row r="1261" spans="1:10" ht="15.75" customHeight="1">
      <c r="A1261" s="5"/>
      <c r="B1261" s="6"/>
      <c r="C1261" s="11"/>
      <c r="D1261" s="5"/>
      <c r="E1261" s="12"/>
      <c r="F1261" s="8"/>
      <c r="G1261" s="9">
        <v>0</v>
      </c>
      <c r="H1261" s="10"/>
      <c r="I1261" s="5"/>
      <c r="J1261" s="10"/>
    </row>
    <row r="1262" spans="1:10" ht="15.75" customHeight="1">
      <c r="A1262" s="5"/>
      <c r="B1262" s="6"/>
      <c r="C1262" s="11"/>
      <c r="D1262" s="5"/>
      <c r="E1262" s="12"/>
      <c r="F1262" s="8"/>
      <c r="G1262" s="9">
        <v>0</v>
      </c>
      <c r="H1262" s="10"/>
      <c r="I1262" s="5"/>
      <c r="J1262" s="10"/>
    </row>
    <row r="1263" spans="1:10" ht="15.75" customHeight="1">
      <c r="A1263" s="5"/>
      <c r="B1263" s="6"/>
      <c r="C1263" s="11"/>
      <c r="D1263" s="5"/>
      <c r="E1263" s="12"/>
      <c r="F1263" s="8"/>
      <c r="G1263" s="9">
        <v>0</v>
      </c>
      <c r="H1263" s="10"/>
      <c r="I1263" s="5"/>
      <c r="J1263" s="10"/>
    </row>
    <row r="1264" spans="1:10" ht="15.75" customHeight="1">
      <c r="A1264" s="5"/>
      <c r="B1264" s="6"/>
      <c r="C1264" s="11"/>
      <c r="D1264" s="5"/>
      <c r="E1264" s="12"/>
      <c r="F1264" s="8"/>
      <c r="G1264" s="9">
        <v>0</v>
      </c>
      <c r="H1264" s="10"/>
      <c r="I1264" s="5"/>
      <c r="J1264" s="10"/>
    </row>
  </sheetData>
  <autoFilter ref="A1:J1264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2"/>
  <sheetViews>
    <sheetView workbookViewId="0">
      <pane ySplit="1" topLeftCell="A2" activePane="bottomLeft" state="frozen"/>
      <selection pane="bottomLeft"/>
    </sheetView>
  </sheetViews>
  <sheetFormatPr baseColWidth="10" defaultColWidth="12.6328125" defaultRowHeight="15" customHeight="1"/>
  <cols>
    <col min="1" max="1" width="11.36328125" customWidth="1"/>
    <col min="2" max="2" width="15.90625" customWidth="1"/>
    <col min="3" max="3" width="21" customWidth="1"/>
    <col min="4" max="4" width="18" customWidth="1"/>
    <col min="5" max="5" width="12" customWidth="1"/>
    <col min="6" max="6" width="50.6328125" customWidth="1"/>
    <col min="7" max="7" width="21.6328125" customWidth="1"/>
    <col min="8" max="8" width="11.6328125" customWidth="1"/>
    <col min="9" max="11" width="8" customWidth="1"/>
  </cols>
  <sheetData>
    <row r="1" spans="1:11" ht="15.75" customHeight="1">
      <c r="A1" s="23" t="s">
        <v>727</v>
      </c>
      <c r="B1" s="23" t="s">
        <v>728</v>
      </c>
      <c r="C1" s="23" t="s">
        <v>729</v>
      </c>
      <c r="D1" s="24" t="s">
        <v>2</v>
      </c>
      <c r="E1" s="24" t="s">
        <v>4</v>
      </c>
      <c r="F1" s="25" t="s">
        <v>1</v>
      </c>
      <c r="G1" s="23" t="s">
        <v>730</v>
      </c>
      <c r="H1" s="26" t="s">
        <v>0</v>
      </c>
      <c r="I1" s="26"/>
      <c r="J1" s="26"/>
      <c r="K1" s="26"/>
    </row>
    <row r="2" spans="1:11" ht="15.75" customHeight="1">
      <c r="A2" s="27"/>
      <c r="B2" s="27"/>
      <c r="C2" s="27"/>
      <c r="D2" s="1" t="s">
        <v>12</v>
      </c>
      <c r="E2" s="1">
        <v>1</v>
      </c>
      <c r="F2" s="28" t="s">
        <v>11</v>
      </c>
      <c r="G2" s="27">
        <v>2</v>
      </c>
    </row>
    <row r="3" spans="1:11" ht="15.75" customHeight="1">
      <c r="A3" s="27"/>
      <c r="B3" s="27"/>
      <c r="C3" s="27"/>
      <c r="D3" s="1" t="s">
        <v>15</v>
      </c>
      <c r="E3" s="1">
        <v>2</v>
      </c>
      <c r="F3" s="28" t="s">
        <v>14</v>
      </c>
      <c r="G3" s="27">
        <v>3</v>
      </c>
    </row>
    <row r="4" spans="1:11" ht="15.75" customHeight="1">
      <c r="A4" s="27"/>
      <c r="B4" s="27"/>
      <c r="C4" s="27"/>
      <c r="D4" s="1" t="s">
        <v>18</v>
      </c>
      <c r="E4" s="1">
        <v>9</v>
      </c>
      <c r="F4" s="28" t="s">
        <v>30</v>
      </c>
      <c r="G4" s="27">
        <v>2</v>
      </c>
    </row>
    <row r="5" spans="1:11" ht="15.75" customHeight="1">
      <c r="A5" s="27"/>
      <c r="B5" s="27"/>
      <c r="C5" s="27"/>
      <c r="D5" s="1" t="s">
        <v>18</v>
      </c>
      <c r="E5" s="1">
        <v>10</v>
      </c>
      <c r="F5" s="28" t="s">
        <v>32</v>
      </c>
      <c r="G5" s="27">
        <v>4</v>
      </c>
    </row>
    <row r="6" spans="1:11" ht="15.75" customHeight="1">
      <c r="A6" s="27"/>
      <c r="B6" s="27"/>
      <c r="C6" s="27"/>
      <c r="D6" s="1" t="s">
        <v>18</v>
      </c>
      <c r="E6" s="1">
        <v>11</v>
      </c>
      <c r="F6" s="28" t="s">
        <v>34</v>
      </c>
      <c r="G6" s="27">
        <v>2</v>
      </c>
    </row>
    <row r="7" spans="1:11" ht="15.75" customHeight="1">
      <c r="A7" s="27"/>
      <c r="B7" s="27"/>
      <c r="C7" s="27"/>
      <c r="D7" s="1" t="s">
        <v>18</v>
      </c>
      <c r="E7" s="1">
        <v>13</v>
      </c>
      <c r="F7" s="28" t="s">
        <v>36</v>
      </c>
      <c r="G7" s="27">
        <v>1</v>
      </c>
    </row>
    <row r="8" spans="1:11" ht="15.75" customHeight="1">
      <c r="A8" s="27"/>
      <c r="B8" s="27"/>
      <c r="C8" s="27"/>
      <c r="D8" s="1" t="s">
        <v>18</v>
      </c>
      <c r="E8" s="1">
        <v>14</v>
      </c>
      <c r="F8" s="28" t="s">
        <v>38</v>
      </c>
      <c r="G8" s="27">
        <v>1</v>
      </c>
    </row>
    <row r="9" spans="1:11" ht="15.75" customHeight="1">
      <c r="A9" s="27"/>
      <c r="B9" s="27"/>
      <c r="C9" s="27"/>
      <c r="D9" s="1" t="s">
        <v>18</v>
      </c>
      <c r="E9" s="1">
        <v>15</v>
      </c>
      <c r="F9" s="28" t="s">
        <v>40</v>
      </c>
      <c r="G9" s="27">
        <v>1</v>
      </c>
    </row>
    <row r="10" spans="1:11" ht="15.75" customHeight="1">
      <c r="A10" s="27"/>
      <c r="B10" s="27"/>
      <c r="C10" s="27"/>
      <c r="D10" s="1" t="s">
        <v>18</v>
      </c>
      <c r="E10" s="1">
        <v>16</v>
      </c>
      <c r="F10" s="28" t="s">
        <v>42</v>
      </c>
      <c r="G10" s="27">
        <v>25</v>
      </c>
    </row>
    <row r="11" spans="1:11" ht="15.75" customHeight="1">
      <c r="A11" s="27"/>
      <c r="B11" s="27"/>
      <c r="C11" s="27"/>
      <c r="D11" s="1" t="s">
        <v>18</v>
      </c>
      <c r="E11" s="1">
        <v>17</v>
      </c>
      <c r="F11" s="28" t="s">
        <v>44</v>
      </c>
      <c r="G11" s="27">
        <v>1</v>
      </c>
    </row>
    <row r="12" spans="1:11" ht="15.75" customHeight="1">
      <c r="A12" s="27"/>
      <c r="B12" s="27"/>
      <c r="C12" s="27"/>
      <c r="D12" s="1" t="s">
        <v>18</v>
      </c>
      <c r="E12" s="1">
        <v>20</v>
      </c>
      <c r="F12" s="28" t="s">
        <v>49</v>
      </c>
      <c r="G12" s="27">
        <v>8</v>
      </c>
    </row>
    <row r="13" spans="1:11" ht="15.75" customHeight="1">
      <c r="A13" s="27"/>
      <c r="B13" s="27"/>
      <c r="C13" s="27"/>
      <c r="D13" s="1" t="s">
        <v>18</v>
      </c>
      <c r="E13" s="1">
        <v>21</v>
      </c>
      <c r="F13" s="28" t="s">
        <v>51</v>
      </c>
      <c r="G13" s="27">
        <v>16</v>
      </c>
    </row>
    <row r="14" spans="1:11" ht="15.75" customHeight="1">
      <c r="A14" s="27"/>
      <c r="B14" s="27"/>
      <c r="C14" s="27"/>
      <c r="D14" s="1" t="s">
        <v>18</v>
      </c>
      <c r="E14" s="1">
        <v>18</v>
      </c>
      <c r="F14" s="28" t="s">
        <v>46</v>
      </c>
      <c r="G14" s="27">
        <v>16</v>
      </c>
    </row>
    <row r="15" spans="1:11" ht="15.75" customHeight="1">
      <c r="A15" s="27"/>
      <c r="B15" s="27"/>
      <c r="C15" s="27"/>
      <c r="D15" s="1" t="s">
        <v>18</v>
      </c>
      <c r="E15" s="1">
        <v>19</v>
      </c>
      <c r="F15" s="28" t="s">
        <v>48</v>
      </c>
      <c r="G15" s="27">
        <v>8</v>
      </c>
    </row>
    <row r="16" spans="1:11" ht="15.75" customHeight="1">
      <c r="A16" s="27"/>
      <c r="B16" s="27"/>
      <c r="C16" s="27"/>
      <c r="D16" s="1" t="s">
        <v>18</v>
      </c>
      <c r="E16" s="1">
        <v>22</v>
      </c>
      <c r="F16" s="28" t="s">
        <v>53</v>
      </c>
      <c r="G16" s="27">
        <v>16</v>
      </c>
    </row>
    <row r="17" spans="1:7" ht="15.75" customHeight="1">
      <c r="A17" s="27"/>
      <c r="B17" s="27"/>
      <c r="C17" s="27"/>
      <c r="D17" s="1" t="s">
        <v>18</v>
      </c>
      <c r="E17" s="1">
        <v>23</v>
      </c>
      <c r="F17" s="28" t="s">
        <v>55</v>
      </c>
      <c r="G17" s="27">
        <v>8</v>
      </c>
    </row>
    <row r="18" spans="1:7" ht="15.75" customHeight="1">
      <c r="A18" s="27"/>
      <c r="B18" s="27"/>
      <c r="C18" s="27"/>
      <c r="D18" s="1" t="s">
        <v>18</v>
      </c>
      <c r="E18" s="1">
        <v>8</v>
      </c>
      <c r="F18" s="28" t="s">
        <v>28</v>
      </c>
      <c r="G18" s="27">
        <v>2</v>
      </c>
    </row>
    <row r="19" spans="1:7" ht="15.75" customHeight="1">
      <c r="A19" s="27"/>
      <c r="B19" s="27"/>
      <c r="C19" s="27"/>
      <c r="D19" s="1" t="s">
        <v>489</v>
      </c>
      <c r="E19" s="1">
        <v>2</v>
      </c>
      <c r="F19" s="28" t="s">
        <v>488</v>
      </c>
      <c r="G19" s="27">
        <v>17</v>
      </c>
    </row>
    <row r="20" spans="1:7" ht="15.75" customHeight="1">
      <c r="A20" s="27"/>
      <c r="B20" s="27"/>
      <c r="C20" s="27"/>
      <c r="D20" s="1" t="s">
        <v>479</v>
      </c>
      <c r="E20" s="1">
        <v>3</v>
      </c>
      <c r="F20" s="28" t="s">
        <v>491</v>
      </c>
      <c r="G20" s="27">
        <v>13</v>
      </c>
    </row>
    <row r="21" spans="1:7" ht="15.75" customHeight="1">
      <c r="A21" s="27"/>
      <c r="B21" s="27"/>
      <c r="C21" s="27"/>
      <c r="D21" s="1" t="s">
        <v>479</v>
      </c>
      <c r="E21" s="1">
        <v>4</v>
      </c>
      <c r="F21" s="28" t="s">
        <v>493</v>
      </c>
      <c r="G21" s="27">
        <v>24</v>
      </c>
    </row>
    <row r="22" spans="1:7" ht="15.75" customHeight="1">
      <c r="A22" s="27"/>
      <c r="B22" s="27"/>
      <c r="C22" s="27"/>
      <c r="D22" s="1" t="s">
        <v>479</v>
      </c>
      <c r="E22" s="1">
        <v>5</v>
      </c>
      <c r="F22" s="28" t="s">
        <v>495</v>
      </c>
      <c r="G22" s="27">
        <v>294</v>
      </c>
    </row>
    <row r="23" spans="1:7" ht="15.75" customHeight="1">
      <c r="A23" s="27"/>
      <c r="B23" s="27"/>
      <c r="C23" s="27"/>
      <c r="D23" s="1" t="s">
        <v>479</v>
      </c>
      <c r="E23" s="1">
        <v>9</v>
      </c>
      <c r="F23" s="20" t="s">
        <v>517</v>
      </c>
      <c r="G23" s="27">
        <v>188</v>
      </c>
    </row>
    <row r="24" spans="1:7" ht="15.75" customHeight="1">
      <c r="A24" s="27"/>
      <c r="B24" s="27"/>
      <c r="C24" s="27"/>
      <c r="D24" s="1" t="s">
        <v>520</v>
      </c>
      <c r="E24" s="1">
        <v>10</v>
      </c>
      <c r="F24" s="20" t="s">
        <v>519</v>
      </c>
      <c r="G24" s="27">
        <v>120</v>
      </c>
    </row>
    <row r="25" spans="1:7" ht="15.75" customHeight="1">
      <c r="A25" s="27"/>
      <c r="B25" s="27"/>
      <c r="C25" s="27"/>
      <c r="D25" s="1" t="s">
        <v>489</v>
      </c>
      <c r="E25" s="1">
        <v>14</v>
      </c>
      <c r="F25" s="28" t="s">
        <v>540</v>
      </c>
      <c r="G25" s="27">
        <v>37</v>
      </c>
    </row>
    <row r="26" spans="1:7" ht="15.75" customHeight="1">
      <c r="A26" s="27"/>
      <c r="B26" s="27"/>
      <c r="C26" s="27"/>
      <c r="D26" s="1" t="s">
        <v>479</v>
      </c>
      <c r="E26" s="1">
        <v>15</v>
      </c>
      <c r="F26" s="28" t="s">
        <v>542</v>
      </c>
      <c r="G26" s="27">
        <v>81</v>
      </c>
    </row>
    <row r="27" spans="1:7" ht="15.75" customHeight="1">
      <c r="A27" s="27"/>
      <c r="B27" s="27"/>
      <c r="C27" s="27"/>
      <c r="D27" s="1" t="s">
        <v>479</v>
      </c>
      <c r="E27" s="1">
        <v>16</v>
      </c>
      <c r="F27" s="28" t="s">
        <v>544</v>
      </c>
      <c r="G27" s="27">
        <v>122</v>
      </c>
    </row>
    <row r="28" spans="1:7" ht="15.75" customHeight="1">
      <c r="A28" s="27"/>
      <c r="B28" s="27"/>
      <c r="C28" s="27"/>
      <c r="D28" s="1" t="s">
        <v>531</v>
      </c>
      <c r="E28" s="1">
        <v>18</v>
      </c>
      <c r="F28" s="28" t="s">
        <v>548</v>
      </c>
      <c r="G28" s="27">
        <v>2615</v>
      </c>
    </row>
    <row r="29" spans="1:7" ht="15.75" customHeight="1">
      <c r="A29" s="27"/>
      <c r="B29" s="27"/>
      <c r="C29" s="27"/>
      <c r="D29" s="1" t="s">
        <v>559</v>
      </c>
      <c r="E29" s="1">
        <v>20</v>
      </c>
      <c r="F29" s="28" t="s">
        <v>558</v>
      </c>
      <c r="G29" s="27">
        <v>8</v>
      </c>
    </row>
    <row r="30" spans="1:7" ht="15.75" customHeight="1">
      <c r="A30" s="27"/>
      <c r="B30" s="27"/>
      <c r="C30" s="27"/>
      <c r="D30" s="1" t="s">
        <v>512</v>
      </c>
      <c r="E30" s="1">
        <v>22</v>
      </c>
      <c r="F30" s="28" t="s">
        <v>563</v>
      </c>
      <c r="G30" s="27">
        <v>7</v>
      </c>
    </row>
    <row r="31" spans="1:7" ht="15.75" customHeight="1">
      <c r="A31" s="27"/>
      <c r="B31" s="27"/>
      <c r="C31" s="27"/>
      <c r="D31" s="1" t="s">
        <v>489</v>
      </c>
      <c r="E31" s="1">
        <v>27</v>
      </c>
      <c r="F31" s="28" t="s">
        <v>602</v>
      </c>
      <c r="G31" s="27">
        <v>130</v>
      </c>
    </row>
    <row r="32" spans="1:7" ht="15.75" customHeight="1">
      <c r="A32" s="27"/>
      <c r="B32" s="27"/>
      <c r="C32" s="27"/>
      <c r="D32" s="1" t="s">
        <v>489</v>
      </c>
      <c r="E32" s="1">
        <v>28</v>
      </c>
      <c r="F32" s="28" t="s">
        <v>604</v>
      </c>
      <c r="G32" s="27">
        <v>123</v>
      </c>
    </row>
    <row r="33" spans="1:7" ht="15.75" customHeight="1">
      <c r="A33" s="27"/>
      <c r="B33" s="27"/>
      <c r="C33" s="27"/>
      <c r="D33" s="1" t="s">
        <v>489</v>
      </c>
      <c r="E33" s="1">
        <v>29</v>
      </c>
      <c r="F33" s="28" t="s">
        <v>606</v>
      </c>
      <c r="G33" s="27">
        <v>102</v>
      </c>
    </row>
    <row r="34" spans="1:7" ht="15.75" customHeight="1">
      <c r="A34" s="27"/>
      <c r="B34" s="27"/>
      <c r="C34" s="27"/>
      <c r="D34" s="1" t="s">
        <v>489</v>
      </c>
      <c r="E34" s="1">
        <v>30</v>
      </c>
      <c r="F34" s="28" t="s">
        <v>608</v>
      </c>
      <c r="G34" s="27">
        <v>92</v>
      </c>
    </row>
    <row r="35" spans="1:7" ht="15.75" customHeight="1">
      <c r="A35" s="27"/>
      <c r="B35" s="27"/>
      <c r="C35" s="27"/>
      <c r="D35" s="1" t="s">
        <v>489</v>
      </c>
      <c r="E35" s="1">
        <v>31</v>
      </c>
      <c r="F35" s="28" t="s">
        <v>609</v>
      </c>
      <c r="G35" s="27">
        <v>104</v>
      </c>
    </row>
    <row r="36" spans="1:7" ht="15.75" customHeight="1">
      <c r="A36" s="27"/>
      <c r="B36" s="27"/>
      <c r="C36" s="27"/>
      <c r="D36" s="1" t="s">
        <v>479</v>
      </c>
      <c r="E36" s="1">
        <v>32</v>
      </c>
      <c r="F36" s="28" t="s">
        <v>611</v>
      </c>
      <c r="G36" s="27">
        <v>56</v>
      </c>
    </row>
    <row r="37" spans="1:7" ht="15.75" customHeight="1">
      <c r="A37" s="27"/>
      <c r="B37" s="27"/>
      <c r="C37" s="27"/>
      <c r="D37" s="1" t="s">
        <v>489</v>
      </c>
      <c r="E37" s="1">
        <v>34</v>
      </c>
      <c r="F37" s="28" t="s">
        <v>631</v>
      </c>
      <c r="G37" s="27">
        <v>4</v>
      </c>
    </row>
    <row r="38" spans="1:7" ht="15.75" customHeight="1">
      <c r="A38" s="27"/>
      <c r="B38" s="27"/>
      <c r="C38" s="27"/>
      <c r="D38" s="1" t="s">
        <v>70</v>
      </c>
      <c r="E38" s="1">
        <v>1</v>
      </c>
      <c r="F38" s="28" t="s">
        <v>141</v>
      </c>
      <c r="G38" s="27">
        <v>18</v>
      </c>
    </row>
    <row r="39" spans="1:7" ht="15.75" customHeight="1">
      <c r="A39" s="27"/>
      <c r="B39" s="27"/>
      <c r="C39" s="27"/>
      <c r="D39" s="1" t="s">
        <v>70</v>
      </c>
      <c r="E39" s="1">
        <v>2</v>
      </c>
      <c r="F39" s="28" t="s">
        <v>143</v>
      </c>
      <c r="G39" s="27">
        <v>5</v>
      </c>
    </row>
    <row r="40" spans="1:7" ht="15.75" customHeight="1">
      <c r="A40" s="27"/>
      <c r="B40" s="27"/>
      <c r="C40" s="27"/>
      <c r="D40" s="1" t="s">
        <v>208</v>
      </c>
      <c r="E40" s="1">
        <v>4</v>
      </c>
      <c r="F40" s="28" t="s">
        <v>228</v>
      </c>
      <c r="G40" s="27">
        <v>28</v>
      </c>
    </row>
    <row r="41" spans="1:7" ht="15.75" customHeight="1">
      <c r="A41" s="27"/>
      <c r="B41" s="27"/>
      <c r="C41" s="27"/>
      <c r="D41" s="1" t="s">
        <v>70</v>
      </c>
      <c r="E41" s="1">
        <v>5</v>
      </c>
      <c r="F41" s="28" t="s">
        <v>72</v>
      </c>
      <c r="G41" s="27">
        <v>1</v>
      </c>
    </row>
    <row r="42" spans="1:7" ht="15.75" customHeight="1">
      <c r="A42" s="27"/>
      <c r="B42" s="27"/>
      <c r="C42" s="27"/>
      <c r="D42" s="1" t="s">
        <v>109</v>
      </c>
      <c r="E42" s="1">
        <v>6</v>
      </c>
      <c r="F42" s="28" t="s">
        <v>230</v>
      </c>
      <c r="G42" s="27">
        <v>4</v>
      </c>
    </row>
    <row r="43" spans="1:7" ht="15.75" customHeight="1">
      <c r="A43" s="27"/>
      <c r="B43" s="27"/>
      <c r="C43" s="27"/>
      <c r="D43" s="1" t="s">
        <v>109</v>
      </c>
      <c r="E43" s="1">
        <v>9</v>
      </c>
      <c r="F43" s="28" t="s">
        <v>190</v>
      </c>
      <c r="G43" s="27">
        <v>7</v>
      </c>
    </row>
    <row r="44" spans="1:7" ht="15.75" customHeight="1">
      <c r="A44" s="27"/>
      <c r="B44" s="27"/>
      <c r="C44" s="27"/>
      <c r="D44" s="1" t="s">
        <v>208</v>
      </c>
      <c r="E44" s="1">
        <v>14</v>
      </c>
      <c r="F44" s="28" t="s">
        <v>288</v>
      </c>
      <c r="G44" s="27">
        <v>7</v>
      </c>
    </row>
    <row r="45" spans="1:7" ht="15.75" customHeight="1">
      <c r="A45" s="27"/>
      <c r="B45" s="27"/>
      <c r="C45" s="27"/>
      <c r="D45" s="1" t="s">
        <v>109</v>
      </c>
      <c r="E45" s="1">
        <v>18</v>
      </c>
      <c r="F45" s="28" t="s">
        <v>185</v>
      </c>
      <c r="G45" s="27">
        <v>1</v>
      </c>
    </row>
    <row r="46" spans="1:7" ht="15.75" customHeight="1">
      <c r="A46" s="27"/>
      <c r="B46" s="27"/>
      <c r="C46" s="27"/>
      <c r="D46" s="1" t="s">
        <v>59</v>
      </c>
      <c r="E46" s="1">
        <v>19</v>
      </c>
      <c r="F46" s="28" t="s">
        <v>58</v>
      </c>
      <c r="G46" s="27">
        <v>1</v>
      </c>
    </row>
    <row r="47" spans="1:7" ht="15.75" customHeight="1">
      <c r="A47" s="27"/>
      <c r="B47" s="27"/>
      <c r="C47" s="27"/>
      <c r="D47" s="1" t="s">
        <v>59</v>
      </c>
      <c r="E47" s="1">
        <v>24</v>
      </c>
      <c r="F47" s="28" t="s">
        <v>261</v>
      </c>
      <c r="G47" s="27">
        <v>30</v>
      </c>
    </row>
    <row r="48" spans="1:7" ht="15.75" customHeight="1">
      <c r="A48" s="27"/>
      <c r="B48" s="27"/>
      <c r="C48" s="27"/>
      <c r="D48" s="1" t="s">
        <v>59</v>
      </c>
      <c r="E48" s="1">
        <v>26</v>
      </c>
      <c r="F48" s="28" t="s">
        <v>265</v>
      </c>
      <c r="G48" s="27">
        <v>15</v>
      </c>
    </row>
    <row r="49" spans="1:7" ht="15.75" customHeight="1">
      <c r="A49" s="27"/>
      <c r="B49" s="27"/>
      <c r="C49" s="27"/>
      <c r="D49" s="1" t="s">
        <v>106</v>
      </c>
      <c r="E49" s="1">
        <v>27</v>
      </c>
      <c r="F49" s="28" t="s">
        <v>105</v>
      </c>
      <c r="G49" s="27">
        <v>3</v>
      </c>
    </row>
    <row r="50" spans="1:7" ht="15.75" customHeight="1">
      <c r="A50" s="27"/>
      <c r="B50" s="27"/>
      <c r="C50" s="27"/>
      <c r="D50" s="1" t="s">
        <v>106</v>
      </c>
      <c r="E50" s="1">
        <v>28</v>
      </c>
      <c r="F50" s="28" t="s">
        <v>276</v>
      </c>
      <c r="G50" s="27">
        <v>3</v>
      </c>
    </row>
    <row r="51" spans="1:7" ht="15.75" customHeight="1">
      <c r="A51" s="27"/>
      <c r="B51" s="27"/>
      <c r="C51" s="27"/>
      <c r="D51" s="1" t="s">
        <v>59</v>
      </c>
      <c r="E51" s="1">
        <v>30</v>
      </c>
      <c r="F51" s="28" t="s">
        <v>216</v>
      </c>
      <c r="G51" s="27">
        <v>2</v>
      </c>
    </row>
    <row r="52" spans="1:7" ht="15.75" customHeight="1">
      <c r="A52" s="27"/>
      <c r="B52" s="27"/>
      <c r="C52" s="27"/>
      <c r="D52" s="1" t="s">
        <v>109</v>
      </c>
      <c r="E52" s="1">
        <v>31</v>
      </c>
      <c r="F52" s="28" t="s">
        <v>173</v>
      </c>
      <c r="G52" s="27">
        <v>3</v>
      </c>
    </row>
    <row r="53" spans="1:7" ht="15.75" customHeight="1">
      <c r="A53" s="27"/>
      <c r="B53" s="27"/>
      <c r="C53" s="27"/>
      <c r="D53" s="1" t="s">
        <v>424</v>
      </c>
      <c r="E53" s="1">
        <v>1</v>
      </c>
      <c r="F53" s="28" t="s">
        <v>426</v>
      </c>
      <c r="G53" s="27">
        <v>4</v>
      </c>
    </row>
    <row r="54" spans="1:7" ht="15.75" customHeight="1">
      <c r="A54" s="27"/>
      <c r="B54" s="27"/>
      <c r="C54" s="27"/>
      <c r="D54" s="1" t="s">
        <v>424</v>
      </c>
      <c r="E54" s="1">
        <v>6</v>
      </c>
      <c r="F54" s="28" t="s">
        <v>428</v>
      </c>
      <c r="G54" s="27">
        <v>3</v>
      </c>
    </row>
    <row r="55" spans="1:7" ht="15.75" customHeight="1">
      <c r="A55" s="27"/>
      <c r="B55" s="27"/>
      <c r="C55" s="27"/>
      <c r="D55" s="1" t="s">
        <v>424</v>
      </c>
      <c r="E55" s="1">
        <v>7</v>
      </c>
      <c r="F55" s="28" t="s">
        <v>442</v>
      </c>
      <c r="G55" s="27">
        <v>2</v>
      </c>
    </row>
    <row r="56" spans="1:7" ht="15.75" customHeight="1">
      <c r="A56" s="27"/>
      <c r="B56" s="27"/>
      <c r="C56" s="27"/>
      <c r="D56" s="1" t="s">
        <v>424</v>
      </c>
      <c r="E56" s="1">
        <v>8</v>
      </c>
      <c r="F56" s="28" t="s">
        <v>448</v>
      </c>
      <c r="G56" s="27">
        <v>1</v>
      </c>
    </row>
    <row r="57" spans="1:7" ht="15.75" customHeight="1">
      <c r="A57" s="27"/>
      <c r="B57" s="27"/>
      <c r="C57" s="27"/>
      <c r="D57" s="1" t="s">
        <v>424</v>
      </c>
      <c r="E57" s="1">
        <v>10</v>
      </c>
      <c r="F57" s="28" t="s">
        <v>423</v>
      </c>
      <c r="G57" s="27">
        <v>3</v>
      </c>
    </row>
    <row r="58" spans="1:7" ht="15.75" customHeight="1">
      <c r="A58" s="27"/>
      <c r="B58" s="27"/>
      <c r="C58" s="27"/>
      <c r="D58" s="1" t="s">
        <v>454</v>
      </c>
      <c r="E58" s="1">
        <v>12</v>
      </c>
      <c r="F58" s="28" t="s">
        <v>456</v>
      </c>
      <c r="G58" s="27">
        <v>125</v>
      </c>
    </row>
    <row r="59" spans="1:7" ht="15.75" customHeight="1">
      <c r="A59" s="27"/>
      <c r="B59" s="27"/>
      <c r="C59" s="27"/>
      <c r="D59" s="1" t="s">
        <v>454</v>
      </c>
      <c r="E59" s="1">
        <v>13</v>
      </c>
      <c r="F59" s="28" t="s">
        <v>458</v>
      </c>
      <c r="G59" s="27">
        <v>73</v>
      </c>
    </row>
    <row r="60" spans="1:7" ht="15.75" customHeight="1">
      <c r="A60" s="27"/>
      <c r="B60" s="27"/>
      <c r="C60" s="27"/>
      <c r="D60" s="1" t="s">
        <v>454</v>
      </c>
      <c r="E60" s="1">
        <v>14</v>
      </c>
      <c r="F60" s="28" t="s">
        <v>466</v>
      </c>
      <c r="G60" s="27">
        <v>3</v>
      </c>
    </row>
    <row r="61" spans="1:7" ht="15.75" customHeight="1">
      <c r="A61" s="27"/>
      <c r="B61" s="27"/>
      <c r="C61" s="27"/>
      <c r="D61" s="1" t="s">
        <v>424</v>
      </c>
      <c r="E61" s="1">
        <v>15</v>
      </c>
      <c r="F61" s="28" t="s">
        <v>460</v>
      </c>
      <c r="G61" s="27">
        <v>16</v>
      </c>
    </row>
    <row r="62" spans="1:7" ht="15.75" customHeight="1">
      <c r="A62" s="27"/>
      <c r="B62" s="27"/>
      <c r="C62" s="27"/>
      <c r="D62" s="1" t="s">
        <v>424</v>
      </c>
      <c r="E62" s="1">
        <v>16</v>
      </c>
      <c r="F62" s="28" t="s">
        <v>462</v>
      </c>
      <c r="G62" s="27">
        <v>11</v>
      </c>
    </row>
    <row r="63" spans="1:7" ht="15.75" customHeight="1">
      <c r="A63" s="27"/>
      <c r="B63" s="27"/>
      <c r="C63" s="27"/>
      <c r="D63" s="1" t="s">
        <v>424</v>
      </c>
      <c r="E63" s="1">
        <v>17</v>
      </c>
      <c r="F63" s="28" t="s">
        <v>464</v>
      </c>
      <c r="G63" s="27">
        <v>6</v>
      </c>
    </row>
    <row r="64" spans="1:7" ht="15.75" customHeight="1">
      <c r="A64" s="27"/>
      <c r="B64" s="27"/>
      <c r="C64" s="27"/>
      <c r="D64" s="1" t="s">
        <v>424</v>
      </c>
      <c r="E64" s="1">
        <v>18</v>
      </c>
      <c r="F64" s="28" t="s">
        <v>469</v>
      </c>
      <c r="G64" s="27">
        <v>17</v>
      </c>
    </row>
    <row r="65" spans="1:7" ht="15.75" customHeight="1">
      <c r="A65" s="27"/>
      <c r="B65" s="27"/>
      <c r="C65" s="27"/>
      <c r="D65" s="1" t="s">
        <v>311</v>
      </c>
      <c r="E65" s="1">
        <v>1</v>
      </c>
      <c r="F65" s="28" t="s">
        <v>411</v>
      </c>
      <c r="G65" s="27">
        <v>75</v>
      </c>
    </row>
    <row r="66" spans="1:7" ht="15.75" customHeight="1">
      <c r="A66" s="27"/>
      <c r="B66" s="27"/>
      <c r="C66" s="27"/>
      <c r="D66" s="1" t="s">
        <v>311</v>
      </c>
      <c r="E66" s="1">
        <v>2</v>
      </c>
      <c r="F66" s="28" t="s">
        <v>346</v>
      </c>
      <c r="G66" s="27">
        <v>200</v>
      </c>
    </row>
    <row r="67" spans="1:7" ht="15.75" customHeight="1">
      <c r="A67" s="27"/>
      <c r="B67" s="27"/>
      <c r="C67" s="27"/>
      <c r="D67" s="1" t="s">
        <v>296</v>
      </c>
      <c r="E67" s="1">
        <v>10</v>
      </c>
      <c r="F67" s="28" t="s">
        <v>295</v>
      </c>
      <c r="G67" s="27">
        <v>91</v>
      </c>
    </row>
    <row r="68" spans="1:7" ht="15.75" customHeight="1">
      <c r="A68" s="27"/>
      <c r="B68" s="27"/>
      <c r="C68" s="27"/>
      <c r="D68" s="1" t="s">
        <v>296</v>
      </c>
      <c r="E68" s="1">
        <v>11</v>
      </c>
      <c r="F68" s="28" t="s">
        <v>413</v>
      </c>
      <c r="G68" s="27">
        <v>82</v>
      </c>
    </row>
    <row r="69" spans="1:7" ht="15.75" customHeight="1">
      <c r="A69" s="27"/>
      <c r="B69" s="27"/>
      <c r="C69" s="27"/>
      <c r="D69" s="1" t="s">
        <v>296</v>
      </c>
      <c r="E69" s="1">
        <v>13</v>
      </c>
      <c r="F69" s="28" t="s">
        <v>364</v>
      </c>
      <c r="G69" s="27">
        <v>9</v>
      </c>
    </row>
    <row r="70" spans="1:7" ht="15.75" customHeight="1">
      <c r="A70" s="27"/>
      <c r="B70" s="27"/>
      <c r="C70" s="27"/>
      <c r="D70" s="1" t="s">
        <v>296</v>
      </c>
      <c r="E70" s="1">
        <v>14</v>
      </c>
      <c r="F70" s="28" t="s">
        <v>418</v>
      </c>
      <c r="G70" s="27">
        <v>13</v>
      </c>
    </row>
    <row r="71" spans="1:7" ht="15.75" customHeight="1">
      <c r="A71" s="27"/>
      <c r="B71" s="27"/>
      <c r="C71" s="27"/>
      <c r="D71" s="1" t="s">
        <v>296</v>
      </c>
      <c r="E71" s="1">
        <v>15</v>
      </c>
      <c r="F71" s="28" t="s">
        <v>336</v>
      </c>
      <c r="G71" s="27">
        <v>3</v>
      </c>
    </row>
    <row r="72" spans="1:7" ht="15.75" customHeight="1">
      <c r="A72" s="27"/>
      <c r="B72" s="27"/>
      <c r="C72" s="27"/>
      <c r="D72" s="1" t="s">
        <v>296</v>
      </c>
      <c r="E72" s="1">
        <v>17</v>
      </c>
      <c r="F72" s="28" t="s">
        <v>376</v>
      </c>
      <c r="G72" s="27">
        <v>5</v>
      </c>
    </row>
    <row r="73" spans="1:7" ht="15.75" customHeight="1">
      <c r="A73" s="27"/>
      <c r="B73" s="27"/>
      <c r="C73" s="27"/>
      <c r="D73" s="1" t="s">
        <v>311</v>
      </c>
      <c r="E73" s="1">
        <v>18</v>
      </c>
      <c r="F73" s="28" t="s">
        <v>378</v>
      </c>
      <c r="G73" s="27">
        <v>8</v>
      </c>
    </row>
    <row r="74" spans="1:7" ht="15.75" customHeight="1">
      <c r="A74" s="27"/>
      <c r="B74" s="27"/>
      <c r="C74" s="27"/>
      <c r="D74" s="1" t="s">
        <v>311</v>
      </c>
      <c r="E74" s="1">
        <v>19</v>
      </c>
      <c r="F74" s="28" t="s">
        <v>380</v>
      </c>
      <c r="G74" s="27">
        <v>5</v>
      </c>
    </row>
    <row r="75" spans="1:7" ht="15.75" customHeight="1">
      <c r="A75" s="27"/>
      <c r="B75" s="27"/>
      <c r="C75" s="27"/>
      <c r="D75" s="1" t="s">
        <v>311</v>
      </c>
      <c r="E75" s="1">
        <v>22</v>
      </c>
      <c r="F75" s="28" t="s">
        <v>315</v>
      </c>
      <c r="G75" s="27">
        <v>26</v>
      </c>
    </row>
    <row r="76" spans="1:7" ht="15.75" customHeight="1">
      <c r="A76" s="27"/>
      <c r="B76" s="27"/>
      <c r="C76" s="27"/>
      <c r="D76" s="1" t="s">
        <v>311</v>
      </c>
      <c r="E76" s="1">
        <v>23</v>
      </c>
      <c r="F76" s="28" t="s">
        <v>370</v>
      </c>
      <c r="G76" s="27">
        <v>1</v>
      </c>
    </row>
    <row r="77" spans="1:7" ht="15.75" customHeight="1">
      <c r="A77" s="27"/>
      <c r="B77" s="27"/>
      <c r="C77" s="27"/>
      <c r="D77" s="1" t="s">
        <v>320</v>
      </c>
      <c r="E77" s="1">
        <v>25</v>
      </c>
      <c r="F77" s="28" t="s">
        <v>323</v>
      </c>
      <c r="G77" s="27">
        <v>100</v>
      </c>
    </row>
    <row r="78" spans="1:7" ht="15.75" customHeight="1">
      <c r="A78" s="27"/>
      <c r="B78" s="27"/>
      <c r="C78" s="27"/>
      <c r="D78" s="5" t="s">
        <v>62</v>
      </c>
      <c r="E78" s="1" t="s">
        <v>63</v>
      </c>
      <c r="F78" s="6" t="s">
        <v>365</v>
      </c>
      <c r="G78" s="27">
        <v>1</v>
      </c>
    </row>
    <row r="79" spans="1:7" ht="15.75" customHeight="1">
      <c r="A79" s="27"/>
      <c r="B79" s="27"/>
      <c r="C79" s="27"/>
      <c r="D79" s="1" t="s">
        <v>311</v>
      </c>
      <c r="E79" s="1">
        <v>23</v>
      </c>
      <c r="F79" s="28" t="s">
        <v>370</v>
      </c>
      <c r="G79" s="27">
        <v>1</v>
      </c>
    </row>
    <row r="80" spans="1:7" ht="15.75" customHeight="1">
      <c r="A80" s="27"/>
      <c r="B80" s="27"/>
      <c r="C80" s="27"/>
      <c r="D80" s="5" t="s">
        <v>62</v>
      </c>
      <c r="E80" s="1" t="s">
        <v>63</v>
      </c>
      <c r="F80" s="6" t="s">
        <v>363</v>
      </c>
      <c r="G80" s="27">
        <v>16</v>
      </c>
    </row>
    <row r="81" spans="1:7" ht="15.75" customHeight="1">
      <c r="A81" s="27"/>
      <c r="B81" s="27"/>
      <c r="C81" s="27"/>
      <c r="D81" s="5" t="s">
        <v>296</v>
      </c>
      <c r="E81" s="1">
        <v>9</v>
      </c>
      <c r="F81" s="6" t="s">
        <v>359</v>
      </c>
      <c r="G81" s="27">
        <v>16</v>
      </c>
    </row>
    <row r="82" spans="1:7" ht="15.75" customHeight="1">
      <c r="A82" s="27"/>
      <c r="B82" s="27"/>
      <c r="C82" s="27"/>
      <c r="D82" s="5" t="s">
        <v>296</v>
      </c>
      <c r="E82" s="1">
        <v>12</v>
      </c>
      <c r="F82" s="6" t="s">
        <v>361</v>
      </c>
      <c r="G82" s="27">
        <v>27</v>
      </c>
    </row>
    <row r="83" spans="1:7" ht="15.75" customHeight="1">
      <c r="A83" s="27"/>
      <c r="B83" s="27"/>
      <c r="C83" s="27"/>
      <c r="D83" s="5" t="s">
        <v>296</v>
      </c>
      <c r="E83" s="1">
        <v>11</v>
      </c>
      <c r="F83" s="6" t="s">
        <v>413</v>
      </c>
      <c r="G83" s="27">
        <v>11</v>
      </c>
    </row>
    <row r="84" spans="1:7" ht="15.75" customHeight="1">
      <c r="A84" s="27"/>
      <c r="B84" s="27"/>
      <c r="C84" s="27"/>
      <c r="D84" s="5" t="s">
        <v>296</v>
      </c>
      <c r="E84" s="1">
        <v>10</v>
      </c>
      <c r="F84" s="6" t="s">
        <v>295</v>
      </c>
      <c r="G84" s="27">
        <v>13</v>
      </c>
    </row>
    <row r="85" spans="1:7" ht="15.75" customHeight="1">
      <c r="A85" s="27"/>
      <c r="B85" s="27"/>
      <c r="C85" s="27"/>
      <c r="D85" s="5" t="s">
        <v>311</v>
      </c>
      <c r="E85" s="1">
        <v>3</v>
      </c>
      <c r="F85" s="6" t="s">
        <v>348</v>
      </c>
      <c r="G85" s="27">
        <v>10</v>
      </c>
    </row>
    <row r="86" spans="1:7" ht="15.75" customHeight="1">
      <c r="A86" s="27"/>
      <c r="B86" s="27"/>
      <c r="C86" s="27"/>
      <c r="D86" s="5" t="s">
        <v>320</v>
      </c>
      <c r="E86" s="1">
        <v>25</v>
      </c>
      <c r="F86" s="6" t="s">
        <v>323</v>
      </c>
      <c r="G86" s="27">
        <v>100</v>
      </c>
    </row>
    <row r="87" spans="1:7" ht="15.75" customHeight="1">
      <c r="A87" s="27"/>
      <c r="B87" s="27"/>
      <c r="C87" s="27"/>
      <c r="D87" s="5" t="s">
        <v>62</v>
      </c>
      <c r="E87" s="1" t="s">
        <v>63</v>
      </c>
      <c r="F87" s="6" t="s">
        <v>392</v>
      </c>
      <c r="G87" s="27">
        <v>16</v>
      </c>
    </row>
    <row r="88" spans="1:7" ht="15.75" customHeight="1">
      <c r="A88" s="27"/>
      <c r="B88" s="27"/>
      <c r="C88" s="27"/>
      <c r="D88" s="5" t="s">
        <v>68</v>
      </c>
      <c r="E88" s="1" t="s">
        <v>63</v>
      </c>
      <c r="F88" s="6" t="s">
        <v>392</v>
      </c>
      <c r="G88" s="27">
        <v>6</v>
      </c>
    </row>
    <row r="89" spans="1:7" ht="15.75" customHeight="1">
      <c r="A89" s="27"/>
      <c r="B89" s="27"/>
      <c r="C89" s="27"/>
      <c r="D89" s="5" t="s">
        <v>311</v>
      </c>
      <c r="E89" s="1">
        <v>1</v>
      </c>
      <c r="F89" s="6" t="s">
        <v>411</v>
      </c>
      <c r="G89" s="27">
        <v>100</v>
      </c>
    </row>
    <row r="90" spans="1:7" ht="15.75" customHeight="1">
      <c r="A90" s="27"/>
      <c r="B90" s="27"/>
      <c r="C90" s="27"/>
      <c r="D90" s="5" t="s">
        <v>208</v>
      </c>
      <c r="E90" s="1">
        <v>32</v>
      </c>
      <c r="F90" s="6" t="s">
        <v>286</v>
      </c>
      <c r="G90" s="27">
        <v>4</v>
      </c>
    </row>
    <row r="91" spans="1:7" ht="15.75" customHeight="1">
      <c r="A91" s="27"/>
      <c r="B91" s="27"/>
      <c r="C91" s="27"/>
      <c r="D91" s="5" t="s">
        <v>296</v>
      </c>
      <c r="E91" s="1">
        <v>14</v>
      </c>
      <c r="F91" s="6" t="s">
        <v>418</v>
      </c>
      <c r="G91" s="27">
        <v>11</v>
      </c>
    </row>
    <row r="92" spans="1:7" ht="15.75" customHeight="1">
      <c r="A92" s="27"/>
      <c r="B92" s="27"/>
      <c r="C92" s="27"/>
      <c r="D92" s="11" t="s">
        <v>62</v>
      </c>
      <c r="E92" s="1" t="s">
        <v>63</v>
      </c>
      <c r="F92" s="6" t="s">
        <v>179</v>
      </c>
      <c r="G92" s="27">
        <v>2</v>
      </c>
    </row>
    <row r="93" spans="1:7" ht="15.75" customHeight="1">
      <c r="A93" s="27"/>
      <c r="B93" s="27"/>
      <c r="C93" s="27"/>
      <c r="D93" s="11" t="s">
        <v>62</v>
      </c>
      <c r="E93" s="1" t="s">
        <v>63</v>
      </c>
      <c r="F93" s="6" t="s">
        <v>180</v>
      </c>
      <c r="G93" s="27">
        <v>3</v>
      </c>
    </row>
    <row r="94" spans="1:7" ht="15.75" customHeight="1">
      <c r="A94" s="27"/>
      <c r="B94" s="27"/>
      <c r="C94" s="27"/>
      <c r="D94" s="5" t="s">
        <v>59</v>
      </c>
      <c r="E94" s="1">
        <v>26</v>
      </c>
      <c r="F94" s="6" t="s">
        <v>265</v>
      </c>
      <c r="G94" s="27">
        <v>20</v>
      </c>
    </row>
    <row r="95" spans="1:7" ht="15.75" customHeight="1">
      <c r="A95" s="27"/>
      <c r="B95" s="27"/>
      <c r="C95" s="27"/>
      <c r="D95" s="5" t="s">
        <v>59</v>
      </c>
      <c r="E95" s="1">
        <v>24</v>
      </c>
      <c r="F95" s="6" t="s">
        <v>261</v>
      </c>
      <c r="G95" s="27">
        <v>40</v>
      </c>
    </row>
    <row r="96" spans="1:7" ht="15.75" customHeight="1">
      <c r="A96" s="27"/>
      <c r="B96" s="27"/>
      <c r="C96" s="27"/>
      <c r="D96" s="5" t="s">
        <v>106</v>
      </c>
      <c r="E96" s="1">
        <v>12</v>
      </c>
      <c r="F96" s="6" t="s">
        <v>224</v>
      </c>
      <c r="G96" s="27">
        <v>5</v>
      </c>
    </row>
    <row r="97" spans="1:7" ht="15.75" customHeight="1">
      <c r="A97" s="27"/>
      <c r="B97" s="27"/>
      <c r="C97" s="27"/>
      <c r="D97" s="5" t="s">
        <v>70</v>
      </c>
      <c r="E97" s="1">
        <v>1</v>
      </c>
      <c r="F97" s="6" t="s">
        <v>141</v>
      </c>
      <c r="G97" s="27">
        <v>6</v>
      </c>
    </row>
    <row r="98" spans="1:7" ht="15.75" customHeight="1">
      <c r="A98" s="27"/>
      <c r="B98" s="27"/>
      <c r="C98" s="27"/>
      <c r="D98" s="5" t="s">
        <v>59</v>
      </c>
      <c r="E98" s="1">
        <v>19</v>
      </c>
      <c r="F98" s="6" t="s">
        <v>58</v>
      </c>
      <c r="G98" s="27">
        <v>2</v>
      </c>
    </row>
    <row r="99" spans="1:7" ht="15.75" customHeight="1">
      <c r="A99" s="27"/>
      <c r="B99" s="27"/>
      <c r="C99" s="27"/>
      <c r="D99" s="5" t="s">
        <v>59</v>
      </c>
      <c r="E99" s="1">
        <v>15</v>
      </c>
      <c r="F99" s="6" t="s">
        <v>111</v>
      </c>
      <c r="G99" s="27">
        <v>8</v>
      </c>
    </row>
    <row r="100" spans="1:7" ht="15.75" customHeight="1">
      <c r="A100" s="27"/>
      <c r="B100" s="27"/>
      <c r="C100" s="27"/>
      <c r="D100" s="5" t="s">
        <v>109</v>
      </c>
      <c r="E100" s="1">
        <v>31</v>
      </c>
      <c r="F100" s="6" t="s">
        <v>173</v>
      </c>
      <c r="G100" s="27">
        <v>3</v>
      </c>
    </row>
    <row r="101" spans="1:7" ht="15.75" customHeight="1">
      <c r="A101" s="27"/>
      <c r="B101" s="27"/>
      <c r="C101" s="27"/>
      <c r="D101" s="5" t="s">
        <v>70</v>
      </c>
      <c r="E101" s="1">
        <v>5</v>
      </c>
      <c r="F101" s="6" t="s">
        <v>72</v>
      </c>
      <c r="G101" s="27">
        <v>2</v>
      </c>
    </row>
    <row r="102" spans="1:7" ht="15.75" customHeight="1">
      <c r="A102" s="27"/>
      <c r="B102" s="27"/>
      <c r="C102" s="27"/>
      <c r="D102" s="5" t="s">
        <v>424</v>
      </c>
      <c r="E102" s="1">
        <v>10</v>
      </c>
      <c r="F102" s="6" t="s">
        <v>423</v>
      </c>
      <c r="G102" s="27">
        <v>4</v>
      </c>
    </row>
    <row r="103" spans="1:7" ht="15.75" customHeight="1">
      <c r="A103" s="27"/>
      <c r="B103" s="27"/>
      <c r="C103" s="27"/>
      <c r="D103" s="5" t="s">
        <v>424</v>
      </c>
      <c r="E103" s="1">
        <v>15</v>
      </c>
      <c r="F103" s="6" t="s">
        <v>460</v>
      </c>
      <c r="G103" s="27">
        <v>12</v>
      </c>
    </row>
    <row r="104" spans="1:7" ht="15.75" customHeight="1">
      <c r="A104" s="27"/>
      <c r="B104" s="27"/>
      <c r="C104" s="27"/>
      <c r="D104" s="11" t="s">
        <v>62</v>
      </c>
      <c r="E104" s="1" t="s">
        <v>63</v>
      </c>
      <c r="F104" s="6" t="s">
        <v>422</v>
      </c>
      <c r="G104" s="27">
        <v>4</v>
      </c>
    </row>
    <row r="105" spans="1:7" ht="15.75" customHeight="1">
      <c r="A105" s="27"/>
      <c r="B105" s="27"/>
      <c r="C105" s="27"/>
      <c r="D105" s="5" t="s">
        <v>424</v>
      </c>
      <c r="E105" s="1">
        <v>16</v>
      </c>
      <c r="F105" s="6" t="s">
        <v>462</v>
      </c>
      <c r="G105" s="27">
        <v>8</v>
      </c>
    </row>
    <row r="106" spans="1:7" ht="15.75" customHeight="1">
      <c r="A106" s="27"/>
      <c r="B106" s="27"/>
      <c r="C106" s="27"/>
      <c r="D106" s="5" t="s">
        <v>424</v>
      </c>
      <c r="E106" s="1">
        <v>1</v>
      </c>
      <c r="F106" s="6" t="s">
        <v>426</v>
      </c>
      <c r="G106" s="27">
        <v>4</v>
      </c>
    </row>
    <row r="107" spans="1:7" ht="15.75" customHeight="1">
      <c r="A107" s="27"/>
      <c r="B107" s="27"/>
      <c r="C107" s="27"/>
      <c r="D107" s="5" t="s">
        <v>424</v>
      </c>
      <c r="E107" s="1">
        <v>4</v>
      </c>
      <c r="F107" s="6" t="s">
        <v>439</v>
      </c>
      <c r="G107" s="27">
        <v>1</v>
      </c>
    </row>
    <row r="108" spans="1:7" ht="15.75" customHeight="1">
      <c r="A108" s="27"/>
      <c r="B108" s="27"/>
      <c r="C108" s="27"/>
      <c r="D108" s="5" t="s">
        <v>424</v>
      </c>
      <c r="E108" s="1">
        <v>6</v>
      </c>
      <c r="F108" s="6" t="s">
        <v>428</v>
      </c>
      <c r="G108" s="27">
        <v>6</v>
      </c>
    </row>
    <row r="109" spans="1:7" ht="15.75" customHeight="1">
      <c r="A109" s="27"/>
      <c r="B109" s="27"/>
      <c r="C109" s="27"/>
      <c r="D109" s="5" t="s">
        <v>424</v>
      </c>
      <c r="E109" s="1">
        <v>18</v>
      </c>
      <c r="F109" s="6" t="s">
        <v>469</v>
      </c>
      <c r="G109" s="27">
        <v>11</v>
      </c>
    </row>
    <row r="110" spans="1:7" ht="15.75" customHeight="1">
      <c r="A110" s="27"/>
      <c r="B110" s="27"/>
      <c r="C110" s="27"/>
      <c r="D110" s="5" t="s">
        <v>424</v>
      </c>
      <c r="E110" s="1">
        <v>17</v>
      </c>
      <c r="F110" s="6" t="s">
        <v>464</v>
      </c>
      <c r="G110" s="27">
        <v>3</v>
      </c>
    </row>
    <row r="111" spans="1:7" ht="15.75" customHeight="1">
      <c r="A111" s="27"/>
      <c r="B111" s="27"/>
      <c r="C111" s="27"/>
      <c r="D111" s="11" t="s">
        <v>62</v>
      </c>
      <c r="E111" s="1" t="s">
        <v>63</v>
      </c>
      <c r="F111" s="6" t="s">
        <v>434</v>
      </c>
      <c r="G111" s="27">
        <v>1</v>
      </c>
    </row>
    <row r="112" spans="1:7" ht="15.75" customHeight="1">
      <c r="A112" s="27"/>
      <c r="B112" s="27"/>
      <c r="C112" s="27"/>
      <c r="D112" s="5" t="s">
        <v>18</v>
      </c>
      <c r="E112" s="1">
        <v>23</v>
      </c>
      <c r="F112" s="6" t="s">
        <v>55</v>
      </c>
      <c r="G112" s="27">
        <v>72</v>
      </c>
    </row>
    <row r="113" spans="1:7" ht="15.75" customHeight="1">
      <c r="A113" s="27"/>
      <c r="B113" s="27"/>
      <c r="C113" s="27"/>
      <c r="D113" s="5" t="s">
        <v>18</v>
      </c>
      <c r="E113" s="1">
        <v>22</v>
      </c>
      <c r="F113" s="6" t="s">
        <v>53</v>
      </c>
      <c r="G113" s="27">
        <v>12</v>
      </c>
    </row>
    <row r="114" spans="1:7" ht="15.75" customHeight="1">
      <c r="A114" s="27"/>
      <c r="B114" s="27"/>
      <c r="C114" s="27"/>
      <c r="D114" s="5" t="s">
        <v>18</v>
      </c>
      <c r="E114" s="1">
        <v>11</v>
      </c>
      <c r="F114" s="6" t="s">
        <v>34</v>
      </c>
      <c r="G114" s="27">
        <v>6</v>
      </c>
    </row>
    <row r="115" spans="1:7" ht="15.75" customHeight="1">
      <c r="A115" s="27"/>
      <c r="B115" s="27"/>
      <c r="C115" s="27"/>
      <c r="D115" s="5" t="s">
        <v>18</v>
      </c>
      <c r="E115" s="1">
        <v>20</v>
      </c>
      <c r="F115" s="6" t="s">
        <v>49</v>
      </c>
      <c r="G115" s="27">
        <v>20</v>
      </c>
    </row>
    <row r="116" spans="1:7" ht="15.75" customHeight="1">
      <c r="A116" s="27"/>
      <c r="B116" s="27"/>
      <c r="C116" s="27"/>
      <c r="D116" s="5" t="s">
        <v>18</v>
      </c>
      <c r="E116" s="1">
        <v>21</v>
      </c>
      <c r="F116" s="6" t="s">
        <v>51</v>
      </c>
      <c r="G116" s="27">
        <v>64</v>
      </c>
    </row>
    <row r="117" spans="1:7" ht="15.75" customHeight="1">
      <c r="A117" s="27"/>
      <c r="B117" s="27"/>
      <c r="C117" s="27"/>
      <c r="D117" s="5" t="s">
        <v>18</v>
      </c>
      <c r="E117" s="1">
        <v>18</v>
      </c>
      <c r="F117" s="6" t="s">
        <v>46</v>
      </c>
      <c r="G117" s="27">
        <v>64</v>
      </c>
    </row>
    <row r="118" spans="1:7" ht="15.75" customHeight="1">
      <c r="A118" s="27"/>
      <c r="B118" s="27"/>
      <c r="C118" s="27"/>
      <c r="D118" s="5" t="s">
        <v>18</v>
      </c>
      <c r="E118" s="1">
        <v>19</v>
      </c>
      <c r="F118" s="6" t="s">
        <v>48</v>
      </c>
      <c r="G118" s="27">
        <v>20</v>
      </c>
    </row>
    <row r="119" spans="1:7" ht="15.75" customHeight="1">
      <c r="A119" s="27"/>
      <c r="B119" s="27"/>
      <c r="C119" s="27"/>
      <c r="D119" s="5" t="s">
        <v>18</v>
      </c>
      <c r="E119" s="1">
        <v>8</v>
      </c>
      <c r="F119" s="6" t="s">
        <v>28</v>
      </c>
      <c r="G119" s="27">
        <v>2</v>
      </c>
    </row>
    <row r="120" spans="1:7" ht="15.75" customHeight="1">
      <c r="A120" s="27"/>
      <c r="B120" s="27"/>
      <c r="C120" s="27"/>
      <c r="D120" s="5" t="s">
        <v>18</v>
      </c>
      <c r="E120" s="1">
        <v>10</v>
      </c>
      <c r="F120" s="6" t="s">
        <v>32</v>
      </c>
      <c r="G120" s="27">
        <v>8</v>
      </c>
    </row>
    <row r="121" spans="1:7" ht="15.75" customHeight="1">
      <c r="A121" s="27"/>
      <c r="B121" s="27"/>
      <c r="C121" s="27"/>
      <c r="D121" s="5" t="s">
        <v>18</v>
      </c>
      <c r="E121" s="1">
        <v>9</v>
      </c>
      <c r="F121" s="6" t="s">
        <v>30</v>
      </c>
      <c r="G121" s="27">
        <v>6</v>
      </c>
    </row>
    <row r="122" spans="1:7" ht="15.75" customHeight="1">
      <c r="A122" s="27"/>
      <c r="B122" s="27"/>
      <c r="C122" s="27"/>
      <c r="D122" s="5" t="s">
        <v>18</v>
      </c>
      <c r="E122" s="1">
        <v>7</v>
      </c>
      <c r="F122" s="6" t="s">
        <v>26</v>
      </c>
      <c r="G122" s="27">
        <v>3</v>
      </c>
    </row>
    <row r="123" spans="1:7" ht="15.75" customHeight="1">
      <c r="A123" s="27"/>
      <c r="B123" s="27"/>
      <c r="C123" s="27"/>
      <c r="D123" s="5" t="s">
        <v>18</v>
      </c>
      <c r="E123" s="1">
        <v>6</v>
      </c>
      <c r="F123" s="6" t="s">
        <v>24</v>
      </c>
      <c r="G123" s="27">
        <v>3</v>
      </c>
    </row>
    <row r="124" spans="1:7" ht="15.75" customHeight="1">
      <c r="A124" s="27"/>
      <c r="B124" s="27"/>
      <c r="C124" s="27"/>
      <c r="D124" s="5" t="s">
        <v>18</v>
      </c>
      <c r="E124" s="1">
        <v>17</v>
      </c>
      <c r="F124" s="6" t="s">
        <v>44</v>
      </c>
      <c r="G124" s="27">
        <v>2</v>
      </c>
    </row>
    <row r="125" spans="1:7" ht="15.75" customHeight="1">
      <c r="A125" s="27"/>
      <c r="B125" s="27"/>
      <c r="C125" s="27"/>
      <c r="D125" s="5" t="s">
        <v>18</v>
      </c>
      <c r="E125" s="1">
        <v>5</v>
      </c>
      <c r="F125" s="6" t="s">
        <v>22</v>
      </c>
      <c r="G125" s="27">
        <v>1</v>
      </c>
    </row>
    <row r="126" spans="1:7" ht="15.75" customHeight="1">
      <c r="A126" s="27"/>
      <c r="B126" s="27"/>
      <c r="C126" s="27"/>
      <c r="D126" s="11" t="s">
        <v>62</v>
      </c>
      <c r="E126" s="1" t="s">
        <v>63</v>
      </c>
      <c r="F126" s="6" t="s">
        <v>678</v>
      </c>
      <c r="G126" s="27">
        <v>8</v>
      </c>
    </row>
    <row r="127" spans="1:7" ht="15.75" customHeight="1">
      <c r="A127" s="27"/>
      <c r="B127" s="27"/>
      <c r="C127" s="27"/>
      <c r="D127" s="11" t="s">
        <v>62</v>
      </c>
      <c r="E127" s="1" t="s">
        <v>63</v>
      </c>
      <c r="F127" s="6" t="s">
        <v>663</v>
      </c>
      <c r="G127" s="27">
        <v>7</v>
      </c>
    </row>
    <row r="128" spans="1:7" ht="17.25" customHeight="1">
      <c r="A128" s="27"/>
      <c r="B128" s="27"/>
      <c r="C128" s="27"/>
      <c r="D128" s="11" t="s">
        <v>62</v>
      </c>
      <c r="E128" s="1" t="s">
        <v>63</v>
      </c>
      <c r="F128" s="6" t="s">
        <v>661</v>
      </c>
      <c r="G128" s="27">
        <v>3</v>
      </c>
    </row>
    <row r="129" spans="1:7" ht="17.25" customHeight="1">
      <c r="A129" s="27"/>
      <c r="B129" s="27"/>
      <c r="C129" s="27"/>
      <c r="D129" s="11" t="s">
        <v>62</v>
      </c>
      <c r="E129" s="1" t="s">
        <v>63</v>
      </c>
      <c r="F129" s="6" t="s">
        <v>662</v>
      </c>
      <c r="G129" s="27">
        <v>1</v>
      </c>
    </row>
    <row r="130" spans="1:7" ht="17.25" customHeight="1">
      <c r="A130" s="27"/>
      <c r="B130" s="27"/>
      <c r="C130" s="27"/>
      <c r="D130" s="11" t="s">
        <v>62</v>
      </c>
      <c r="E130" s="1" t="s">
        <v>63</v>
      </c>
      <c r="F130" s="6" t="s">
        <v>648</v>
      </c>
      <c r="G130" s="27">
        <v>1</v>
      </c>
    </row>
    <row r="131" spans="1:7" ht="17.25" customHeight="1">
      <c r="A131" s="27"/>
      <c r="B131" s="27"/>
      <c r="C131" s="27"/>
      <c r="D131" s="5" t="s">
        <v>586</v>
      </c>
      <c r="E131" s="1">
        <v>1</v>
      </c>
      <c r="F131" s="6" t="s">
        <v>585</v>
      </c>
      <c r="G131" s="27">
        <v>53</v>
      </c>
    </row>
    <row r="132" spans="1:7" ht="17.25" customHeight="1">
      <c r="A132" s="27"/>
      <c r="B132" s="27"/>
      <c r="C132" s="27"/>
      <c r="D132" s="11" t="s">
        <v>62</v>
      </c>
      <c r="E132" s="1" t="s">
        <v>63</v>
      </c>
      <c r="F132" s="6" t="s">
        <v>497</v>
      </c>
      <c r="G132" s="27">
        <v>275</v>
      </c>
    </row>
    <row r="133" spans="1:7" ht="17.25" customHeight="1">
      <c r="A133" s="27"/>
      <c r="B133" s="27"/>
      <c r="C133" s="27"/>
      <c r="D133" s="5" t="s">
        <v>479</v>
      </c>
      <c r="E133" s="1">
        <v>5</v>
      </c>
      <c r="F133" s="6" t="s">
        <v>495</v>
      </c>
      <c r="G133" s="27">
        <v>291</v>
      </c>
    </row>
    <row r="134" spans="1:7" ht="17.25" customHeight="1">
      <c r="A134" s="27"/>
      <c r="B134" s="27"/>
      <c r="C134" s="27"/>
      <c r="D134" s="11" t="s">
        <v>62</v>
      </c>
      <c r="E134" s="1" t="s">
        <v>63</v>
      </c>
      <c r="F134" s="6" t="s">
        <v>557</v>
      </c>
      <c r="G134" s="27">
        <v>127</v>
      </c>
    </row>
    <row r="135" spans="1:7" ht="17.25" customHeight="1">
      <c r="A135" s="27"/>
      <c r="B135" s="27"/>
      <c r="C135" s="27"/>
      <c r="D135" s="5" t="s">
        <v>489</v>
      </c>
      <c r="E135" s="1">
        <v>28</v>
      </c>
      <c r="F135" s="6" t="s">
        <v>604</v>
      </c>
      <c r="G135" s="27">
        <v>32</v>
      </c>
    </row>
    <row r="136" spans="1:7" ht="17.25" customHeight="1">
      <c r="A136" s="27"/>
      <c r="B136" s="27"/>
      <c r="C136" s="27"/>
      <c r="D136" s="5" t="s">
        <v>489</v>
      </c>
      <c r="E136" s="1">
        <v>27</v>
      </c>
      <c r="F136" s="6" t="s">
        <v>602</v>
      </c>
      <c r="G136" s="27">
        <v>35</v>
      </c>
    </row>
    <row r="137" spans="1:7" ht="17.25" customHeight="1">
      <c r="A137" s="27"/>
      <c r="B137" s="27"/>
      <c r="C137" s="27"/>
      <c r="D137" s="5" t="s">
        <v>489</v>
      </c>
      <c r="E137" s="1">
        <v>29</v>
      </c>
      <c r="F137" s="6" t="s">
        <v>606</v>
      </c>
      <c r="G137" s="27">
        <v>65</v>
      </c>
    </row>
    <row r="138" spans="1:7" ht="17.25" customHeight="1">
      <c r="A138" s="27"/>
      <c r="B138" s="27"/>
      <c r="C138" s="27"/>
      <c r="D138" s="11" t="s">
        <v>62</v>
      </c>
      <c r="E138" s="1" t="s">
        <v>63</v>
      </c>
      <c r="F138" s="6" t="s">
        <v>551</v>
      </c>
      <c r="G138" s="27">
        <v>60</v>
      </c>
    </row>
    <row r="139" spans="1:7" ht="17.25" customHeight="1">
      <c r="A139" s="27"/>
      <c r="B139" s="27"/>
      <c r="C139" s="27"/>
      <c r="D139" s="5" t="s">
        <v>479</v>
      </c>
      <c r="E139" s="1">
        <v>32</v>
      </c>
      <c r="F139" s="6" t="s">
        <v>611</v>
      </c>
      <c r="G139" s="27">
        <v>24</v>
      </c>
    </row>
    <row r="140" spans="1:7" ht="17.25" customHeight="1">
      <c r="A140" s="27"/>
      <c r="B140" s="27"/>
      <c r="C140" s="27"/>
      <c r="D140" s="11" t="s">
        <v>62</v>
      </c>
      <c r="E140" s="1" t="s">
        <v>63</v>
      </c>
      <c r="F140" s="6" t="s">
        <v>514</v>
      </c>
      <c r="G140" s="27">
        <v>445</v>
      </c>
    </row>
    <row r="141" spans="1:7" ht="17.25" customHeight="1">
      <c r="A141" s="27"/>
      <c r="B141" s="27"/>
      <c r="C141" s="27"/>
      <c r="D141" s="5" t="s">
        <v>479</v>
      </c>
      <c r="E141" s="1">
        <v>33</v>
      </c>
      <c r="F141" s="6" t="s">
        <v>628</v>
      </c>
      <c r="G141" s="27">
        <v>27</v>
      </c>
    </row>
    <row r="142" spans="1:7" ht="17.25" customHeight="1">
      <c r="A142" s="27"/>
      <c r="B142" s="27"/>
      <c r="C142" s="27"/>
      <c r="D142" s="5" t="s">
        <v>531</v>
      </c>
      <c r="E142" s="1">
        <v>18</v>
      </c>
      <c r="F142" s="6" t="s">
        <v>548</v>
      </c>
      <c r="G142" s="27">
        <v>1710</v>
      </c>
    </row>
    <row r="143" spans="1:7" ht="17.25" customHeight="1">
      <c r="A143" s="27"/>
      <c r="B143" s="27"/>
      <c r="C143" s="27"/>
      <c r="D143" s="5" t="s">
        <v>489</v>
      </c>
      <c r="E143" s="1">
        <v>31</v>
      </c>
      <c r="F143" s="6" t="s">
        <v>609</v>
      </c>
      <c r="G143" s="27">
        <v>70</v>
      </c>
    </row>
    <row r="144" spans="1:7" ht="17.25" customHeight="1">
      <c r="A144" s="27"/>
      <c r="B144" s="27"/>
      <c r="C144" s="27"/>
      <c r="D144" s="11" t="s">
        <v>62</v>
      </c>
      <c r="E144" s="1" t="s">
        <v>63</v>
      </c>
      <c r="F144" s="6" t="s">
        <v>630</v>
      </c>
      <c r="G144" s="27">
        <v>36</v>
      </c>
    </row>
    <row r="145" spans="1:7" ht="17.25" customHeight="1">
      <c r="A145" s="27"/>
      <c r="B145" s="27"/>
      <c r="C145" s="27"/>
      <c r="D145" s="11" t="s">
        <v>62</v>
      </c>
      <c r="E145" s="1" t="s">
        <v>63</v>
      </c>
      <c r="F145" s="6" t="s">
        <v>501</v>
      </c>
      <c r="G145" s="27">
        <v>43</v>
      </c>
    </row>
    <row r="146" spans="1:7" ht="17.25" customHeight="1">
      <c r="A146" s="27"/>
      <c r="B146" s="27"/>
      <c r="C146" s="27"/>
      <c r="D146" s="5" t="s">
        <v>489</v>
      </c>
      <c r="E146" s="1">
        <v>30</v>
      </c>
      <c r="F146" s="6" t="s">
        <v>608</v>
      </c>
      <c r="G146" s="27">
        <v>77</v>
      </c>
    </row>
    <row r="147" spans="1:7" ht="17.25" customHeight="1">
      <c r="A147" s="27"/>
      <c r="B147" s="27"/>
      <c r="C147" s="27"/>
      <c r="D147" s="11" t="s">
        <v>62</v>
      </c>
      <c r="E147" s="1" t="s">
        <v>63</v>
      </c>
      <c r="F147" s="6" t="s">
        <v>576</v>
      </c>
      <c r="G147" s="27">
        <v>30</v>
      </c>
    </row>
    <row r="148" spans="1:7" ht="17.25" customHeight="1">
      <c r="A148" s="27"/>
      <c r="B148" s="27"/>
      <c r="C148" s="27"/>
      <c r="D148" s="11" t="s">
        <v>62</v>
      </c>
      <c r="E148" s="1" t="s">
        <v>63</v>
      </c>
      <c r="F148" s="6" t="s">
        <v>574</v>
      </c>
      <c r="G148" s="27">
        <v>7</v>
      </c>
    </row>
    <row r="149" spans="1:7" ht="17.25" customHeight="1">
      <c r="A149" s="27"/>
      <c r="B149" s="27"/>
      <c r="C149" s="27"/>
      <c r="D149" s="11" t="s">
        <v>62</v>
      </c>
      <c r="E149" s="1" t="s">
        <v>63</v>
      </c>
      <c r="F149" s="6" t="s">
        <v>498</v>
      </c>
      <c r="G149" s="27">
        <v>84</v>
      </c>
    </row>
    <row r="150" spans="1:7" ht="17.25" customHeight="1">
      <c r="A150" s="27"/>
      <c r="B150" s="27"/>
      <c r="C150" s="27"/>
      <c r="D150" s="11" t="s">
        <v>62</v>
      </c>
      <c r="E150" s="1" t="s">
        <v>63</v>
      </c>
      <c r="F150" s="6" t="s">
        <v>533</v>
      </c>
      <c r="G150" s="27">
        <v>52</v>
      </c>
    </row>
    <row r="151" spans="1:7" ht="17.25" customHeight="1">
      <c r="A151" s="27"/>
      <c r="B151" s="27"/>
      <c r="C151" s="27"/>
      <c r="D151" s="11" t="s">
        <v>62</v>
      </c>
      <c r="E151" s="1" t="s">
        <v>63</v>
      </c>
      <c r="F151" s="6" t="s">
        <v>499</v>
      </c>
      <c r="G151" s="27">
        <v>70</v>
      </c>
    </row>
    <row r="152" spans="1:7" ht="17.25" customHeight="1">
      <c r="A152" s="27"/>
      <c r="B152" s="27"/>
      <c r="C152" s="27"/>
      <c r="D152" s="11" t="s">
        <v>62</v>
      </c>
      <c r="E152" s="1" t="s">
        <v>63</v>
      </c>
      <c r="F152" s="6" t="s">
        <v>484</v>
      </c>
      <c r="G152" s="27">
        <v>17</v>
      </c>
    </row>
    <row r="153" spans="1:7" ht="17.25" customHeight="1">
      <c r="A153" s="27"/>
      <c r="B153" s="27"/>
      <c r="C153" s="27"/>
      <c r="D153" s="11" t="s">
        <v>62</v>
      </c>
      <c r="E153" s="1" t="s">
        <v>63</v>
      </c>
      <c r="F153" s="6" t="s">
        <v>483</v>
      </c>
      <c r="G153" s="27">
        <v>11</v>
      </c>
    </row>
    <row r="154" spans="1:7" ht="17.25" customHeight="1">
      <c r="A154" s="27"/>
      <c r="B154" s="27"/>
      <c r="C154" s="27"/>
      <c r="D154" s="11" t="s">
        <v>62</v>
      </c>
      <c r="E154" s="1" t="s">
        <v>63</v>
      </c>
      <c r="F154" s="6" t="s">
        <v>588</v>
      </c>
      <c r="G154" s="27">
        <v>39</v>
      </c>
    </row>
    <row r="155" spans="1:7" ht="17.25" customHeight="1">
      <c r="A155" s="27"/>
      <c r="B155" s="27"/>
      <c r="C155" s="27"/>
      <c r="D155" s="11" t="s">
        <v>62</v>
      </c>
      <c r="E155" s="1" t="s">
        <v>63</v>
      </c>
      <c r="F155" s="6" t="s">
        <v>566</v>
      </c>
      <c r="G155" s="27">
        <v>14</v>
      </c>
    </row>
    <row r="156" spans="1:7" ht="17.25" customHeight="1">
      <c r="A156" s="27"/>
      <c r="B156" s="27"/>
      <c r="C156" s="27"/>
      <c r="D156" s="11" t="s">
        <v>62</v>
      </c>
      <c r="E156" s="1" t="s">
        <v>63</v>
      </c>
      <c r="F156" s="6" t="s">
        <v>481</v>
      </c>
      <c r="G156" s="27">
        <v>12</v>
      </c>
    </row>
    <row r="157" spans="1:7" ht="17.25" customHeight="1">
      <c r="A157" s="27"/>
      <c r="B157" s="27"/>
      <c r="C157" s="27"/>
      <c r="D157" s="11" t="s">
        <v>62</v>
      </c>
      <c r="E157" s="1" t="s">
        <v>63</v>
      </c>
      <c r="F157" s="6" t="s">
        <v>482</v>
      </c>
      <c r="G157" s="27">
        <v>27</v>
      </c>
    </row>
    <row r="158" spans="1:7" ht="17.25" customHeight="1">
      <c r="A158" s="27"/>
      <c r="B158" s="27"/>
      <c r="C158" s="27"/>
      <c r="D158" s="11" t="s">
        <v>62</v>
      </c>
      <c r="E158" s="1" t="s">
        <v>63</v>
      </c>
      <c r="F158" s="6" t="s">
        <v>550</v>
      </c>
      <c r="G158" s="27">
        <v>425</v>
      </c>
    </row>
    <row r="159" spans="1:7" ht="17.25" customHeight="1">
      <c r="A159" s="27"/>
      <c r="B159" s="27"/>
      <c r="C159" s="27"/>
      <c r="D159" s="11" t="s">
        <v>62</v>
      </c>
      <c r="E159" s="1" t="s">
        <v>63</v>
      </c>
      <c r="F159" s="6" t="s">
        <v>617</v>
      </c>
      <c r="G159" s="27">
        <v>80</v>
      </c>
    </row>
    <row r="160" spans="1:7" ht="17.25" customHeight="1">
      <c r="A160" s="27"/>
      <c r="B160" s="27"/>
      <c r="C160" s="27"/>
      <c r="D160" s="11" t="s">
        <v>62</v>
      </c>
      <c r="E160" s="1" t="s">
        <v>63</v>
      </c>
      <c r="F160" s="6" t="s">
        <v>581</v>
      </c>
      <c r="G160" s="27">
        <v>21</v>
      </c>
    </row>
    <row r="161" spans="1:7" ht="17.25" customHeight="1">
      <c r="A161" s="27"/>
      <c r="B161" s="27"/>
      <c r="C161" s="27"/>
      <c r="D161" s="11" t="s">
        <v>62</v>
      </c>
      <c r="E161" s="1" t="s">
        <v>63</v>
      </c>
      <c r="F161" s="6" t="s">
        <v>579</v>
      </c>
      <c r="G161" s="27">
        <v>17</v>
      </c>
    </row>
    <row r="162" spans="1:7" ht="17.25" customHeight="1">
      <c r="A162" s="27"/>
      <c r="B162" s="27"/>
      <c r="C162" s="27"/>
      <c r="D162" s="11" t="s">
        <v>62</v>
      </c>
      <c r="E162" s="1" t="s">
        <v>63</v>
      </c>
      <c r="F162" s="6" t="s">
        <v>580</v>
      </c>
      <c r="G162" s="27">
        <v>8</v>
      </c>
    </row>
    <row r="163" spans="1:7" ht="17.25" customHeight="1">
      <c r="A163" s="27"/>
      <c r="B163" s="27"/>
      <c r="C163" s="27"/>
      <c r="D163" s="11" t="s">
        <v>62</v>
      </c>
      <c r="E163" s="1" t="s">
        <v>63</v>
      </c>
      <c r="F163" s="6" t="s">
        <v>582</v>
      </c>
      <c r="G163" s="27">
        <v>11</v>
      </c>
    </row>
    <row r="164" spans="1:7" ht="17.25" customHeight="1">
      <c r="A164" s="27"/>
      <c r="B164" s="27"/>
      <c r="C164" s="27"/>
      <c r="D164" s="11" t="s">
        <v>62</v>
      </c>
      <c r="E164" s="1" t="s">
        <v>63</v>
      </c>
      <c r="F164" s="6" t="s">
        <v>583</v>
      </c>
      <c r="G164" s="27">
        <v>8</v>
      </c>
    </row>
    <row r="165" spans="1:7" ht="17.25" customHeight="1">
      <c r="A165" s="27"/>
      <c r="B165" s="27"/>
      <c r="C165" s="27"/>
      <c r="D165" s="5" t="s">
        <v>489</v>
      </c>
      <c r="E165" s="1">
        <v>14</v>
      </c>
      <c r="F165" s="6" t="s">
        <v>540</v>
      </c>
      <c r="G165" s="27">
        <v>37</v>
      </c>
    </row>
    <row r="166" spans="1:7" ht="17.25" customHeight="1">
      <c r="A166" s="27"/>
      <c r="B166" s="27"/>
      <c r="C166" s="27"/>
      <c r="D166" s="11" t="s">
        <v>62</v>
      </c>
      <c r="E166" s="1" t="s">
        <v>63</v>
      </c>
      <c r="F166" s="6" t="s">
        <v>475</v>
      </c>
      <c r="G166" s="27">
        <v>4</v>
      </c>
    </row>
    <row r="167" spans="1:7" ht="17.25" customHeight="1">
      <c r="A167" s="27"/>
      <c r="B167" s="27"/>
      <c r="C167" s="27"/>
      <c r="D167" s="11" t="s">
        <v>62</v>
      </c>
      <c r="E167" s="1" t="s">
        <v>63</v>
      </c>
      <c r="F167" s="6" t="s">
        <v>593</v>
      </c>
      <c r="G167" s="27">
        <v>4</v>
      </c>
    </row>
    <row r="168" spans="1:7" ht="17.25" customHeight="1">
      <c r="A168" s="27"/>
      <c r="B168" s="27"/>
      <c r="C168" s="27"/>
      <c r="D168" s="5" t="s">
        <v>489</v>
      </c>
      <c r="E168" s="1">
        <v>13</v>
      </c>
      <c r="F168" s="6" t="s">
        <v>536</v>
      </c>
      <c r="G168" s="27">
        <v>5</v>
      </c>
    </row>
    <row r="169" spans="1:7" ht="17.25" customHeight="1">
      <c r="A169" s="27"/>
      <c r="B169" s="27"/>
      <c r="C169" s="27"/>
      <c r="D169" s="11" t="s">
        <v>62</v>
      </c>
      <c r="E169" s="1" t="s">
        <v>63</v>
      </c>
      <c r="F169" s="6" t="s">
        <v>546</v>
      </c>
      <c r="G169" s="27">
        <v>21</v>
      </c>
    </row>
    <row r="170" spans="1:7" ht="17.25" customHeight="1">
      <c r="A170" s="27"/>
      <c r="B170" s="27"/>
      <c r="C170" s="27"/>
      <c r="D170" s="11" t="s">
        <v>62</v>
      </c>
      <c r="E170" s="1" t="s">
        <v>63</v>
      </c>
      <c r="F170" s="6" t="s">
        <v>624</v>
      </c>
      <c r="G170" s="27">
        <v>415</v>
      </c>
    </row>
    <row r="171" spans="1:7" ht="17.25" customHeight="1">
      <c r="A171" s="27"/>
      <c r="B171" s="27"/>
      <c r="C171" s="27"/>
      <c r="D171" s="5" t="s">
        <v>489</v>
      </c>
      <c r="E171" s="1">
        <v>2</v>
      </c>
      <c r="F171" s="6" t="s">
        <v>488</v>
      </c>
      <c r="G171" s="27">
        <v>12</v>
      </c>
    </row>
    <row r="172" spans="1:7" ht="17.25" customHeight="1">
      <c r="A172" s="27"/>
      <c r="B172" s="27"/>
      <c r="C172" s="27"/>
      <c r="D172" s="11" t="s">
        <v>62</v>
      </c>
      <c r="E172" s="1" t="s">
        <v>63</v>
      </c>
      <c r="F172" s="6" t="s">
        <v>500</v>
      </c>
      <c r="G172" s="27">
        <v>30</v>
      </c>
    </row>
    <row r="173" spans="1:7" ht="17.25" customHeight="1">
      <c r="A173" s="27"/>
      <c r="B173" s="27"/>
      <c r="C173" s="27"/>
      <c r="D173" s="11" t="s">
        <v>62</v>
      </c>
      <c r="E173" s="1" t="s">
        <v>63</v>
      </c>
      <c r="F173" s="6" t="s">
        <v>503</v>
      </c>
      <c r="G173" s="27">
        <v>48</v>
      </c>
    </row>
    <row r="174" spans="1:7" ht="17.25" customHeight="1">
      <c r="A174" s="27"/>
      <c r="B174" s="27"/>
      <c r="C174" s="27"/>
      <c r="D174" s="11" t="s">
        <v>62</v>
      </c>
      <c r="E174" s="1" t="s">
        <v>63</v>
      </c>
      <c r="F174" s="6" t="s">
        <v>565</v>
      </c>
      <c r="G174" s="27">
        <v>17</v>
      </c>
    </row>
    <row r="175" spans="1:7" ht="17.25" customHeight="1">
      <c r="A175" s="27"/>
      <c r="B175" s="27"/>
      <c r="C175" s="27"/>
      <c r="D175" s="11" t="s">
        <v>62</v>
      </c>
      <c r="E175" s="1" t="s">
        <v>63</v>
      </c>
      <c r="F175" s="6" t="s">
        <v>577</v>
      </c>
      <c r="G175" s="27">
        <v>6</v>
      </c>
    </row>
    <row r="176" spans="1:7" ht="17.25" customHeight="1">
      <c r="A176" s="27"/>
      <c r="B176" s="27"/>
      <c r="C176" s="27"/>
      <c r="D176" s="11" t="s">
        <v>62</v>
      </c>
      <c r="E176" s="1" t="s">
        <v>63</v>
      </c>
      <c r="F176" s="6" t="s">
        <v>578</v>
      </c>
      <c r="G176" s="27">
        <v>10</v>
      </c>
    </row>
    <row r="177" spans="1:7" ht="17.25" customHeight="1">
      <c r="A177" s="27"/>
      <c r="B177" s="27"/>
      <c r="C177" s="27"/>
      <c r="D177" s="11" t="s">
        <v>62</v>
      </c>
      <c r="E177" s="1" t="s">
        <v>63</v>
      </c>
      <c r="F177" s="6" t="s">
        <v>610</v>
      </c>
      <c r="G177" s="27">
        <v>7</v>
      </c>
    </row>
    <row r="178" spans="1:7" ht="17.25" customHeight="1">
      <c r="A178" s="27"/>
      <c r="B178" s="27"/>
      <c r="C178" s="27"/>
      <c r="D178" s="11" t="s">
        <v>62</v>
      </c>
      <c r="E178" s="1" t="s">
        <v>63</v>
      </c>
      <c r="F178" s="6" t="s">
        <v>486</v>
      </c>
      <c r="G178" s="27">
        <v>73</v>
      </c>
    </row>
    <row r="179" spans="1:7" ht="17.25" customHeight="1">
      <c r="A179" s="27"/>
      <c r="B179" s="27"/>
      <c r="C179" s="27"/>
      <c r="D179" s="5" t="s">
        <v>479</v>
      </c>
      <c r="E179" s="1">
        <v>9</v>
      </c>
      <c r="F179" s="29" t="s">
        <v>517</v>
      </c>
      <c r="G179" s="27">
        <v>163</v>
      </c>
    </row>
    <row r="180" spans="1:7" ht="17.25" customHeight="1">
      <c r="A180" s="27"/>
      <c r="B180" s="27"/>
      <c r="C180" s="27"/>
      <c r="D180" s="5" t="s">
        <v>479</v>
      </c>
      <c r="E180" s="1">
        <v>16</v>
      </c>
      <c r="F180" s="6" t="s">
        <v>544</v>
      </c>
      <c r="G180" s="27">
        <v>50</v>
      </c>
    </row>
    <row r="181" spans="1:7" ht="17.25" customHeight="1">
      <c r="A181" s="27"/>
      <c r="B181" s="27"/>
      <c r="C181" s="27"/>
      <c r="D181" s="5" t="s">
        <v>559</v>
      </c>
      <c r="E181" s="1">
        <v>20</v>
      </c>
      <c r="F181" s="6" t="s">
        <v>558</v>
      </c>
      <c r="G181" s="27">
        <v>7</v>
      </c>
    </row>
    <row r="182" spans="1:7" ht="17.25" customHeight="1">
      <c r="A182" s="27"/>
      <c r="B182" s="27"/>
      <c r="C182" s="27"/>
      <c r="D182" s="11" t="s">
        <v>62</v>
      </c>
      <c r="E182" s="1" t="s">
        <v>63</v>
      </c>
      <c r="F182" s="6" t="s">
        <v>651</v>
      </c>
      <c r="G182" s="27">
        <v>1</v>
      </c>
    </row>
    <row r="183" spans="1:7" ht="17.25" customHeight="1">
      <c r="A183" s="27"/>
      <c r="B183" s="27"/>
      <c r="C183" s="27"/>
      <c r="D183" s="11" t="s">
        <v>62</v>
      </c>
      <c r="E183" s="1" t="s">
        <v>63</v>
      </c>
      <c r="F183" s="6" t="s">
        <v>474</v>
      </c>
      <c r="G183" s="27">
        <v>2</v>
      </c>
    </row>
    <row r="184" spans="1:7" ht="17.25" customHeight="1">
      <c r="A184" s="27"/>
      <c r="B184" s="27"/>
      <c r="C184" s="27"/>
      <c r="D184" s="11" t="s">
        <v>62</v>
      </c>
      <c r="E184" s="1" t="s">
        <v>63</v>
      </c>
      <c r="F184" s="6" t="s">
        <v>598</v>
      </c>
      <c r="G184" s="27">
        <v>15</v>
      </c>
    </row>
    <row r="185" spans="1:7" ht="17.25" customHeight="1">
      <c r="A185" s="27"/>
      <c r="B185" s="27"/>
      <c r="C185" s="27"/>
      <c r="D185" s="11" t="s">
        <v>62</v>
      </c>
      <c r="E185" s="1" t="s">
        <v>63</v>
      </c>
      <c r="F185" s="6" t="s">
        <v>619</v>
      </c>
      <c r="G185" s="27">
        <v>150</v>
      </c>
    </row>
    <row r="186" spans="1:7" ht="17.25" customHeight="1">
      <c r="A186" s="27"/>
      <c r="B186" s="27"/>
      <c r="C186" s="27"/>
      <c r="D186" s="5" t="s">
        <v>479</v>
      </c>
      <c r="E186" s="1">
        <v>3</v>
      </c>
      <c r="F186" s="6" t="s">
        <v>491</v>
      </c>
      <c r="G186" s="27">
        <v>6</v>
      </c>
    </row>
    <row r="187" spans="1:7" ht="17.25" customHeight="1">
      <c r="A187" s="27"/>
      <c r="B187" s="27"/>
      <c r="C187" s="27"/>
      <c r="D187" s="11" t="s">
        <v>62</v>
      </c>
      <c r="E187" s="1" t="s">
        <v>63</v>
      </c>
      <c r="F187" s="6" t="s">
        <v>523</v>
      </c>
      <c r="G187" s="27">
        <v>10</v>
      </c>
    </row>
    <row r="188" spans="1:7" ht="17.25" customHeight="1">
      <c r="A188" s="27"/>
      <c r="B188" s="27"/>
      <c r="C188" s="27"/>
      <c r="D188" s="11" t="s">
        <v>62</v>
      </c>
      <c r="E188" s="1" t="s">
        <v>63</v>
      </c>
      <c r="F188" s="6" t="s">
        <v>633</v>
      </c>
      <c r="G188" s="27">
        <v>2</v>
      </c>
    </row>
    <row r="189" spans="1:7" ht="17.25" customHeight="1">
      <c r="A189" s="27"/>
      <c r="B189" s="27"/>
      <c r="C189" s="27"/>
      <c r="D189" s="11" t="s">
        <v>62</v>
      </c>
      <c r="E189" s="1" t="s">
        <v>63</v>
      </c>
      <c r="F189" s="6" t="s">
        <v>522</v>
      </c>
      <c r="G189" s="27">
        <v>10</v>
      </c>
    </row>
    <row r="190" spans="1:7" ht="17.25" customHeight="1">
      <c r="A190" s="27"/>
      <c r="B190" s="27"/>
      <c r="C190" s="27"/>
      <c r="D190" s="5" t="s">
        <v>520</v>
      </c>
      <c r="E190" s="1">
        <v>10</v>
      </c>
      <c r="F190" s="6" t="s">
        <v>519</v>
      </c>
      <c r="G190" s="27">
        <v>115</v>
      </c>
    </row>
    <row r="191" spans="1:7" ht="17.25" customHeight="1">
      <c r="A191" s="27"/>
      <c r="B191" s="27"/>
      <c r="C191" s="27"/>
      <c r="D191" s="11" t="s">
        <v>62</v>
      </c>
      <c r="E191" s="1" t="s">
        <v>63</v>
      </c>
      <c r="F191" s="6" t="s">
        <v>477</v>
      </c>
      <c r="G191" s="27">
        <v>13</v>
      </c>
    </row>
    <row r="192" spans="1:7" ht="17.25" customHeight="1">
      <c r="A192" s="27"/>
      <c r="B192" s="27"/>
      <c r="C192" s="27"/>
      <c r="D192" s="11" t="s">
        <v>62</v>
      </c>
      <c r="E192" s="1" t="s">
        <v>63</v>
      </c>
      <c r="F192" s="6" t="s">
        <v>516</v>
      </c>
      <c r="G192" s="27">
        <v>125</v>
      </c>
    </row>
    <row r="193" spans="1:8" ht="15.75" customHeight="1">
      <c r="A193" s="27"/>
      <c r="B193" s="27"/>
      <c r="C193" s="27"/>
      <c r="D193" s="1" t="s">
        <v>62</v>
      </c>
      <c r="E193" s="1" t="s">
        <v>63</v>
      </c>
      <c r="F193" s="6" t="s">
        <v>421</v>
      </c>
      <c r="G193" s="27">
        <v>97</v>
      </c>
    </row>
    <row r="194" spans="1:8" ht="15.75" customHeight="1">
      <c r="A194" s="27">
        <v>17</v>
      </c>
      <c r="B194" s="30">
        <v>45831</v>
      </c>
      <c r="C194" s="27" t="s">
        <v>731</v>
      </c>
      <c r="D194" s="5" t="s">
        <v>311</v>
      </c>
      <c r="E194" s="1">
        <v>20</v>
      </c>
      <c r="F194" s="6" t="s">
        <v>310</v>
      </c>
      <c r="G194" s="27">
        <v>4</v>
      </c>
      <c r="H194" t="s">
        <v>290</v>
      </c>
    </row>
    <row r="195" spans="1:8" ht="15.75" customHeight="1">
      <c r="A195" s="27">
        <v>17</v>
      </c>
      <c r="B195" s="30">
        <v>45831</v>
      </c>
      <c r="C195" s="27" t="s">
        <v>731</v>
      </c>
      <c r="D195" s="5" t="s">
        <v>311</v>
      </c>
      <c r="E195" s="1">
        <v>2</v>
      </c>
      <c r="F195" s="6" t="s">
        <v>346</v>
      </c>
      <c r="G195" s="27">
        <v>15</v>
      </c>
      <c r="H195" t="s">
        <v>290</v>
      </c>
    </row>
    <row r="196" spans="1:8" ht="15.75" customHeight="1">
      <c r="A196" s="27">
        <v>17</v>
      </c>
      <c r="B196" s="30">
        <v>45831</v>
      </c>
      <c r="C196" s="27" t="s">
        <v>731</v>
      </c>
      <c r="D196" s="5" t="s">
        <v>311</v>
      </c>
      <c r="E196" s="1">
        <v>3</v>
      </c>
      <c r="F196" s="6" t="s">
        <v>348</v>
      </c>
      <c r="G196" s="27">
        <v>6</v>
      </c>
      <c r="H196" t="s">
        <v>290</v>
      </c>
    </row>
    <row r="197" spans="1:8" ht="15.75" customHeight="1">
      <c r="A197" s="27">
        <v>17</v>
      </c>
      <c r="B197" s="30">
        <v>45831</v>
      </c>
      <c r="C197" s="27" t="s">
        <v>731</v>
      </c>
      <c r="D197" s="5" t="s">
        <v>62</v>
      </c>
      <c r="E197" s="1" t="s">
        <v>63</v>
      </c>
      <c r="F197" s="6" t="s">
        <v>404</v>
      </c>
      <c r="G197" s="27">
        <v>15</v>
      </c>
      <c r="H197" t="s">
        <v>290</v>
      </c>
    </row>
    <row r="198" spans="1:8" ht="15.75" customHeight="1">
      <c r="A198" s="27">
        <v>17</v>
      </c>
      <c r="B198" s="30">
        <v>45831</v>
      </c>
      <c r="C198" s="27" t="s">
        <v>731</v>
      </c>
      <c r="D198" s="5" t="s">
        <v>311</v>
      </c>
      <c r="E198" s="1">
        <v>22</v>
      </c>
      <c r="F198" s="6" t="s">
        <v>315</v>
      </c>
      <c r="G198" s="27">
        <v>2</v>
      </c>
      <c r="H198" t="s">
        <v>290</v>
      </c>
    </row>
    <row r="199" spans="1:8" ht="15.75" customHeight="1">
      <c r="A199" s="27">
        <v>17</v>
      </c>
      <c r="B199" s="30">
        <v>45831</v>
      </c>
      <c r="C199" s="27" t="s">
        <v>731</v>
      </c>
      <c r="D199" s="5" t="s">
        <v>311</v>
      </c>
      <c r="E199" s="1">
        <v>21</v>
      </c>
      <c r="F199" s="6" t="s">
        <v>313</v>
      </c>
      <c r="G199" s="27">
        <v>2</v>
      </c>
      <c r="H199" t="s">
        <v>290</v>
      </c>
    </row>
    <row r="200" spans="1:8" ht="15.75" customHeight="1">
      <c r="A200" s="27">
        <v>17</v>
      </c>
      <c r="B200" s="30">
        <v>45831</v>
      </c>
      <c r="C200" s="27" t="s">
        <v>731</v>
      </c>
      <c r="D200" s="5" t="s">
        <v>296</v>
      </c>
      <c r="E200" s="1">
        <v>12</v>
      </c>
      <c r="F200" s="6" t="s">
        <v>361</v>
      </c>
      <c r="G200" s="27">
        <v>2</v>
      </c>
      <c r="H200" t="s">
        <v>290</v>
      </c>
    </row>
    <row r="201" spans="1:8" ht="15.75" customHeight="1">
      <c r="A201" s="27">
        <v>17</v>
      </c>
      <c r="B201" s="30">
        <v>45831</v>
      </c>
      <c r="C201" s="27" t="s">
        <v>731</v>
      </c>
      <c r="D201" s="5" t="s">
        <v>296</v>
      </c>
      <c r="E201" s="1">
        <v>9</v>
      </c>
      <c r="F201" s="6" t="s">
        <v>359</v>
      </c>
      <c r="G201" s="27">
        <v>1</v>
      </c>
      <c r="H201" t="s">
        <v>290</v>
      </c>
    </row>
    <row r="202" spans="1:8" ht="15.75" customHeight="1">
      <c r="A202" s="27">
        <v>17</v>
      </c>
      <c r="B202" s="30">
        <v>45831</v>
      </c>
      <c r="C202" s="27" t="s">
        <v>731</v>
      </c>
      <c r="D202" s="5" t="s">
        <v>296</v>
      </c>
      <c r="E202" s="1">
        <v>11</v>
      </c>
      <c r="F202" s="6" t="s">
        <v>413</v>
      </c>
      <c r="G202" s="27">
        <v>1</v>
      </c>
      <c r="H202" t="s">
        <v>290</v>
      </c>
    </row>
    <row r="203" spans="1:8" ht="15.75" customHeight="1">
      <c r="A203" s="27">
        <v>17</v>
      </c>
      <c r="B203" s="30">
        <v>45831</v>
      </c>
      <c r="C203" s="27" t="s">
        <v>731</v>
      </c>
      <c r="D203" s="1" t="s">
        <v>62</v>
      </c>
      <c r="E203" s="1" t="s">
        <v>63</v>
      </c>
      <c r="F203" s="6" t="s">
        <v>355</v>
      </c>
      <c r="G203" s="27">
        <v>1</v>
      </c>
      <c r="H203" t="s">
        <v>290</v>
      </c>
    </row>
    <row r="204" spans="1:8" ht="15.75" customHeight="1">
      <c r="A204" s="27">
        <v>17</v>
      </c>
      <c r="B204" s="30">
        <v>45831</v>
      </c>
      <c r="C204" s="27" t="s">
        <v>731</v>
      </c>
      <c r="D204" s="1" t="s">
        <v>62</v>
      </c>
      <c r="E204" s="1" t="s">
        <v>63</v>
      </c>
      <c r="F204" s="6" t="s">
        <v>363</v>
      </c>
      <c r="G204" s="27">
        <v>5</v>
      </c>
      <c r="H204" t="s">
        <v>290</v>
      </c>
    </row>
    <row r="205" spans="1:8" ht="15.75" customHeight="1">
      <c r="A205" s="27">
        <v>18</v>
      </c>
      <c r="B205" s="30">
        <v>45841</v>
      </c>
      <c r="C205" s="27" t="s">
        <v>731</v>
      </c>
      <c r="D205" s="5" t="s">
        <v>296</v>
      </c>
      <c r="E205" s="1">
        <v>10</v>
      </c>
      <c r="F205" s="6" t="s">
        <v>295</v>
      </c>
      <c r="G205" s="27">
        <v>6</v>
      </c>
      <c r="H205" t="s">
        <v>290</v>
      </c>
    </row>
    <row r="206" spans="1:8" ht="15.75" customHeight="1">
      <c r="A206" s="27">
        <v>18</v>
      </c>
      <c r="B206" s="30">
        <v>45841</v>
      </c>
      <c r="C206" s="27" t="s">
        <v>731</v>
      </c>
      <c r="D206" s="5" t="s">
        <v>320</v>
      </c>
      <c r="E206" s="1">
        <v>25</v>
      </c>
      <c r="F206" s="6" t="s">
        <v>323</v>
      </c>
      <c r="G206" s="27">
        <v>200</v>
      </c>
      <c r="H206" t="s">
        <v>290</v>
      </c>
    </row>
    <row r="207" spans="1:8" ht="15.75" customHeight="1">
      <c r="A207" s="27">
        <v>18</v>
      </c>
      <c r="B207" s="30">
        <v>45841</v>
      </c>
      <c r="C207" s="27" t="s">
        <v>731</v>
      </c>
      <c r="D207" s="11" t="s">
        <v>62</v>
      </c>
      <c r="E207" s="1" t="s">
        <v>63</v>
      </c>
      <c r="F207" s="6" t="s">
        <v>308</v>
      </c>
      <c r="G207" s="27">
        <v>1</v>
      </c>
      <c r="H207" t="s">
        <v>290</v>
      </c>
    </row>
    <row r="208" spans="1:8" ht="15.75" customHeight="1">
      <c r="A208" s="27">
        <v>18</v>
      </c>
      <c r="B208" s="30">
        <v>45841</v>
      </c>
      <c r="C208" s="27" t="s">
        <v>731</v>
      </c>
      <c r="D208" s="5" t="s">
        <v>311</v>
      </c>
      <c r="E208" s="1">
        <v>22</v>
      </c>
      <c r="F208" s="6" t="s">
        <v>315</v>
      </c>
      <c r="G208" s="27">
        <v>10</v>
      </c>
      <c r="H208" t="s">
        <v>290</v>
      </c>
    </row>
    <row r="209" spans="1:8" ht="15.75" customHeight="1">
      <c r="A209" s="27">
        <v>18</v>
      </c>
      <c r="B209" s="30">
        <v>45841</v>
      </c>
      <c r="C209" s="27" t="s">
        <v>731</v>
      </c>
      <c r="D209" s="11" t="s">
        <v>62</v>
      </c>
      <c r="E209" s="1" t="s">
        <v>63</v>
      </c>
      <c r="F209" s="6" t="s">
        <v>343</v>
      </c>
      <c r="G209" s="27">
        <v>1</v>
      </c>
      <c r="H209" t="s">
        <v>290</v>
      </c>
    </row>
    <row r="210" spans="1:8" ht="15.75" customHeight="1">
      <c r="A210" s="27">
        <v>18</v>
      </c>
      <c r="B210" s="30">
        <v>45841</v>
      </c>
      <c r="C210" s="27" t="s">
        <v>731</v>
      </c>
      <c r="D210" s="5" t="s">
        <v>311</v>
      </c>
      <c r="E210" s="1">
        <v>3</v>
      </c>
      <c r="F210" s="6" t="s">
        <v>348</v>
      </c>
      <c r="G210" s="27">
        <v>12</v>
      </c>
      <c r="H210" t="s">
        <v>290</v>
      </c>
    </row>
    <row r="211" spans="1:8" ht="15.75" customHeight="1">
      <c r="A211" s="27">
        <v>18</v>
      </c>
      <c r="B211" s="30">
        <v>45841</v>
      </c>
      <c r="C211" s="27" t="s">
        <v>731</v>
      </c>
      <c r="D211" s="1" t="s">
        <v>62</v>
      </c>
      <c r="E211" s="1" t="s">
        <v>63</v>
      </c>
      <c r="F211" s="6" t="s">
        <v>363</v>
      </c>
      <c r="G211" s="27">
        <v>11</v>
      </c>
      <c r="H211" t="s">
        <v>290</v>
      </c>
    </row>
    <row r="212" spans="1:8" ht="15.75" customHeight="1">
      <c r="A212" s="27">
        <v>18</v>
      </c>
      <c r="B212" s="30">
        <v>45841</v>
      </c>
      <c r="C212" s="27" t="s">
        <v>731</v>
      </c>
      <c r="D212" s="1" t="s">
        <v>68</v>
      </c>
      <c r="E212" s="1" t="s">
        <v>63</v>
      </c>
      <c r="F212" s="6" t="s">
        <v>392</v>
      </c>
      <c r="G212" s="27">
        <v>10</v>
      </c>
      <c r="H212" t="s">
        <v>290</v>
      </c>
    </row>
    <row r="213" spans="1:8" ht="15.75" customHeight="1">
      <c r="A213" s="27">
        <v>18</v>
      </c>
      <c r="B213" s="30">
        <v>45841</v>
      </c>
      <c r="C213" s="27" t="s">
        <v>731</v>
      </c>
      <c r="D213" s="5" t="s">
        <v>311</v>
      </c>
      <c r="E213" s="1">
        <v>4</v>
      </c>
      <c r="F213" s="6" t="s">
        <v>390</v>
      </c>
      <c r="G213" s="27">
        <v>18</v>
      </c>
      <c r="H213" t="s">
        <v>290</v>
      </c>
    </row>
    <row r="214" spans="1:8" ht="15.75" customHeight="1">
      <c r="A214" s="27">
        <v>18</v>
      </c>
      <c r="B214" s="30">
        <v>45841</v>
      </c>
      <c r="C214" s="27" t="s">
        <v>731</v>
      </c>
      <c r="D214" s="5" t="s">
        <v>296</v>
      </c>
      <c r="E214" s="1">
        <v>11</v>
      </c>
      <c r="F214" s="6" t="s">
        <v>413</v>
      </c>
      <c r="G214" s="27">
        <v>5</v>
      </c>
      <c r="H214" t="s">
        <v>290</v>
      </c>
    </row>
    <row r="215" spans="1:8" ht="15.75" customHeight="1">
      <c r="A215" s="27">
        <v>18</v>
      </c>
      <c r="B215" s="30">
        <v>45841</v>
      </c>
      <c r="C215" s="27" t="s">
        <v>731</v>
      </c>
      <c r="D215" s="5" t="s">
        <v>311</v>
      </c>
      <c r="E215" s="1">
        <v>1</v>
      </c>
      <c r="F215" s="6" t="s">
        <v>411</v>
      </c>
      <c r="G215" s="27">
        <v>25</v>
      </c>
      <c r="H215" t="s">
        <v>290</v>
      </c>
    </row>
    <row r="216" spans="1:8" ht="15.75" customHeight="1">
      <c r="A216" s="27">
        <v>18</v>
      </c>
      <c r="B216" s="30">
        <v>45841</v>
      </c>
      <c r="C216" s="27" t="s">
        <v>731</v>
      </c>
      <c r="D216" s="5" t="s">
        <v>296</v>
      </c>
      <c r="E216" s="1">
        <v>14</v>
      </c>
      <c r="F216" s="6" t="s">
        <v>418</v>
      </c>
      <c r="G216" s="27">
        <v>4</v>
      </c>
      <c r="H216" t="s">
        <v>290</v>
      </c>
    </row>
    <row r="217" spans="1:8" ht="15.75" customHeight="1">
      <c r="A217" s="27">
        <v>18</v>
      </c>
      <c r="B217" s="30">
        <v>45841</v>
      </c>
      <c r="C217" s="27" t="s">
        <v>731</v>
      </c>
      <c r="D217" s="5" t="s">
        <v>311</v>
      </c>
      <c r="E217" s="1">
        <v>21</v>
      </c>
      <c r="F217" s="6" t="s">
        <v>313</v>
      </c>
      <c r="G217" s="27">
        <v>4</v>
      </c>
      <c r="H217" t="s">
        <v>290</v>
      </c>
    </row>
    <row r="218" spans="1:8" ht="15.75" customHeight="1">
      <c r="A218" s="27">
        <v>19</v>
      </c>
      <c r="B218" s="30">
        <v>45852</v>
      </c>
      <c r="C218" s="27" t="s">
        <v>731</v>
      </c>
      <c r="D218" s="5" t="s">
        <v>296</v>
      </c>
      <c r="E218" s="1">
        <v>10</v>
      </c>
      <c r="F218" s="6" t="s">
        <v>295</v>
      </c>
      <c r="G218" s="27">
        <v>1</v>
      </c>
      <c r="H218" t="s">
        <v>290</v>
      </c>
    </row>
    <row r="219" spans="1:8" ht="15.75" customHeight="1">
      <c r="A219" s="27">
        <v>19</v>
      </c>
      <c r="B219" s="30">
        <v>45852</v>
      </c>
      <c r="C219" s="27" t="s">
        <v>731</v>
      </c>
      <c r="D219" s="5" t="s">
        <v>320</v>
      </c>
      <c r="E219" s="1">
        <v>26</v>
      </c>
      <c r="F219" s="6" t="s">
        <v>372</v>
      </c>
      <c r="G219" s="27">
        <v>100</v>
      </c>
      <c r="H219" t="s">
        <v>290</v>
      </c>
    </row>
    <row r="220" spans="1:8" ht="15.75" customHeight="1">
      <c r="A220" s="27">
        <v>19</v>
      </c>
      <c r="B220" s="30">
        <v>45852</v>
      </c>
      <c r="C220" s="27" t="s">
        <v>731</v>
      </c>
      <c r="D220" s="11" t="s">
        <v>62</v>
      </c>
      <c r="E220" s="1" t="s">
        <v>63</v>
      </c>
      <c r="F220" s="6" t="s">
        <v>308</v>
      </c>
      <c r="G220" s="27">
        <v>1</v>
      </c>
      <c r="H220" t="s">
        <v>290</v>
      </c>
    </row>
    <row r="221" spans="1:8" ht="15.75" customHeight="1">
      <c r="A221" s="27">
        <v>19</v>
      </c>
      <c r="B221" s="30">
        <v>45852</v>
      </c>
      <c r="C221" s="27" t="s">
        <v>731</v>
      </c>
      <c r="D221" s="5" t="s">
        <v>311</v>
      </c>
      <c r="E221" s="1">
        <v>22</v>
      </c>
      <c r="F221" s="6" t="s">
        <v>315</v>
      </c>
      <c r="G221" s="27">
        <v>1</v>
      </c>
      <c r="H221" t="s">
        <v>290</v>
      </c>
    </row>
    <row r="222" spans="1:8" ht="15.75" customHeight="1">
      <c r="A222" s="27">
        <v>19</v>
      </c>
      <c r="B222" s="30">
        <v>45852</v>
      </c>
      <c r="C222" s="27" t="s">
        <v>731</v>
      </c>
      <c r="D222" s="5" t="s">
        <v>311</v>
      </c>
      <c r="E222" s="1">
        <v>3</v>
      </c>
      <c r="F222" s="6" t="s">
        <v>348</v>
      </c>
      <c r="G222" s="27">
        <v>3</v>
      </c>
      <c r="H222" t="s">
        <v>290</v>
      </c>
    </row>
    <row r="223" spans="1:8" ht="15.75" customHeight="1">
      <c r="A223" s="27">
        <v>19</v>
      </c>
      <c r="B223" s="30">
        <v>45852</v>
      </c>
      <c r="C223" s="27" t="s">
        <v>731</v>
      </c>
      <c r="D223" s="5" t="s">
        <v>311</v>
      </c>
      <c r="E223" s="1">
        <v>2</v>
      </c>
      <c r="F223" s="6" t="s">
        <v>346</v>
      </c>
      <c r="G223" s="27">
        <v>15</v>
      </c>
      <c r="H223" t="s">
        <v>290</v>
      </c>
    </row>
    <row r="224" spans="1:8" ht="15.75" customHeight="1">
      <c r="A224" s="27">
        <v>19</v>
      </c>
      <c r="B224" s="30">
        <v>45852</v>
      </c>
      <c r="C224" s="27" t="s">
        <v>731</v>
      </c>
      <c r="D224" s="5" t="s">
        <v>296</v>
      </c>
      <c r="E224" s="1">
        <v>12</v>
      </c>
      <c r="F224" s="6" t="s">
        <v>361</v>
      </c>
      <c r="G224" s="27">
        <v>3</v>
      </c>
      <c r="H224" t="s">
        <v>290</v>
      </c>
    </row>
    <row r="225" spans="1:8" ht="15.75" customHeight="1">
      <c r="A225" s="27">
        <v>19</v>
      </c>
      <c r="B225" s="30">
        <v>45852</v>
      </c>
      <c r="C225" s="27" t="s">
        <v>731</v>
      </c>
      <c r="D225" s="11" t="s">
        <v>62</v>
      </c>
      <c r="E225" s="1" t="s">
        <v>63</v>
      </c>
      <c r="F225" s="6" t="s">
        <v>351</v>
      </c>
      <c r="G225" s="27">
        <v>1</v>
      </c>
      <c r="H225" t="s">
        <v>290</v>
      </c>
    </row>
    <row r="226" spans="1:8" ht="15.75" customHeight="1">
      <c r="A226" s="27">
        <v>19</v>
      </c>
      <c r="B226" s="30">
        <v>45852</v>
      </c>
      <c r="C226" s="27" t="s">
        <v>731</v>
      </c>
      <c r="D226" s="5" t="s">
        <v>311</v>
      </c>
      <c r="E226" s="1">
        <v>4</v>
      </c>
      <c r="F226" s="6" t="s">
        <v>390</v>
      </c>
      <c r="G226" s="27">
        <v>3</v>
      </c>
      <c r="H226" t="s">
        <v>290</v>
      </c>
    </row>
    <row r="227" spans="1:8" ht="15.75" customHeight="1">
      <c r="A227" s="27">
        <v>19</v>
      </c>
      <c r="B227" s="30">
        <v>45852</v>
      </c>
      <c r="C227" s="27" t="s">
        <v>731</v>
      </c>
      <c r="D227" s="5" t="s">
        <v>296</v>
      </c>
      <c r="E227" s="1">
        <v>11</v>
      </c>
      <c r="F227" s="6" t="s">
        <v>413</v>
      </c>
      <c r="G227" s="27">
        <v>1</v>
      </c>
      <c r="H227" t="s">
        <v>290</v>
      </c>
    </row>
    <row r="228" spans="1:8" ht="15.75" customHeight="1">
      <c r="A228" s="27">
        <v>19</v>
      </c>
      <c r="B228" s="30">
        <v>45852</v>
      </c>
      <c r="C228" s="27" t="s">
        <v>731</v>
      </c>
      <c r="D228" s="11" t="s">
        <v>62</v>
      </c>
      <c r="E228" s="1" t="s">
        <v>63</v>
      </c>
      <c r="F228" s="6" t="s">
        <v>403</v>
      </c>
      <c r="G228" s="27">
        <v>15</v>
      </c>
      <c r="H228" t="s">
        <v>290</v>
      </c>
    </row>
    <row r="229" spans="1:8" ht="15.75" customHeight="1">
      <c r="A229" s="27">
        <v>19</v>
      </c>
      <c r="B229" s="30">
        <v>45852</v>
      </c>
      <c r="C229" s="27" t="s">
        <v>731</v>
      </c>
      <c r="D229" s="5" t="s">
        <v>62</v>
      </c>
      <c r="E229" s="1" t="s">
        <v>63</v>
      </c>
      <c r="F229" s="6" t="s">
        <v>404</v>
      </c>
      <c r="G229" s="27">
        <v>15</v>
      </c>
      <c r="H229" t="s">
        <v>290</v>
      </c>
    </row>
    <row r="230" spans="1:8" ht="15.75" customHeight="1">
      <c r="A230" s="27">
        <v>19</v>
      </c>
      <c r="B230" s="30">
        <v>45852</v>
      </c>
      <c r="C230" s="27" t="s">
        <v>731</v>
      </c>
      <c r="D230" s="5" t="s">
        <v>296</v>
      </c>
      <c r="E230" s="1">
        <v>15</v>
      </c>
      <c r="F230" s="6" t="s">
        <v>336</v>
      </c>
      <c r="G230" s="27">
        <v>1</v>
      </c>
      <c r="H230" t="s">
        <v>290</v>
      </c>
    </row>
    <row r="231" spans="1:8" ht="15.75" customHeight="1">
      <c r="A231" s="27">
        <v>19</v>
      </c>
      <c r="B231" s="30">
        <v>45852</v>
      </c>
      <c r="C231" s="27" t="s">
        <v>731</v>
      </c>
      <c r="D231" s="5" t="s">
        <v>311</v>
      </c>
      <c r="E231" s="1">
        <v>21</v>
      </c>
      <c r="F231" s="6" t="s">
        <v>313</v>
      </c>
      <c r="G231" s="27">
        <v>4</v>
      </c>
      <c r="H231" t="s">
        <v>290</v>
      </c>
    </row>
    <row r="232" spans="1:8" ht="15.75" customHeight="1">
      <c r="A232" s="27">
        <v>13</v>
      </c>
      <c r="B232" s="30">
        <v>45831</v>
      </c>
      <c r="C232" s="27" t="s">
        <v>731</v>
      </c>
      <c r="D232" s="5" t="s">
        <v>208</v>
      </c>
      <c r="E232" s="1">
        <v>32</v>
      </c>
      <c r="F232" s="6" t="s">
        <v>286</v>
      </c>
      <c r="G232" s="27">
        <v>1</v>
      </c>
      <c r="H232" t="s">
        <v>57</v>
      </c>
    </row>
    <row r="233" spans="1:8" ht="15.75" customHeight="1">
      <c r="A233" s="27">
        <v>13</v>
      </c>
      <c r="B233" s="30">
        <v>45831</v>
      </c>
      <c r="C233" s="27" t="s">
        <v>731</v>
      </c>
      <c r="D233" s="11" t="s">
        <v>62</v>
      </c>
      <c r="E233" s="1" t="s">
        <v>63</v>
      </c>
      <c r="F233" s="6" t="s">
        <v>179</v>
      </c>
      <c r="G233" s="27">
        <v>1</v>
      </c>
      <c r="H233" t="s">
        <v>57</v>
      </c>
    </row>
    <row r="234" spans="1:8" ht="15.75" customHeight="1">
      <c r="A234" s="27">
        <v>13</v>
      </c>
      <c r="B234" s="30">
        <v>45831</v>
      </c>
      <c r="C234" s="27" t="s">
        <v>731</v>
      </c>
      <c r="D234" s="11" t="s">
        <v>62</v>
      </c>
      <c r="E234" s="1" t="s">
        <v>63</v>
      </c>
      <c r="F234" s="6" t="s">
        <v>180</v>
      </c>
      <c r="G234" s="27">
        <v>1</v>
      </c>
      <c r="H234" t="s">
        <v>57</v>
      </c>
    </row>
    <row r="235" spans="1:8" ht="15.75" customHeight="1">
      <c r="A235" s="27">
        <v>13</v>
      </c>
      <c r="B235" s="30">
        <v>45831</v>
      </c>
      <c r="C235" s="27" t="s">
        <v>731</v>
      </c>
      <c r="D235" s="5" t="s">
        <v>59</v>
      </c>
      <c r="E235" s="1">
        <v>24</v>
      </c>
      <c r="F235" s="6" t="s">
        <v>261</v>
      </c>
      <c r="G235" s="27">
        <v>930</v>
      </c>
      <c r="H235" t="s">
        <v>57</v>
      </c>
    </row>
    <row r="236" spans="1:8" ht="15.75" customHeight="1">
      <c r="A236" s="27">
        <v>13</v>
      </c>
      <c r="B236" s="30">
        <v>45831</v>
      </c>
      <c r="C236" s="27" t="s">
        <v>731</v>
      </c>
      <c r="D236" s="11" t="s">
        <v>62</v>
      </c>
      <c r="E236" s="1" t="s">
        <v>63</v>
      </c>
      <c r="F236" s="6" t="s">
        <v>210</v>
      </c>
      <c r="G236" s="27">
        <v>1</v>
      </c>
      <c r="H236" t="s">
        <v>57</v>
      </c>
    </row>
    <row r="237" spans="1:8" ht="15.75" customHeight="1">
      <c r="A237" s="27">
        <v>13</v>
      </c>
      <c r="B237" s="30">
        <v>45831</v>
      </c>
      <c r="C237" s="27" t="s">
        <v>731</v>
      </c>
      <c r="D237" s="5" t="s">
        <v>59</v>
      </c>
      <c r="E237" s="1">
        <v>26</v>
      </c>
      <c r="F237" s="6" t="s">
        <v>265</v>
      </c>
      <c r="G237" s="27">
        <v>20</v>
      </c>
      <c r="H237" t="s">
        <v>57</v>
      </c>
    </row>
    <row r="238" spans="1:8" ht="15.75" customHeight="1">
      <c r="A238" s="27">
        <v>13</v>
      </c>
      <c r="B238" s="30">
        <v>45831</v>
      </c>
      <c r="C238" s="27" t="s">
        <v>731</v>
      </c>
      <c r="D238" s="5" t="s">
        <v>59</v>
      </c>
      <c r="E238" s="1">
        <v>25</v>
      </c>
      <c r="F238" s="6" t="s">
        <v>263</v>
      </c>
      <c r="G238" s="27">
        <v>20</v>
      </c>
      <c r="H238" t="s">
        <v>57</v>
      </c>
    </row>
    <row r="239" spans="1:8" ht="15.75" customHeight="1">
      <c r="A239" s="27">
        <v>13</v>
      </c>
      <c r="B239" s="30">
        <v>45831</v>
      </c>
      <c r="C239" s="27" t="s">
        <v>731</v>
      </c>
      <c r="D239" s="5" t="s">
        <v>106</v>
      </c>
      <c r="E239" s="1">
        <v>12</v>
      </c>
      <c r="F239" s="6" t="s">
        <v>224</v>
      </c>
      <c r="G239" s="27">
        <v>1</v>
      </c>
      <c r="H239" t="s">
        <v>57</v>
      </c>
    </row>
    <row r="240" spans="1:8" ht="15.75" customHeight="1">
      <c r="A240" s="27">
        <v>13</v>
      </c>
      <c r="B240" s="30">
        <v>45831</v>
      </c>
      <c r="C240" s="27" t="s">
        <v>731</v>
      </c>
      <c r="D240" s="11" t="s">
        <v>62</v>
      </c>
      <c r="E240" s="1" t="s">
        <v>63</v>
      </c>
      <c r="F240" s="6" t="s">
        <v>176</v>
      </c>
      <c r="G240" s="27">
        <v>25</v>
      </c>
      <c r="H240" t="s">
        <v>57</v>
      </c>
    </row>
    <row r="241" spans="1:8" ht="15.75" customHeight="1">
      <c r="A241" s="27">
        <v>13</v>
      </c>
      <c r="B241" s="30">
        <v>45831</v>
      </c>
      <c r="C241" s="27" t="s">
        <v>731</v>
      </c>
      <c r="D241" s="11" t="s">
        <v>62</v>
      </c>
      <c r="E241" s="1" t="s">
        <v>63</v>
      </c>
      <c r="F241" s="6" t="s">
        <v>177</v>
      </c>
      <c r="G241" s="27">
        <v>25</v>
      </c>
      <c r="H241" t="s">
        <v>57</v>
      </c>
    </row>
    <row r="242" spans="1:8" ht="15.75" customHeight="1">
      <c r="A242" s="27">
        <v>14</v>
      </c>
      <c r="B242" s="30">
        <v>45852</v>
      </c>
      <c r="C242" s="27" t="s">
        <v>731</v>
      </c>
      <c r="D242" s="5" t="s">
        <v>70</v>
      </c>
      <c r="E242" s="1">
        <v>1</v>
      </c>
      <c r="F242" s="6" t="s">
        <v>141</v>
      </c>
      <c r="G242" s="27">
        <v>4</v>
      </c>
      <c r="H242" t="s">
        <v>57</v>
      </c>
    </row>
    <row r="243" spans="1:8" ht="15.75" customHeight="1">
      <c r="A243" s="27">
        <v>14</v>
      </c>
      <c r="B243" s="30">
        <v>45852</v>
      </c>
      <c r="C243" s="27" t="s">
        <v>731</v>
      </c>
      <c r="D243" s="5" t="s">
        <v>59</v>
      </c>
      <c r="E243" s="1">
        <v>19</v>
      </c>
      <c r="F243" s="6" t="s">
        <v>58</v>
      </c>
      <c r="G243" s="27">
        <v>1</v>
      </c>
      <c r="H243" t="s">
        <v>57</v>
      </c>
    </row>
    <row r="244" spans="1:8" ht="15.75" customHeight="1">
      <c r="A244" s="27">
        <v>14</v>
      </c>
      <c r="B244" s="30">
        <v>45852</v>
      </c>
      <c r="C244" s="27" t="s">
        <v>731</v>
      </c>
      <c r="D244" s="11" t="s">
        <v>62</v>
      </c>
      <c r="E244" s="1" t="s">
        <v>63</v>
      </c>
      <c r="F244" s="6" t="s">
        <v>97</v>
      </c>
      <c r="G244" s="27">
        <v>1</v>
      </c>
      <c r="H244" t="s">
        <v>57</v>
      </c>
    </row>
    <row r="245" spans="1:8" ht="15.75" customHeight="1">
      <c r="A245" s="27">
        <v>14</v>
      </c>
      <c r="B245" s="30">
        <v>45852</v>
      </c>
      <c r="C245" s="27" t="s">
        <v>731</v>
      </c>
      <c r="D245" s="5" t="s">
        <v>109</v>
      </c>
      <c r="E245" s="1">
        <v>31</v>
      </c>
      <c r="F245" s="6" t="s">
        <v>173</v>
      </c>
      <c r="G245" s="27">
        <v>1</v>
      </c>
      <c r="H245" t="s">
        <v>57</v>
      </c>
    </row>
    <row r="246" spans="1:8" ht="15.75" customHeight="1">
      <c r="A246" s="27">
        <v>14</v>
      </c>
      <c r="B246" s="30">
        <v>45852</v>
      </c>
      <c r="C246" s="27" t="s">
        <v>731</v>
      </c>
      <c r="D246" s="11" t="s">
        <v>62</v>
      </c>
      <c r="E246" s="1" t="s">
        <v>63</v>
      </c>
      <c r="F246" s="6" t="s">
        <v>176</v>
      </c>
      <c r="G246" s="27">
        <v>60</v>
      </c>
      <c r="H246" t="s">
        <v>57</v>
      </c>
    </row>
    <row r="247" spans="1:8" ht="15.75" customHeight="1">
      <c r="A247" s="27">
        <v>14</v>
      </c>
      <c r="B247" s="30">
        <v>45852</v>
      </c>
      <c r="C247" s="27" t="s">
        <v>731</v>
      </c>
      <c r="D247" s="11" t="s">
        <v>62</v>
      </c>
      <c r="E247" s="1" t="s">
        <v>63</v>
      </c>
      <c r="F247" s="6" t="s">
        <v>177</v>
      </c>
      <c r="G247" s="27">
        <v>60</v>
      </c>
      <c r="H247" t="s">
        <v>57</v>
      </c>
    </row>
    <row r="248" spans="1:8" ht="15.75" customHeight="1">
      <c r="A248" s="27">
        <v>14</v>
      </c>
      <c r="B248" s="30">
        <v>45852</v>
      </c>
      <c r="C248" s="27" t="s">
        <v>731</v>
      </c>
      <c r="D248" s="11" t="s">
        <v>62</v>
      </c>
      <c r="E248" s="1" t="s">
        <v>63</v>
      </c>
      <c r="F248" s="6" t="s">
        <v>179</v>
      </c>
      <c r="G248" s="27">
        <v>1</v>
      </c>
      <c r="H248" t="s">
        <v>57</v>
      </c>
    </row>
    <row r="249" spans="1:8" ht="15.75" customHeight="1">
      <c r="A249" s="27">
        <v>14</v>
      </c>
      <c r="B249" s="30">
        <v>45852</v>
      </c>
      <c r="C249" s="27" t="s">
        <v>731</v>
      </c>
      <c r="D249" s="11" t="s">
        <v>62</v>
      </c>
      <c r="E249" s="1" t="s">
        <v>63</v>
      </c>
      <c r="F249" s="6" t="s">
        <v>206</v>
      </c>
      <c r="G249" s="27">
        <v>1</v>
      </c>
      <c r="H249" t="s">
        <v>57</v>
      </c>
    </row>
    <row r="250" spans="1:8" ht="15.75" customHeight="1">
      <c r="A250" s="27">
        <v>14</v>
      </c>
      <c r="B250" s="30">
        <v>45852</v>
      </c>
      <c r="C250" s="27" t="s">
        <v>731</v>
      </c>
      <c r="D250" s="5" t="s">
        <v>59</v>
      </c>
      <c r="E250" s="1">
        <v>15</v>
      </c>
      <c r="F250" s="6" t="s">
        <v>111</v>
      </c>
      <c r="G250" s="27">
        <v>2</v>
      </c>
      <c r="H250" t="s">
        <v>57</v>
      </c>
    </row>
    <row r="251" spans="1:8" ht="15.75" customHeight="1">
      <c r="A251" s="27">
        <v>14</v>
      </c>
      <c r="B251" s="30">
        <v>45852</v>
      </c>
      <c r="C251" s="27" t="s">
        <v>731</v>
      </c>
      <c r="D251" s="5" t="s">
        <v>109</v>
      </c>
      <c r="E251" s="1">
        <v>23</v>
      </c>
      <c r="F251" s="6" t="s">
        <v>245</v>
      </c>
      <c r="G251" s="27">
        <v>30</v>
      </c>
      <c r="H251" t="s">
        <v>57</v>
      </c>
    </row>
    <row r="252" spans="1:8" ht="15.75" customHeight="1">
      <c r="A252" s="27">
        <v>14</v>
      </c>
      <c r="B252" s="30">
        <v>45852</v>
      </c>
      <c r="C252" s="27" t="s">
        <v>731</v>
      </c>
      <c r="D252" s="5" t="s">
        <v>59</v>
      </c>
      <c r="E252" s="1">
        <v>26</v>
      </c>
      <c r="F252" s="6" t="s">
        <v>265</v>
      </c>
      <c r="G252" s="27">
        <v>6</v>
      </c>
      <c r="H252" t="s">
        <v>57</v>
      </c>
    </row>
    <row r="253" spans="1:8" ht="15.75" customHeight="1">
      <c r="A253" s="27">
        <v>14</v>
      </c>
      <c r="B253" s="30">
        <v>45852</v>
      </c>
      <c r="C253" s="27" t="s">
        <v>731</v>
      </c>
      <c r="D253" s="5" t="s">
        <v>70</v>
      </c>
      <c r="E253" s="1">
        <v>5</v>
      </c>
      <c r="F253" s="6" t="s">
        <v>72</v>
      </c>
      <c r="G253" s="27">
        <v>1</v>
      </c>
      <c r="H253" t="s">
        <v>57</v>
      </c>
    </row>
    <row r="254" spans="1:8" ht="15.75" customHeight="1">
      <c r="A254" s="27">
        <v>12</v>
      </c>
      <c r="B254" s="30">
        <v>45831</v>
      </c>
      <c r="C254" s="27" t="s">
        <v>731</v>
      </c>
      <c r="D254" s="5" t="s">
        <v>424</v>
      </c>
      <c r="E254" s="1">
        <v>10</v>
      </c>
      <c r="F254" s="6" t="s">
        <v>423</v>
      </c>
      <c r="G254" s="27">
        <v>1</v>
      </c>
      <c r="H254" t="s">
        <v>732</v>
      </c>
    </row>
    <row r="255" spans="1:8" ht="15.75" customHeight="1">
      <c r="A255" s="27">
        <v>12</v>
      </c>
      <c r="B255" s="30">
        <v>45831</v>
      </c>
      <c r="C255" s="27" t="s">
        <v>731</v>
      </c>
      <c r="D255" s="11" t="s">
        <v>62</v>
      </c>
      <c r="E255" s="1" t="s">
        <v>63</v>
      </c>
      <c r="F255" s="6" t="s">
        <v>422</v>
      </c>
      <c r="G255" s="27">
        <v>1</v>
      </c>
      <c r="H255" t="s">
        <v>732</v>
      </c>
    </row>
    <row r="256" spans="1:8" ht="15.75" customHeight="1">
      <c r="A256" s="27">
        <v>12</v>
      </c>
      <c r="B256" s="30">
        <v>45831</v>
      </c>
      <c r="C256" s="27" t="s">
        <v>731</v>
      </c>
      <c r="D256" s="5" t="s">
        <v>424</v>
      </c>
      <c r="E256" s="1">
        <v>1</v>
      </c>
      <c r="F256" s="6" t="s">
        <v>426</v>
      </c>
      <c r="G256" s="27">
        <v>1</v>
      </c>
      <c r="H256" t="s">
        <v>732</v>
      </c>
    </row>
    <row r="257" spans="1:8" ht="15.75" customHeight="1">
      <c r="A257" s="27">
        <v>12</v>
      </c>
      <c r="B257" s="30">
        <v>45831</v>
      </c>
      <c r="C257" s="27" t="s">
        <v>731</v>
      </c>
      <c r="D257" s="5" t="s">
        <v>424</v>
      </c>
      <c r="E257" s="1">
        <v>15</v>
      </c>
      <c r="F257" s="6" t="s">
        <v>460</v>
      </c>
      <c r="G257" s="27">
        <v>2</v>
      </c>
      <c r="H257" t="s">
        <v>732</v>
      </c>
    </row>
    <row r="258" spans="1:8" ht="15.75" customHeight="1">
      <c r="A258" s="27">
        <v>12</v>
      </c>
      <c r="B258" s="30">
        <v>45831</v>
      </c>
      <c r="C258" s="27" t="s">
        <v>731</v>
      </c>
      <c r="D258" s="5" t="s">
        <v>424</v>
      </c>
      <c r="E258" s="1">
        <v>16</v>
      </c>
      <c r="F258" s="6" t="s">
        <v>462</v>
      </c>
      <c r="G258" s="27">
        <v>1</v>
      </c>
      <c r="H258" t="s">
        <v>732</v>
      </c>
    </row>
    <row r="259" spans="1:8" ht="15.75" customHeight="1">
      <c r="A259" s="27">
        <v>12</v>
      </c>
      <c r="B259" s="30">
        <v>45831</v>
      </c>
      <c r="C259" s="27" t="s">
        <v>731</v>
      </c>
      <c r="D259" s="5" t="s">
        <v>424</v>
      </c>
      <c r="E259" s="1">
        <v>4</v>
      </c>
      <c r="F259" s="6" t="s">
        <v>439</v>
      </c>
      <c r="G259" s="27">
        <v>1</v>
      </c>
      <c r="H259" t="s">
        <v>732</v>
      </c>
    </row>
    <row r="260" spans="1:8" ht="15.75" customHeight="1">
      <c r="A260" s="27">
        <v>12</v>
      </c>
      <c r="B260" s="30">
        <v>45831</v>
      </c>
      <c r="C260" s="27" t="s">
        <v>731</v>
      </c>
      <c r="D260" s="5" t="s">
        <v>424</v>
      </c>
      <c r="E260" s="1">
        <v>6</v>
      </c>
      <c r="F260" s="6" t="s">
        <v>428</v>
      </c>
      <c r="G260" s="27">
        <v>3</v>
      </c>
      <c r="H260" t="s">
        <v>732</v>
      </c>
    </row>
    <row r="261" spans="1:8" ht="15.75" customHeight="1">
      <c r="A261" s="27">
        <v>12</v>
      </c>
      <c r="B261" s="30">
        <v>45831</v>
      </c>
      <c r="C261" s="27" t="s">
        <v>731</v>
      </c>
      <c r="D261" s="5" t="s">
        <v>424</v>
      </c>
      <c r="E261" s="1">
        <v>18</v>
      </c>
      <c r="F261" s="6" t="s">
        <v>469</v>
      </c>
      <c r="G261" s="27">
        <v>3</v>
      </c>
      <c r="H261" t="s">
        <v>732</v>
      </c>
    </row>
    <row r="262" spans="1:8" ht="15.75" customHeight="1">
      <c r="A262" s="27">
        <v>13</v>
      </c>
      <c r="B262" s="30">
        <v>45852</v>
      </c>
      <c r="C262" s="27" t="s">
        <v>731</v>
      </c>
      <c r="D262" s="5" t="s">
        <v>454</v>
      </c>
      <c r="E262" s="1">
        <v>14</v>
      </c>
      <c r="F262" s="6" t="s">
        <v>466</v>
      </c>
      <c r="G262" s="27">
        <v>4</v>
      </c>
      <c r="H262" t="s">
        <v>732</v>
      </c>
    </row>
    <row r="263" spans="1:8" ht="15.75" customHeight="1">
      <c r="A263" s="27">
        <v>13</v>
      </c>
      <c r="B263" s="30">
        <v>45852</v>
      </c>
      <c r="C263" s="27" t="s">
        <v>731</v>
      </c>
      <c r="D263" s="5" t="s">
        <v>424</v>
      </c>
      <c r="E263" s="1">
        <v>1</v>
      </c>
      <c r="F263" s="6" t="s">
        <v>426</v>
      </c>
      <c r="G263" s="27">
        <v>1</v>
      </c>
      <c r="H263" t="s">
        <v>732</v>
      </c>
    </row>
    <row r="264" spans="1:8" ht="15.75" customHeight="1">
      <c r="A264" s="27">
        <v>13</v>
      </c>
      <c r="B264" s="30">
        <v>45852</v>
      </c>
      <c r="C264" s="27" t="s">
        <v>731</v>
      </c>
      <c r="D264" s="5" t="s">
        <v>424</v>
      </c>
      <c r="E264" s="1">
        <v>15</v>
      </c>
      <c r="F264" s="6" t="s">
        <v>460</v>
      </c>
      <c r="G264" s="27">
        <v>3</v>
      </c>
      <c r="H264" t="s">
        <v>732</v>
      </c>
    </row>
    <row r="265" spans="1:8" ht="15.75" customHeight="1">
      <c r="A265" s="27">
        <v>13</v>
      </c>
      <c r="B265" s="30">
        <v>45852</v>
      </c>
      <c r="C265" s="27" t="s">
        <v>731</v>
      </c>
      <c r="D265" s="5" t="s">
        <v>424</v>
      </c>
      <c r="E265" s="1">
        <v>16</v>
      </c>
      <c r="F265" s="6" t="s">
        <v>462</v>
      </c>
      <c r="G265" s="27">
        <v>3</v>
      </c>
      <c r="H265" t="s">
        <v>732</v>
      </c>
    </row>
    <row r="266" spans="1:8" ht="15.75" customHeight="1">
      <c r="A266" s="27">
        <v>13</v>
      </c>
      <c r="B266" s="30">
        <v>45852</v>
      </c>
      <c r="C266" s="27" t="s">
        <v>731</v>
      </c>
      <c r="D266" s="5" t="s">
        <v>424</v>
      </c>
      <c r="E266" s="1">
        <v>17</v>
      </c>
      <c r="F266" s="6" t="s">
        <v>464</v>
      </c>
      <c r="G266" s="27">
        <v>2</v>
      </c>
      <c r="H266" t="s">
        <v>732</v>
      </c>
    </row>
    <row r="267" spans="1:8" ht="15.75" customHeight="1">
      <c r="A267" s="27">
        <v>13</v>
      </c>
      <c r="B267" s="30">
        <v>45852</v>
      </c>
      <c r="C267" s="27" t="s">
        <v>731</v>
      </c>
      <c r="D267" s="11" t="s">
        <v>62</v>
      </c>
      <c r="E267" s="1" t="s">
        <v>63</v>
      </c>
      <c r="F267" s="6" t="s">
        <v>434</v>
      </c>
      <c r="G267" s="27">
        <v>1</v>
      </c>
      <c r="H267" t="s">
        <v>732</v>
      </c>
    </row>
    <row r="268" spans="1:8" ht="15.75" customHeight="1">
      <c r="A268" s="27">
        <v>13</v>
      </c>
      <c r="B268" s="30">
        <v>45852</v>
      </c>
      <c r="C268" s="27" t="s">
        <v>731</v>
      </c>
      <c r="D268" s="5" t="s">
        <v>424</v>
      </c>
      <c r="E268" s="1">
        <v>6</v>
      </c>
      <c r="F268" s="6" t="s">
        <v>428</v>
      </c>
      <c r="G268" s="27">
        <v>2</v>
      </c>
      <c r="H268" t="s">
        <v>732</v>
      </c>
    </row>
    <row r="269" spans="1:8" ht="15.75" customHeight="1">
      <c r="A269" s="27">
        <v>13</v>
      </c>
      <c r="B269" s="30">
        <v>45852</v>
      </c>
      <c r="C269" s="27" t="s">
        <v>731</v>
      </c>
      <c r="D269" s="5" t="s">
        <v>424</v>
      </c>
      <c r="E269" s="1">
        <v>18</v>
      </c>
      <c r="F269" s="6" t="s">
        <v>469</v>
      </c>
      <c r="G269" s="27">
        <v>2</v>
      </c>
      <c r="H269" t="s">
        <v>732</v>
      </c>
    </row>
    <row r="270" spans="1:8" ht="15.75" customHeight="1">
      <c r="A270" s="27">
        <v>14</v>
      </c>
      <c r="B270" s="30">
        <v>45827</v>
      </c>
      <c r="C270" s="27" t="s">
        <v>731</v>
      </c>
      <c r="D270" s="5" t="s">
        <v>18</v>
      </c>
      <c r="E270" s="1">
        <v>23</v>
      </c>
      <c r="F270" s="6" t="s">
        <v>55</v>
      </c>
      <c r="G270" s="27">
        <v>14</v>
      </c>
      <c r="H270" t="s">
        <v>714</v>
      </c>
    </row>
    <row r="271" spans="1:8" ht="15.75" customHeight="1">
      <c r="A271" s="27">
        <v>14</v>
      </c>
      <c r="B271" s="30">
        <v>45827</v>
      </c>
      <c r="C271" s="27" t="s">
        <v>731</v>
      </c>
      <c r="D271" s="5" t="s">
        <v>18</v>
      </c>
      <c r="E271" s="1">
        <v>22</v>
      </c>
      <c r="F271" s="6" t="s">
        <v>53</v>
      </c>
      <c r="G271" s="27">
        <v>10</v>
      </c>
      <c r="H271" t="s">
        <v>714</v>
      </c>
    </row>
    <row r="272" spans="1:8" ht="15.75" customHeight="1">
      <c r="A272" s="27">
        <v>14</v>
      </c>
      <c r="B272" s="30">
        <v>45827</v>
      </c>
      <c r="C272" s="27" t="s">
        <v>731</v>
      </c>
      <c r="D272" s="5" t="s">
        <v>18</v>
      </c>
      <c r="E272" s="1">
        <v>11</v>
      </c>
      <c r="F272" s="6" t="s">
        <v>34</v>
      </c>
      <c r="G272" s="27">
        <v>3</v>
      </c>
      <c r="H272" t="s">
        <v>714</v>
      </c>
    </row>
    <row r="273" spans="1:8" ht="15.75" customHeight="1">
      <c r="A273" s="27">
        <v>14</v>
      </c>
      <c r="B273" s="30">
        <v>45827</v>
      </c>
      <c r="C273" s="27" t="s">
        <v>731</v>
      </c>
      <c r="D273" s="5" t="s">
        <v>18</v>
      </c>
      <c r="E273" s="1">
        <v>21</v>
      </c>
      <c r="F273" s="6" t="s">
        <v>51</v>
      </c>
      <c r="G273" s="27">
        <v>14</v>
      </c>
      <c r="H273" t="s">
        <v>714</v>
      </c>
    </row>
    <row r="274" spans="1:8" ht="15.75" customHeight="1">
      <c r="A274" s="27">
        <v>14</v>
      </c>
      <c r="B274" s="30">
        <v>45827</v>
      </c>
      <c r="C274" s="27" t="s">
        <v>731</v>
      </c>
      <c r="D274" s="5" t="s">
        <v>18</v>
      </c>
      <c r="E274" s="1">
        <v>20</v>
      </c>
      <c r="F274" s="6" t="s">
        <v>49</v>
      </c>
      <c r="G274" s="27">
        <v>10</v>
      </c>
      <c r="H274" t="s">
        <v>714</v>
      </c>
    </row>
    <row r="275" spans="1:8" ht="15.75" customHeight="1">
      <c r="A275" s="27">
        <v>14</v>
      </c>
      <c r="B275" s="30">
        <v>45827</v>
      </c>
      <c r="C275" s="27" t="s">
        <v>731</v>
      </c>
      <c r="D275" s="5" t="s">
        <v>18</v>
      </c>
      <c r="E275" s="1">
        <v>18</v>
      </c>
      <c r="F275" s="6" t="s">
        <v>46</v>
      </c>
      <c r="G275" s="27">
        <v>14</v>
      </c>
      <c r="H275" t="s">
        <v>714</v>
      </c>
    </row>
    <row r="276" spans="1:8" ht="15.75" customHeight="1">
      <c r="A276" s="27">
        <v>14</v>
      </c>
      <c r="B276" s="30">
        <v>45827</v>
      </c>
      <c r="C276" s="27" t="s">
        <v>731</v>
      </c>
      <c r="D276" s="5" t="s">
        <v>18</v>
      </c>
      <c r="E276" s="1">
        <v>19</v>
      </c>
      <c r="F276" s="6" t="s">
        <v>48</v>
      </c>
      <c r="G276" s="27">
        <v>10</v>
      </c>
      <c r="H276" t="s">
        <v>714</v>
      </c>
    </row>
    <row r="277" spans="1:8" ht="15.75" customHeight="1">
      <c r="A277" s="27">
        <v>14</v>
      </c>
      <c r="B277" s="30">
        <v>45827</v>
      </c>
      <c r="C277" s="27" t="s">
        <v>731</v>
      </c>
      <c r="D277" s="5" t="s">
        <v>18</v>
      </c>
      <c r="E277" s="1">
        <v>8</v>
      </c>
      <c r="F277" s="6" t="s">
        <v>28</v>
      </c>
      <c r="G277" s="27">
        <v>5</v>
      </c>
      <c r="H277" t="s">
        <v>714</v>
      </c>
    </row>
    <row r="278" spans="1:8" ht="15.75" customHeight="1">
      <c r="A278" s="27">
        <v>14</v>
      </c>
      <c r="B278" s="30">
        <v>45827</v>
      </c>
      <c r="C278" s="27" t="s">
        <v>731</v>
      </c>
      <c r="D278" s="5" t="s">
        <v>18</v>
      </c>
      <c r="E278" s="1">
        <v>10</v>
      </c>
      <c r="F278" s="6" t="s">
        <v>32</v>
      </c>
      <c r="G278" s="27">
        <v>2</v>
      </c>
      <c r="H278" t="s">
        <v>714</v>
      </c>
    </row>
    <row r="279" spans="1:8" ht="15.75" customHeight="1">
      <c r="A279" s="27">
        <v>14</v>
      </c>
      <c r="B279" s="30">
        <v>45827</v>
      </c>
      <c r="C279" s="27" t="s">
        <v>731</v>
      </c>
      <c r="D279" s="5" t="s">
        <v>18</v>
      </c>
      <c r="E279" s="1">
        <v>9</v>
      </c>
      <c r="F279" s="6" t="s">
        <v>30</v>
      </c>
      <c r="G279" s="27">
        <v>3</v>
      </c>
      <c r="H279" t="s">
        <v>714</v>
      </c>
    </row>
    <row r="280" spans="1:8" ht="15.75" customHeight="1">
      <c r="A280" s="27">
        <v>14</v>
      </c>
      <c r="B280" s="30">
        <v>45827</v>
      </c>
      <c r="C280" s="27" t="s">
        <v>731</v>
      </c>
      <c r="D280" s="5" t="s">
        <v>18</v>
      </c>
      <c r="E280" s="1">
        <v>7</v>
      </c>
      <c r="F280" s="6" t="s">
        <v>26</v>
      </c>
      <c r="G280" s="27">
        <v>3</v>
      </c>
      <c r="H280" t="s">
        <v>714</v>
      </c>
    </row>
    <row r="281" spans="1:8" ht="15.75" customHeight="1">
      <c r="A281" s="27">
        <v>14</v>
      </c>
      <c r="B281" s="30">
        <v>45827</v>
      </c>
      <c r="C281" s="27" t="s">
        <v>731</v>
      </c>
      <c r="D281" s="5" t="s">
        <v>18</v>
      </c>
      <c r="E281" s="1">
        <v>3</v>
      </c>
      <c r="F281" s="6" t="s">
        <v>17</v>
      </c>
      <c r="G281" s="27">
        <v>1</v>
      </c>
      <c r="H281" t="s">
        <v>714</v>
      </c>
    </row>
    <row r="282" spans="1:8" ht="15.75" customHeight="1">
      <c r="A282" s="27">
        <v>14</v>
      </c>
      <c r="B282" s="30">
        <v>45827</v>
      </c>
      <c r="C282" s="27" t="s">
        <v>731</v>
      </c>
      <c r="D282" s="5" t="s">
        <v>18</v>
      </c>
      <c r="E282" s="1">
        <v>6</v>
      </c>
      <c r="F282" s="6" t="s">
        <v>24</v>
      </c>
      <c r="G282" s="27">
        <v>1</v>
      </c>
      <c r="H282" t="s">
        <v>714</v>
      </c>
    </row>
    <row r="283" spans="1:8" ht="15.75" customHeight="1">
      <c r="A283" s="27">
        <v>15</v>
      </c>
      <c r="B283" s="30">
        <v>45831</v>
      </c>
      <c r="C283" s="27" t="s">
        <v>731</v>
      </c>
      <c r="D283" s="5" t="s">
        <v>18</v>
      </c>
      <c r="E283" s="1">
        <v>23</v>
      </c>
      <c r="F283" s="6" t="s">
        <v>55</v>
      </c>
      <c r="G283" s="27">
        <v>6</v>
      </c>
      <c r="H283" t="s">
        <v>714</v>
      </c>
    </row>
    <row r="284" spans="1:8" ht="15.75" customHeight="1">
      <c r="A284" s="27">
        <v>15</v>
      </c>
      <c r="B284" s="30">
        <v>45831</v>
      </c>
      <c r="C284" s="27" t="s">
        <v>731</v>
      </c>
      <c r="D284" s="5" t="s">
        <v>18</v>
      </c>
      <c r="E284" s="1">
        <v>22</v>
      </c>
      <c r="F284" s="6" t="s">
        <v>53</v>
      </c>
      <c r="G284" s="27">
        <v>12</v>
      </c>
      <c r="H284" t="s">
        <v>714</v>
      </c>
    </row>
    <row r="285" spans="1:8" ht="15.75" customHeight="1">
      <c r="A285" s="27">
        <v>15</v>
      </c>
      <c r="B285" s="30">
        <v>45831</v>
      </c>
      <c r="C285" s="27" t="s">
        <v>731</v>
      </c>
      <c r="D285" s="5" t="s">
        <v>18</v>
      </c>
      <c r="E285" s="1">
        <v>21</v>
      </c>
      <c r="F285" s="6" t="s">
        <v>51</v>
      </c>
      <c r="G285" s="27">
        <v>6</v>
      </c>
      <c r="H285" t="s">
        <v>714</v>
      </c>
    </row>
    <row r="286" spans="1:8" ht="15.75" customHeight="1">
      <c r="A286" s="27">
        <v>15</v>
      </c>
      <c r="B286" s="30">
        <v>45831</v>
      </c>
      <c r="C286" s="27" t="s">
        <v>731</v>
      </c>
      <c r="D286" s="5" t="s">
        <v>18</v>
      </c>
      <c r="E286" s="1">
        <v>20</v>
      </c>
      <c r="F286" s="6" t="s">
        <v>49</v>
      </c>
      <c r="G286" s="27">
        <v>12</v>
      </c>
      <c r="H286" t="s">
        <v>714</v>
      </c>
    </row>
    <row r="287" spans="1:8" ht="15.75" customHeight="1">
      <c r="A287" s="27">
        <v>15</v>
      </c>
      <c r="B287" s="30">
        <v>45831</v>
      </c>
      <c r="C287" s="27" t="s">
        <v>731</v>
      </c>
      <c r="D287" s="5" t="s">
        <v>18</v>
      </c>
      <c r="E287" s="1">
        <v>18</v>
      </c>
      <c r="F287" s="6" t="s">
        <v>46</v>
      </c>
      <c r="G287" s="27">
        <v>6</v>
      </c>
      <c r="H287" t="s">
        <v>714</v>
      </c>
    </row>
    <row r="288" spans="1:8" ht="15.75" customHeight="1">
      <c r="A288" s="27">
        <v>15</v>
      </c>
      <c r="B288" s="30">
        <v>45831</v>
      </c>
      <c r="C288" s="27" t="s">
        <v>731</v>
      </c>
      <c r="D288" s="5" t="s">
        <v>18</v>
      </c>
      <c r="E288" s="1">
        <v>19</v>
      </c>
      <c r="F288" s="6" t="s">
        <v>48</v>
      </c>
      <c r="G288" s="27">
        <v>12</v>
      </c>
      <c r="H288" t="s">
        <v>714</v>
      </c>
    </row>
    <row r="289" spans="1:8" ht="15.75" customHeight="1">
      <c r="A289" s="27">
        <v>15</v>
      </c>
      <c r="B289" s="30">
        <v>45831</v>
      </c>
      <c r="C289" s="27" t="s">
        <v>731</v>
      </c>
      <c r="D289" s="5" t="s">
        <v>18</v>
      </c>
      <c r="E289" s="1">
        <v>10</v>
      </c>
      <c r="F289" s="6" t="s">
        <v>32</v>
      </c>
      <c r="G289" s="27">
        <v>1</v>
      </c>
      <c r="H289" t="s">
        <v>714</v>
      </c>
    </row>
    <row r="290" spans="1:8" ht="15.75" customHeight="1">
      <c r="A290" s="27">
        <v>15</v>
      </c>
      <c r="B290" s="30">
        <v>45831</v>
      </c>
      <c r="C290" s="27" t="s">
        <v>731</v>
      </c>
      <c r="D290" s="5" t="s">
        <v>18</v>
      </c>
      <c r="E290" s="1">
        <v>7</v>
      </c>
      <c r="F290" s="6" t="s">
        <v>26</v>
      </c>
      <c r="G290" s="27">
        <v>3</v>
      </c>
      <c r="H290" t="s">
        <v>714</v>
      </c>
    </row>
    <row r="291" spans="1:8" ht="15.75" customHeight="1">
      <c r="A291" s="27">
        <v>16</v>
      </c>
      <c r="B291" s="30">
        <v>45834</v>
      </c>
      <c r="C291" s="27" t="s">
        <v>733</v>
      </c>
      <c r="D291" s="5" t="s">
        <v>12</v>
      </c>
      <c r="E291" s="1">
        <v>1</v>
      </c>
      <c r="F291" s="6" t="s">
        <v>11</v>
      </c>
      <c r="G291" s="27">
        <v>1</v>
      </c>
      <c r="H291" t="s">
        <v>714</v>
      </c>
    </row>
    <row r="292" spans="1:8" ht="15.75" customHeight="1">
      <c r="A292" s="27">
        <v>17</v>
      </c>
      <c r="B292" s="30">
        <v>45838</v>
      </c>
      <c r="C292" s="27" t="s">
        <v>734</v>
      </c>
      <c r="D292" s="5" t="s">
        <v>15</v>
      </c>
      <c r="E292" s="1">
        <v>2</v>
      </c>
      <c r="F292" s="6" t="s">
        <v>14</v>
      </c>
      <c r="G292" s="27">
        <v>1</v>
      </c>
      <c r="H292" t="s">
        <v>714</v>
      </c>
    </row>
    <row r="293" spans="1:8" ht="15.75" customHeight="1">
      <c r="A293" s="27">
        <v>18</v>
      </c>
      <c r="B293" s="30">
        <v>45841</v>
      </c>
      <c r="C293" s="27" t="s">
        <v>731</v>
      </c>
      <c r="D293" s="5" t="s">
        <v>18</v>
      </c>
      <c r="E293" s="1">
        <v>23</v>
      </c>
      <c r="F293" s="6" t="s">
        <v>55</v>
      </c>
      <c r="G293" s="27">
        <v>130</v>
      </c>
      <c r="H293" t="s">
        <v>714</v>
      </c>
    </row>
    <row r="294" spans="1:8" ht="15.75" customHeight="1">
      <c r="A294" s="27">
        <v>18</v>
      </c>
      <c r="B294" s="30">
        <v>45841</v>
      </c>
      <c r="C294" s="27" t="s">
        <v>731</v>
      </c>
      <c r="D294" s="5" t="s">
        <v>18</v>
      </c>
      <c r="E294" s="1">
        <v>22</v>
      </c>
      <c r="F294" s="6" t="s">
        <v>53</v>
      </c>
      <c r="G294" s="27">
        <v>120</v>
      </c>
      <c r="H294" t="s">
        <v>714</v>
      </c>
    </row>
    <row r="295" spans="1:8" ht="15.75" customHeight="1">
      <c r="A295" s="27">
        <v>18</v>
      </c>
      <c r="B295" s="30">
        <v>45841</v>
      </c>
      <c r="C295" s="27" t="s">
        <v>731</v>
      </c>
      <c r="D295" s="5" t="s">
        <v>18</v>
      </c>
      <c r="E295" s="1">
        <v>11</v>
      </c>
      <c r="F295" s="6" t="s">
        <v>34</v>
      </c>
      <c r="G295" s="27">
        <v>8</v>
      </c>
      <c r="H295" t="s">
        <v>714</v>
      </c>
    </row>
    <row r="296" spans="1:8" ht="15.75" customHeight="1">
      <c r="A296" s="27">
        <v>18</v>
      </c>
      <c r="B296" s="30">
        <v>45841</v>
      </c>
      <c r="C296" s="27" t="s">
        <v>731</v>
      </c>
      <c r="D296" s="5" t="s">
        <v>18</v>
      </c>
      <c r="E296" s="1">
        <v>13</v>
      </c>
      <c r="F296" s="6" t="s">
        <v>36</v>
      </c>
      <c r="G296" s="27">
        <v>2</v>
      </c>
      <c r="H296" t="s">
        <v>714</v>
      </c>
    </row>
    <row r="297" spans="1:8" ht="15.75" customHeight="1">
      <c r="A297" s="27">
        <v>18</v>
      </c>
      <c r="B297" s="30">
        <v>45841</v>
      </c>
      <c r="C297" s="27" t="s">
        <v>731</v>
      </c>
      <c r="D297" s="5" t="s">
        <v>18</v>
      </c>
      <c r="E297" s="1">
        <v>17</v>
      </c>
      <c r="F297" s="6" t="s">
        <v>44</v>
      </c>
      <c r="G297" s="27">
        <v>8</v>
      </c>
      <c r="H297" t="s">
        <v>714</v>
      </c>
    </row>
    <row r="298" spans="1:8" ht="15.75" customHeight="1">
      <c r="A298" s="27">
        <v>18</v>
      </c>
      <c r="B298" s="30">
        <v>45841</v>
      </c>
      <c r="C298" s="27" t="s">
        <v>731</v>
      </c>
      <c r="D298" s="5" t="s">
        <v>18</v>
      </c>
      <c r="E298" s="1">
        <v>21</v>
      </c>
      <c r="F298" s="6" t="s">
        <v>51</v>
      </c>
      <c r="G298" s="27">
        <v>130</v>
      </c>
      <c r="H298" t="s">
        <v>714</v>
      </c>
    </row>
    <row r="299" spans="1:8" ht="15.75" customHeight="1">
      <c r="A299" s="27">
        <v>18</v>
      </c>
      <c r="B299" s="30">
        <v>45841</v>
      </c>
      <c r="C299" s="27" t="s">
        <v>731</v>
      </c>
      <c r="D299" s="5" t="s">
        <v>18</v>
      </c>
      <c r="E299" s="1">
        <v>20</v>
      </c>
      <c r="F299" s="6" t="s">
        <v>49</v>
      </c>
      <c r="G299" s="27">
        <v>120</v>
      </c>
      <c r="H299" t="s">
        <v>714</v>
      </c>
    </row>
    <row r="300" spans="1:8" ht="15.75" customHeight="1">
      <c r="A300" s="27">
        <v>18</v>
      </c>
      <c r="B300" s="30">
        <v>45841</v>
      </c>
      <c r="C300" s="27" t="s">
        <v>731</v>
      </c>
      <c r="D300" s="5" t="s">
        <v>18</v>
      </c>
      <c r="E300" s="1">
        <v>18</v>
      </c>
      <c r="F300" s="6" t="s">
        <v>46</v>
      </c>
      <c r="G300" s="27">
        <v>130</v>
      </c>
      <c r="H300" t="s">
        <v>714</v>
      </c>
    </row>
    <row r="301" spans="1:8" ht="15.75" customHeight="1">
      <c r="A301" s="27">
        <v>18</v>
      </c>
      <c r="B301" s="30">
        <v>45841</v>
      </c>
      <c r="C301" s="27" t="s">
        <v>731</v>
      </c>
      <c r="D301" s="5" t="s">
        <v>18</v>
      </c>
      <c r="E301" s="1">
        <v>19</v>
      </c>
      <c r="F301" s="6" t="s">
        <v>48</v>
      </c>
      <c r="G301" s="27">
        <v>120</v>
      </c>
      <c r="H301" t="s">
        <v>714</v>
      </c>
    </row>
    <row r="302" spans="1:8" ht="15.75" customHeight="1">
      <c r="A302" s="27">
        <v>18</v>
      </c>
      <c r="B302" s="30">
        <v>45841</v>
      </c>
      <c r="C302" s="27" t="s">
        <v>731</v>
      </c>
      <c r="D302" s="5" t="s">
        <v>18</v>
      </c>
      <c r="E302" s="1">
        <v>10</v>
      </c>
      <c r="F302" s="6" t="s">
        <v>32</v>
      </c>
      <c r="G302" s="27">
        <v>7</v>
      </c>
      <c r="H302" t="s">
        <v>714</v>
      </c>
    </row>
    <row r="303" spans="1:8" ht="15.75" customHeight="1">
      <c r="A303" s="27">
        <v>18</v>
      </c>
      <c r="B303" s="30">
        <v>45841</v>
      </c>
      <c r="C303" s="27" t="s">
        <v>731</v>
      </c>
      <c r="D303" s="5" t="s">
        <v>18</v>
      </c>
      <c r="E303" s="1">
        <v>9</v>
      </c>
      <c r="F303" s="6" t="s">
        <v>30</v>
      </c>
      <c r="G303" s="27">
        <v>2</v>
      </c>
      <c r="H303" t="s">
        <v>714</v>
      </c>
    </row>
    <row r="304" spans="1:8" ht="15.75" customHeight="1">
      <c r="A304" s="27">
        <v>18</v>
      </c>
      <c r="B304" s="30">
        <v>45841</v>
      </c>
      <c r="C304" s="27" t="s">
        <v>731</v>
      </c>
      <c r="D304" s="5" t="s">
        <v>18</v>
      </c>
      <c r="E304" s="1">
        <v>7</v>
      </c>
      <c r="F304" s="6" t="s">
        <v>26</v>
      </c>
      <c r="G304" s="27">
        <v>7</v>
      </c>
      <c r="H304" t="s">
        <v>714</v>
      </c>
    </row>
    <row r="305" spans="1:8" ht="15.75" customHeight="1">
      <c r="A305" s="27">
        <v>18</v>
      </c>
      <c r="B305" s="30">
        <v>45841</v>
      </c>
      <c r="C305" s="27" t="s">
        <v>731</v>
      </c>
      <c r="D305" s="5" t="s">
        <v>18</v>
      </c>
      <c r="E305" s="1">
        <v>3</v>
      </c>
      <c r="F305" s="6" t="s">
        <v>17</v>
      </c>
      <c r="G305" s="27">
        <v>1</v>
      </c>
      <c r="H305" t="s">
        <v>714</v>
      </c>
    </row>
    <row r="306" spans="1:8" ht="15.75" customHeight="1">
      <c r="A306" s="27">
        <v>18</v>
      </c>
      <c r="B306" s="30">
        <v>45841</v>
      </c>
      <c r="C306" s="27" t="s">
        <v>731</v>
      </c>
      <c r="D306" s="5" t="s">
        <v>18</v>
      </c>
      <c r="E306" s="1">
        <v>5</v>
      </c>
      <c r="F306" s="6" t="s">
        <v>22</v>
      </c>
      <c r="G306" s="27">
        <v>1</v>
      </c>
      <c r="H306" t="s">
        <v>714</v>
      </c>
    </row>
    <row r="307" spans="1:8" ht="15.75" customHeight="1">
      <c r="A307" s="27">
        <v>18</v>
      </c>
      <c r="B307" s="30">
        <v>45841</v>
      </c>
      <c r="C307" s="27" t="s">
        <v>731</v>
      </c>
      <c r="D307" s="5" t="s">
        <v>18</v>
      </c>
      <c r="E307" s="1">
        <v>6</v>
      </c>
      <c r="F307" s="6" t="s">
        <v>24</v>
      </c>
      <c r="G307" s="27">
        <v>1</v>
      </c>
      <c r="H307" t="s">
        <v>714</v>
      </c>
    </row>
    <row r="308" spans="1:8" ht="15.75" customHeight="1">
      <c r="A308" s="27">
        <v>19</v>
      </c>
      <c r="B308" s="30">
        <v>45840</v>
      </c>
      <c r="C308" s="27" t="s">
        <v>735</v>
      </c>
      <c r="D308" s="5" t="s">
        <v>15</v>
      </c>
      <c r="E308" s="1">
        <v>2</v>
      </c>
      <c r="F308" s="6" t="s">
        <v>14</v>
      </c>
      <c r="G308" s="27">
        <v>2</v>
      </c>
      <c r="H308" t="s">
        <v>714</v>
      </c>
    </row>
    <row r="309" spans="1:8" ht="15.75" customHeight="1">
      <c r="A309" s="27">
        <v>20</v>
      </c>
      <c r="B309" s="30">
        <v>45842</v>
      </c>
      <c r="C309" s="27" t="s">
        <v>736</v>
      </c>
      <c r="D309" s="5" t="s">
        <v>12</v>
      </c>
      <c r="E309" s="1">
        <v>1</v>
      </c>
      <c r="F309" s="6" t="s">
        <v>11</v>
      </c>
      <c r="G309" s="27">
        <v>1</v>
      </c>
      <c r="H309" t="s">
        <v>714</v>
      </c>
    </row>
    <row r="310" spans="1:8" ht="15.75" customHeight="1">
      <c r="A310" s="27">
        <v>21</v>
      </c>
      <c r="B310" s="30">
        <v>45842</v>
      </c>
      <c r="C310" s="27" t="s">
        <v>737</v>
      </c>
      <c r="D310" s="5" t="s">
        <v>12</v>
      </c>
      <c r="E310" s="1">
        <v>1</v>
      </c>
      <c r="F310" s="6" t="s">
        <v>11</v>
      </c>
      <c r="G310" s="27">
        <v>1</v>
      </c>
      <c r="H310" t="s">
        <v>714</v>
      </c>
    </row>
    <row r="311" spans="1:8" ht="15.75" customHeight="1">
      <c r="A311" s="27">
        <v>22</v>
      </c>
      <c r="B311" s="30">
        <v>45845</v>
      </c>
      <c r="C311" s="27" t="s">
        <v>738</v>
      </c>
      <c r="D311" s="5" t="s">
        <v>15</v>
      </c>
      <c r="E311" s="1">
        <v>2</v>
      </c>
      <c r="F311" s="6" t="s">
        <v>14</v>
      </c>
      <c r="G311" s="27">
        <v>1</v>
      </c>
      <c r="H311" t="s">
        <v>714</v>
      </c>
    </row>
    <row r="312" spans="1:8" ht="15.75" customHeight="1">
      <c r="A312" s="27">
        <v>23</v>
      </c>
      <c r="B312" s="30">
        <v>45852</v>
      </c>
      <c r="C312" s="27" t="s">
        <v>731</v>
      </c>
      <c r="D312" s="5" t="s">
        <v>18</v>
      </c>
      <c r="E312" s="1">
        <v>23</v>
      </c>
      <c r="F312" s="6" t="s">
        <v>55</v>
      </c>
      <c r="G312" s="27">
        <v>10</v>
      </c>
      <c r="H312" t="s">
        <v>714</v>
      </c>
    </row>
    <row r="313" spans="1:8" ht="15.75" customHeight="1">
      <c r="A313" s="27">
        <v>23</v>
      </c>
      <c r="B313" s="30">
        <v>45852</v>
      </c>
      <c r="C313" s="27" t="s">
        <v>731</v>
      </c>
      <c r="D313" s="5" t="s">
        <v>18</v>
      </c>
      <c r="E313" s="1">
        <v>22</v>
      </c>
      <c r="F313" s="6" t="s">
        <v>53</v>
      </c>
      <c r="G313" s="27">
        <v>6</v>
      </c>
      <c r="H313" t="s">
        <v>714</v>
      </c>
    </row>
    <row r="314" spans="1:8" ht="15.75" customHeight="1">
      <c r="A314" s="27">
        <v>23</v>
      </c>
      <c r="B314" s="30">
        <v>45852</v>
      </c>
      <c r="C314" s="27" t="s">
        <v>731</v>
      </c>
      <c r="D314" s="5" t="s">
        <v>18</v>
      </c>
      <c r="E314" s="1">
        <v>21</v>
      </c>
      <c r="F314" s="6" t="s">
        <v>51</v>
      </c>
      <c r="G314" s="27">
        <v>10</v>
      </c>
      <c r="H314" t="s">
        <v>714</v>
      </c>
    </row>
    <row r="315" spans="1:8" ht="15.75" customHeight="1">
      <c r="A315" s="27">
        <v>23</v>
      </c>
      <c r="B315" s="30">
        <v>45852</v>
      </c>
      <c r="C315" s="27" t="s">
        <v>731</v>
      </c>
      <c r="D315" s="5" t="s">
        <v>18</v>
      </c>
      <c r="E315" s="1">
        <v>20</v>
      </c>
      <c r="F315" s="6" t="s">
        <v>49</v>
      </c>
      <c r="G315" s="27">
        <v>6</v>
      </c>
      <c r="H315" t="s">
        <v>714</v>
      </c>
    </row>
    <row r="316" spans="1:8" ht="15.75" customHeight="1">
      <c r="A316" s="27">
        <v>23</v>
      </c>
      <c r="B316" s="30">
        <v>45852</v>
      </c>
      <c r="C316" s="27" t="s">
        <v>731</v>
      </c>
      <c r="D316" s="5" t="s">
        <v>18</v>
      </c>
      <c r="E316" s="1">
        <v>18</v>
      </c>
      <c r="F316" s="6" t="s">
        <v>46</v>
      </c>
      <c r="G316" s="27">
        <v>10</v>
      </c>
      <c r="H316" t="s">
        <v>714</v>
      </c>
    </row>
    <row r="317" spans="1:8" ht="15.75" customHeight="1">
      <c r="A317" s="27">
        <v>23</v>
      </c>
      <c r="B317" s="30">
        <v>45852</v>
      </c>
      <c r="C317" s="27" t="s">
        <v>731</v>
      </c>
      <c r="D317" s="5" t="s">
        <v>18</v>
      </c>
      <c r="E317" s="1">
        <v>19</v>
      </c>
      <c r="F317" s="6" t="s">
        <v>48</v>
      </c>
      <c r="G317" s="27">
        <v>6</v>
      </c>
      <c r="H317" t="s">
        <v>714</v>
      </c>
    </row>
    <row r="318" spans="1:8" ht="15.75" customHeight="1">
      <c r="A318" s="27">
        <v>23</v>
      </c>
      <c r="B318" s="30">
        <v>45852</v>
      </c>
      <c r="C318" s="27" t="s">
        <v>731</v>
      </c>
      <c r="D318" s="5" t="s">
        <v>18</v>
      </c>
      <c r="E318" s="1">
        <v>10</v>
      </c>
      <c r="F318" s="6" t="s">
        <v>32</v>
      </c>
      <c r="G318" s="27">
        <v>7</v>
      </c>
      <c r="H318" t="s">
        <v>714</v>
      </c>
    </row>
    <row r="319" spans="1:8" ht="15.75" customHeight="1">
      <c r="A319" s="27">
        <v>23</v>
      </c>
      <c r="B319" s="30">
        <v>45852</v>
      </c>
      <c r="C319" s="27" t="s">
        <v>731</v>
      </c>
      <c r="D319" s="5" t="s">
        <v>18</v>
      </c>
      <c r="E319" s="1">
        <v>9</v>
      </c>
      <c r="F319" s="6" t="s">
        <v>30</v>
      </c>
      <c r="G319" s="27">
        <v>7</v>
      </c>
      <c r="H319" t="s">
        <v>714</v>
      </c>
    </row>
    <row r="320" spans="1:8" ht="15.75" customHeight="1">
      <c r="A320" s="27">
        <v>23</v>
      </c>
      <c r="B320" s="30">
        <v>45852</v>
      </c>
      <c r="C320" s="27" t="s">
        <v>731</v>
      </c>
      <c r="D320" s="5" t="s">
        <v>18</v>
      </c>
      <c r="E320" s="1">
        <v>5</v>
      </c>
      <c r="F320" s="6" t="s">
        <v>22</v>
      </c>
      <c r="G320" s="27">
        <v>1</v>
      </c>
      <c r="H320" t="s">
        <v>714</v>
      </c>
    </row>
    <row r="321" spans="1:8" ht="15.75" customHeight="1">
      <c r="A321" s="27">
        <v>23</v>
      </c>
      <c r="B321" s="30">
        <v>45852</v>
      </c>
      <c r="C321" s="27" t="s">
        <v>731</v>
      </c>
      <c r="D321" s="11" t="s">
        <v>62</v>
      </c>
      <c r="E321" s="1" t="s">
        <v>63</v>
      </c>
      <c r="F321" s="6" t="s">
        <v>720</v>
      </c>
      <c r="G321" s="27">
        <v>1</v>
      </c>
      <c r="H321" t="s">
        <v>714</v>
      </c>
    </row>
    <row r="322" spans="1:8" ht="15.75" customHeight="1">
      <c r="A322" s="27">
        <v>25</v>
      </c>
      <c r="B322" s="30">
        <v>45831</v>
      </c>
      <c r="C322" s="27" t="s">
        <v>739</v>
      </c>
      <c r="D322" s="11" t="s">
        <v>62</v>
      </c>
      <c r="E322" s="1" t="s">
        <v>63</v>
      </c>
      <c r="F322" s="6" t="s">
        <v>663</v>
      </c>
      <c r="G322" s="27">
        <v>1</v>
      </c>
      <c r="H322" t="s">
        <v>646</v>
      </c>
    </row>
    <row r="323" spans="1:8" ht="15.75" customHeight="1">
      <c r="A323" s="27">
        <v>25</v>
      </c>
      <c r="B323" s="30">
        <v>45831</v>
      </c>
      <c r="C323" s="27" t="s">
        <v>739</v>
      </c>
      <c r="D323" s="11" t="s">
        <v>62</v>
      </c>
      <c r="E323" s="1" t="s">
        <v>63</v>
      </c>
      <c r="F323" s="6" t="s">
        <v>678</v>
      </c>
      <c r="G323" s="27">
        <v>1</v>
      </c>
      <c r="H323" t="s">
        <v>646</v>
      </c>
    </row>
    <row r="324" spans="1:8" ht="15.75" customHeight="1">
      <c r="A324" s="27">
        <v>26</v>
      </c>
      <c r="B324" s="30">
        <v>45833</v>
      </c>
      <c r="C324" s="27" t="s">
        <v>740</v>
      </c>
      <c r="D324" s="11" t="s">
        <v>62</v>
      </c>
      <c r="E324" s="1" t="s">
        <v>63</v>
      </c>
      <c r="F324" s="6" t="s">
        <v>678</v>
      </c>
      <c r="G324" s="27">
        <v>1</v>
      </c>
      <c r="H324" t="s">
        <v>646</v>
      </c>
    </row>
    <row r="325" spans="1:8" ht="15.75" customHeight="1">
      <c r="A325" s="27">
        <v>26</v>
      </c>
      <c r="B325" s="30">
        <v>45833</v>
      </c>
      <c r="C325" s="27" t="s">
        <v>740</v>
      </c>
      <c r="D325" s="11" t="s">
        <v>62</v>
      </c>
      <c r="E325" s="1" t="s">
        <v>63</v>
      </c>
      <c r="F325" s="6" t="s">
        <v>663</v>
      </c>
      <c r="G325" s="27">
        <v>1</v>
      </c>
      <c r="H325" t="s">
        <v>646</v>
      </c>
    </row>
    <row r="326" spans="1:8" ht="15.75" customHeight="1">
      <c r="A326" s="27">
        <v>26</v>
      </c>
      <c r="B326" s="30">
        <v>45833</v>
      </c>
      <c r="C326" s="27" t="s">
        <v>740</v>
      </c>
      <c r="D326" s="11" t="s">
        <v>62</v>
      </c>
      <c r="E326" s="1" t="s">
        <v>63</v>
      </c>
      <c r="F326" s="6" t="s">
        <v>661</v>
      </c>
      <c r="G326" s="27">
        <v>1</v>
      </c>
      <c r="H326" t="s">
        <v>646</v>
      </c>
    </row>
    <row r="327" spans="1:8" ht="15.75" customHeight="1">
      <c r="A327" s="27">
        <v>27</v>
      </c>
      <c r="B327" s="30">
        <v>45834</v>
      </c>
      <c r="C327" s="27" t="s">
        <v>741</v>
      </c>
      <c r="D327" s="11" t="s">
        <v>62</v>
      </c>
      <c r="E327" s="1" t="s">
        <v>63</v>
      </c>
      <c r="F327" s="6" t="s">
        <v>662</v>
      </c>
      <c r="G327" s="27">
        <v>1</v>
      </c>
      <c r="H327" t="s">
        <v>646</v>
      </c>
    </row>
    <row r="328" spans="1:8" ht="15.75" customHeight="1">
      <c r="A328" s="27">
        <v>28</v>
      </c>
      <c r="B328" s="30">
        <v>45836</v>
      </c>
      <c r="C328" s="27" t="s">
        <v>742</v>
      </c>
      <c r="D328" s="11" t="s">
        <v>62</v>
      </c>
      <c r="E328" s="1" t="s">
        <v>63</v>
      </c>
      <c r="F328" s="6" t="s">
        <v>662</v>
      </c>
      <c r="G328" s="27">
        <v>1</v>
      </c>
      <c r="H328" t="s">
        <v>646</v>
      </c>
    </row>
    <row r="329" spans="1:8" ht="15.75" customHeight="1">
      <c r="A329" s="27">
        <v>29</v>
      </c>
      <c r="B329" s="30">
        <v>45836</v>
      </c>
      <c r="C329" s="27" t="s">
        <v>743</v>
      </c>
      <c r="D329" s="11" t="s">
        <v>62</v>
      </c>
      <c r="E329" s="1" t="s">
        <v>63</v>
      </c>
      <c r="F329" s="6" t="s">
        <v>662</v>
      </c>
      <c r="G329" s="27">
        <v>1</v>
      </c>
      <c r="H329" t="s">
        <v>646</v>
      </c>
    </row>
    <row r="330" spans="1:8" ht="15.75" customHeight="1">
      <c r="A330" s="27">
        <v>30</v>
      </c>
      <c r="B330" s="30">
        <v>45838</v>
      </c>
      <c r="C330" s="27" t="s">
        <v>744</v>
      </c>
      <c r="D330" s="11" t="s">
        <v>62</v>
      </c>
      <c r="E330" s="1" t="s">
        <v>63</v>
      </c>
      <c r="F330" s="6" t="s">
        <v>648</v>
      </c>
      <c r="G330" s="27">
        <v>1</v>
      </c>
      <c r="H330" t="s">
        <v>646</v>
      </c>
    </row>
    <row r="331" spans="1:8" ht="15.75" customHeight="1">
      <c r="A331" s="27">
        <v>31</v>
      </c>
      <c r="B331" s="30">
        <v>45838</v>
      </c>
      <c r="C331" s="27" t="s">
        <v>745</v>
      </c>
      <c r="D331" s="11" t="s">
        <v>62</v>
      </c>
      <c r="E331" s="1" t="s">
        <v>63</v>
      </c>
      <c r="F331" s="6" t="s">
        <v>648</v>
      </c>
      <c r="G331" s="27">
        <v>1</v>
      </c>
      <c r="H331" t="s">
        <v>646</v>
      </c>
    </row>
    <row r="332" spans="1:8" ht="15.75" customHeight="1">
      <c r="A332" s="27">
        <v>31</v>
      </c>
      <c r="B332" s="30">
        <v>45838</v>
      </c>
      <c r="C332" s="27" t="s">
        <v>745</v>
      </c>
      <c r="D332" s="11" t="s">
        <v>62</v>
      </c>
      <c r="E332" s="1" t="s">
        <v>63</v>
      </c>
      <c r="F332" s="6" t="s">
        <v>662</v>
      </c>
      <c r="G332" s="27">
        <v>1</v>
      </c>
      <c r="H332" t="s">
        <v>646</v>
      </c>
    </row>
    <row r="333" spans="1:8" ht="15.75" customHeight="1">
      <c r="A333" s="27">
        <v>32</v>
      </c>
      <c r="B333" s="30">
        <v>45838</v>
      </c>
      <c r="C333" s="27" t="s">
        <v>746</v>
      </c>
      <c r="D333" s="11" t="s">
        <v>62</v>
      </c>
      <c r="E333" s="1" t="s">
        <v>63</v>
      </c>
      <c r="F333" s="6" t="s">
        <v>648</v>
      </c>
      <c r="G333" s="27">
        <v>1</v>
      </c>
      <c r="H333" t="s">
        <v>646</v>
      </c>
    </row>
    <row r="334" spans="1:8" ht="15.75" customHeight="1">
      <c r="A334" s="27">
        <v>32</v>
      </c>
      <c r="B334" s="30">
        <v>45838</v>
      </c>
      <c r="C334" s="27" t="s">
        <v>746</v>
      </c>
      <c r="D334" s="11" t="s">
        <v>62</v>
      </c>
      <c r="E334" s="1" t="s">
        <v>63</v>
      </c>
      <c r="F334" s="6" t="s">
        <v>663</v>
      </c>
      <c r="G334" s="27">
        <v>1</v>
      </c>
      <c r="H334" t="s">
        <v>646</v>
      </c>
    </row>
    <row r="335" spans="1:8" ht="15.75" customHeight="1">
      <c r="A335" s="27">
        <v>33</v>
      </c>
      <c r="B335" s="30">
        <v>45838</v>
      </c>
      <c r="C335" s="27" t="s">
        <v>747</v>
      </c>
      <c r="D335" s="11" t="s">
        <v>62</v>
      </c>
      <c r="E335" s="1" t="s">
        <v>63</v>
      </c>
      <c r="F335" s="6" t="s">
        <v>648</v>
      </c>
      <c r="G335" s="27">
        <v>1</v>
      </c>
      <c r="H335" t="s">
        <v>646</v>
      </c>
    </row>
    <row r="336" spans="1:8" ht="15.75" customHeight="1">
      <c r="A336" s="27">
        <v>33</v>
      </c>
      <c r="B336" s="30">
        <v>45838</v>
      </c>
      <c r="C336" s="27" t="s">
        <v>747</v>
      </c>
      <c r="D336" s="11" t="s">
        <v>62</v>
      </c>
      <c r="E336" s="1" t="s">
        <v>63</v>
      </c>
      <c r="F336" s="6" t="s">
        <v>663</v>
      </c>
      <c r="G336" s="27">
        <v>1</v>
      </c>
      <c r="H336" t="s">
        <v>646</v>
      </c>
    </row>
    <row r="337" spans="1:8" ht="15.75" customHeight="1">
      <c r="A337" s="27">
        <v>34</v>
      </c>
      <c r="B337" s="30">
        <v>45838</v>
      </c>
      <c r="C337" s="27" t="s">
        <v>748</v>
      </c>
      <c r="D337" s="11" t="s">
        <v>62</v>
      </c>
      <c r="E337" s="1" t="s">
        <v>63</v>
      </c>
      <c r="F337" s="6" t="s">
        <v>663</v>
      </c>
      <c r="G337" s="27">
        <v>1</v>
      </c>
      <c r="H337" t="s">
        <v>646</v>
      </c>
    </row>
    <row r="338" spans="1:8" ht="15.75" customHeight="1">
      <c r="A338" s="27">
        <v>34</v>
      </c>
      <c r="B338" s="30">
        <v>45838</v>
      </c>
      <c r="C338" s="27" t="s">
        <v>748</v>
      </c>
      <c r="D338" s="11" t="s">
        <v>62</v>
      </c>
      <c r="E338" s="1" t="s">
        <v>63</v>
      </c>
      <c r="F338" s="6" t="s">
        <v>648</v>
      </c>
      <c r="G338" s="27">
        <v>1</v>
      </c>
      <c r="H338" t="s">
        <v>646</v>
      </c>
    </row>
    <row r="339" spans="1:8" ht="15.75" customHeight="1">
      <c r="A339" s="27">
        <v>35</v>
      </c>
      <c r="B339" s="30">
        <v>45838</v>
      </c>
      <c r="C339" s="27" t="s">
        <v>749</v>
      </c>
      <c r="D339" s="11" t="s">
        <v>62</v>
      </c>
      <c r="E339" s="1" t="s">
        <v>63</v>
      </c>
      <c r="F339" s="6" t="s">
        <v>663</v>
      </c>
      <c r="G339" s="27">
        <v>2</v>
      </c>
      <c r="H339" t="s">
        <v>646</v>
      </c>
    </row>
    <row r="340" spans="1:8" ht="15.75" customHeight="1">
      <c r="A340" s="27">
        <v>35</v>
      </c>
      <c r="B340" s="30">
        <v>45838</v>
      </c>
      <c r="C340" s="27" t="s">
        <v>749</v>
      </c>
      <c r="D340" s="11" t="s">
        <v>62</v>
      </c>
      <c r="E340" s="1" t="s">
        <v>63</v>
      </c>
      <c r="F340" s="6" t="s">
        <v>648</v>
      </c>
      <c r="G340" s="27">
        <v>1</v>
      </c>
      <c r="H340" t="s">
        <v>646</v>
      </c>
    </row>
    <row r="341" spans="1:8" ht="15.75" customHeight="1">
      <c r="A341" s="27">
        <v>36</v>
      </c>
      <c r="B341" s="30">
        <v>45840</v>
      </c>
      <c r="C341" s="27" t="s">
        <v>750</v>
      </c>
      <c r="D341" s="11" t="s">
        <v>62</v>
      </c>
      <c r="E341" s="1" t="s">
        <v>63</v>
      </c>
      <c r="F341" s="6" t="s">
        <v>648</v>
      </c>
      <c r="G341" s="27">
        <v>1</v>
      </c>
      <c r="H341" t="s">
        <v>646</v>
      </c>
    </row>
    <row r="342" spans="1:8" ht="15.75" customHeight="1">
      <c r="A342" s="27">
        <v>36</v>
      </c>
      <c r="B342" s="30">
        <v>45840</v>
      </c>
      <c r="C342" s="27" t="s">
        <v>750</v>
      </c>
      <c r="D342" s="11" t="s">
        <v>62</v>
      </c>
      <c r="E342" s="1" t="s">
        <v>63</v>
      </c>
      <c r="F342" s="6" t="s">
        <v>662</v>
      </c>
      <c r="G342" s="27">
        <v>1</v>
      </c>
      <c r="H342" t="s">
        <v>646</v>
      </c>
    </row>
    <row r="343" spans="1:8" ht="15.75" customHeight="1">
      <c r="A343" s="27">
        <v>37</v>
      </c>
      <c r="B343" s="30">
        <v>45845</v>
      </c>
      <c r="C343" s="27" t="s">
        <v>751</v>
      </c>
      <c r="D343" s="11" t="s">
        <v>62</v>
      </c>
      <c r="E343" s="1" t="s">
        <v>63</v>
      </c>
      <c r="F343" s="6" t="s">
        <v>651</v>
      </c>
      <c r="G343" s="27">
        <v>1</v>
      </c>
      <c r="H343" t="s">
        <v>646</v>
      </c>
    </row>
    <row r="344" spans="1:8" ht="15.75" customHeight="1">
      <c r="A344" s="27">
        <v>37</v>
      </c>
      <c r="B344" s="30">
        <v>45845</v>
      </c>
      <c r="C344" s="27" t="s">
        <v>751</v>
      </c>
      <c r="D344" s="11" t="s">
        <v>62</v>
      </c>
      <c r="E344" s="1" t="s">
        <v>63</v>
      </c>
      <c r="F344" s="6" t="s">
        <v>661</v>
      </c>
      <c r="G344" s="27">
        <v>3</v>
      </c>
      <c r="H344" t="s">
        <v>646</v>
      </c>
    </row>
    <row r="345" spans="1:8" ht="15.75" customHeight="1">
      <c r="A345" s="27">
        <v>37</v>
      </c>
      <c r="B345" s="30">
        <v>45845</v>
      </c>
      <c r="C345" s="27" t="s">
        <v>751</v>
      </c>
      <c r="D345" s="11" t="s">
        <v>62</v>
      </c>
      <c r="E345" s="1" t="s">
        <v>63</v>
      </c>
      <c r="F345" s="6" t="s">
        <v>678</v>
      </c>
      <c r="G345" s="27">
        <v>1</v>
      </c>
      <c r="H345" t="s">
        <v>646</v>
      </c>
    </row>
    <row r="346" spans="1:8" ht="15.75" customHeight="1">
      <c r="A346" s="27">
        <v>37</v>
      </c>
      <c r="B346" s="30">
        <v>45845</v>
      </c>
      <c r="C346" s="27" t="s">
        <v>751</v>
      </c>
      <c r="D346" s="11" t="s">
        <v>62</v>
      </c>
      <c r="E346" s="1" t="s">
        <v>63</v>
      </c>
      <c r="F346" s="6" t="s">
        <v>663</v>
      </c>
      <c r="G346" s="27">
        <v>1</v>
      </c>
      <c r="H346" t="s">
        <v>646</v>
      </c>
    </row>
    <row r="347" spans="1:8" ht="15.75" customHeight="1">
      <c r="A347" s="27">
        <v>37</v>
      </c>
      <c r="B347" s="30">
        <v>45845</v>
      </c>
      <c r="C347" s="27" t="s">
        <v>751</v>
      </c>
      <c r="D347" s="11" t="s">
        <v>62</v>
      </c>
      <c r="E347" s="1" t="s">
        <v>63</v>
      </c>
      <c r="F347" s="6" t="s">
        <v>674</v>
      </c>
      <c r="G347" s="27">
        <v>1</v>
      </c>
      <c r="H347" t="s">
        <v>646</v>
      </c>
    </row>
    <row r="348" spans="1:8" ht="15.75" customHeight="1">
      <c r="A348" s="27">
        <v>185</v>
      </c>
      <c r="B348" s="30">
        <v>45827</v>
      </c>
      <c r="C348" s="27" t="s">
        <v>752</v>
      </c>
      <c r="D348" s="5" t="s">
        <v>586</v>
      </c>
      <c r="E348" s="1">
        <v>1</v>
      </c>
      <c r="F348" s="6" t="s">
        <v>585</v>
      </c>
      <c r="G348" s="27">
        <v>5</v>
      </c>
    </row>
    <row r="349" spans="1:8" ht="15.75" customHeight="1">
      <c r="A349" s="27">
        <v>185</v>
      </c>
      <c r="B349" s="30">
        <v>45827</v>
      </c>
      <c r="C349" s="27" t="s">
        <v>752</v>
      </c>
      <c r="D349" s="11" t="s">
        <v>62</v>
      </c>
      <c r="E349" s="1" t="s">
        <v>63</v>
      </c>
      <c r="F349" s="6" t="s">
        <v>497</v>
      </c>
      <c r="G349" s="27">
        <v>10</v>
      </c>
      <c r="H349">
        <f>1569-1294</f>
        <v>275</v>
      </c>
    </row>
    <row r="350" spans="1:8" ht="15.75" customHeight="1">
      <c r="A350" s="27">
        <v>185</v>
      </c>
      <c r="B350" s="30">
        <v>45827</v>
      </c>
      <c r="C350" s="27" t="s">
        <v>752</v>
      </c>
      <c r="D350" s="5" t="s">
        <v>479</v>
      </c>
      <c r="E350" s="1">
        <v>5</v>
      </c>
      <c r="F350" s="6" t="s">
        <v>495</v>
      </c>
      <c r="G350" s="27">
        <v>5</v>
      </c>
    </row>
    <row r="351" spans="1:8" ht="15.75" customHeight="1">
      <c r="A351" s="27">
        <v>185</v>
      </c>
      <c r="B351" s="30">
        <v>45827</v>
      </c>
      <c r="C351" s="27" t="s">
        <v>752</v>
      </c>
      <c r="D351" s="11" t="s">
        <v>62</v>
      </c>
      <c r="E351" s="1" t="s">
        <v>63</v>
      </c>
      <c r="F351" s="6" t="s">
        <v>557</v>
      </c>
      <c r="G351" s="27">
        <v>3</v>
      </c>
    </row>
    <row r="352" spans="1:8" ht="15.75" customHeight="1">
      <c r="A352" s="27">
        <v>185</v>
      </c>
      <c r="B352" s="30">
        <v>45827</v>
      </c>
      <c r="C352" s="27" t="s">
        <v>752</v>
      </c>
      <c r="D352" s="5" t="s">
        <v>489</v>
      </c>
      <c r="E352" s="1">
        <v>28</v>
      </c>
      <c r="F352" s="6" t="s">
        <v>604</v>
      </c>
      <c r="G352" s="27">
        <v>2</v>
      </c>
    </row>
    <row r="353" spans="1:7" ht="15.75" customHeight="1">
      <c r="A353" s="27">
        <v>185</v>
      </c>
      <c r="B353" s="30">
        <v>45827</v>
      </c>
      <c r="C353" s="27" t="s">
        <v>752</v>
      </c>
      <c r="D353" s="5" t="s">
        <v>489</v>
      </c>
      <c r="E353" s="1">
        <v>27</v>
      </c>
      <c r="F353" s="6" t="s">
        <v>602</v>
      </c>
      <c r="G353" s="27">
        <v>2</v>
      </c>
    </row>
    <row r="354" spans="1:7" ht="15.75" customHeight="1">
      <c r="A354" s="27">
        <v>185</v>
      </c>
      <c r="B354" s="30">
        <v>45827</v>
      </c>
      <c r="C354" s="27" t="s">
        <v>752</v>
      </c>
      <c r="D354" s="5" t="s">
        <v>489</v>
      </c>
      <c r="E354" s="1">
        <v>29</v>
      </c>
      <c r="F354" s="6" t="s">
        <v>606</v>
      </c>
      <c r="G354" s="27">
        <v>2</v>
      </c>
    </row>
    <row r="355" spans="1:7" ht="15.75" customHeight="1">
      <c r="A355" s="27">
        <v>185</v>
      </c>
      <c r="B355" s="30">
        <v>45827</v>
      </c>
      <c r="C355" s="27" t="s">
        <v>752</v>
      </c>
      <c r="D355" s="11" t="s">
        <v>62</v>
      </c>
      <c r="E355" s="1" t="s">
        <v>63</v>
      </c>
      <c r="F355" s="6" t="s">
        <v>551</v>
      </c>
      <c r="G355" s="27">
        <v>2</v>
      </c>
    </row>
    <row r="356" spans="1:7" ht="15.75" customHeight="1">
      <c r="A356" s="27">
        <v>185</v>
      </c>
      <c r="B356" s="30">
        <v>45827</v>
      </c>
      <c r="C356" s="27" t="s">
        <v>752</v>
      </c>
      <c r="D356" s="5" t="s">
        <v>479</v>
      </c>
      <c r="E356" s="1">
        <v>32</v>
      </c>
      <c r="F356" s="6" t="s">
        <v>611</v>
      </c>
      <c r="G356" s="27">
        <v>1</v>
      </c>
    </row>
    <row r="357" spans="1:7" ht="15.75" customHeight="1">
      <c r="A357" s="27">
        <v>186</v>
      </c>
      <c r="B357" s="30">
        <v>45827</v>
      </c>
      <c r="C357" s="27" t="s">
        <v>753</v>
      </c>
      <c r="D357" s="5" t="s">
        <v>586</v>
      </c>
      <c r="E357" s="1">
        <v>1</v>
      </c>
      <c r="F357" s="6" t="s">
        <v>585</v>
      </c>
      <c r="G357" s="27">
        <v>5</v>
      </c>
    </row>
    <row r="358" spans="1:7" ht="15.75" customHeight="1">
      <c r="A358" s="27">
        <v>187</v>
      </c>
      <c r="B358" s="30">
        <v>45832</v>
      </c>
      <c r="C358" s="27" t="s">
        <v>754</v>
      </c>
      <c r="D358" s="5" t="s">
        <v>586</v>
      </c>
      <c r="E358" s="1">
        <v>1</v>
      </c>
      <c r="F358" s="6" t="s">
        <v>585</v>
      </c>
      <c r="G358" s="27">
        <v>5</v>
      </c>
    </row>
    <row r="359" spans="1:7" ht="15.75" customHeight="1">
      <c r="A359" s="27">
        <v>187</v>
      </c>
      <c r="B359" s="30">
        <v>45832</v>
      </c>
      <c r="C359" s="27" t="s">
        <v>754</v>
      </c>
      <c r="D359" s="11" t="s">
        <v>62</v>
      </c>
      <c r="E359" s="1" t="s">
        <v>63</v>
      </c>
      <c r="F359" s="6" t="s">
        <v>514</v>
      </c>
      <c r="G359" s="27">
        <v>2</v>
      </c>
    </row>
    <row r="360" spans="1:7" ht="15.75" customHeight="1">
      <c r="A360" s="27">
        <v>187</v>
      </c>
      <c r="B360" s="30">
        <v>45832</v>
      </c>
      <c r="C360" s="27" t="s">
        <v>754</v>
      </c>
      <c r="D360" s="5" t="s">
        <v>479</v>
      </c>
      <c r="E360" s="1">
        <v>33</v>
      </c>
      <c r="F360" s="6" t="s">
        <v>628</v>
      </c>
      <c r="G360" s="27">
        <v>3</v>
      </c>
    </row>
    <row r="361" spans="1:7" ht="15.75" customHeight="1">
      <c r="A361" s="27">
        <v>187</v>
      </c>
      <c r="B361" s="30">
        <v>45832</v>
      </c>
      <c r="C361" s="27" t="s">
        <v>754</v>
      </c>
      <c r="D361" s="5" t="s">
        <v>531</v>
      </c>
      <c r="E361" s="1">
        <v>18</v>
      </c>
      <c r="F361" s="6" t="s">
        <v>548</v>
      </c>
      <c r="G361" s="27">
        <v>75</v>
      </c>
    </row>
    <row r="362" spans="1:7" ht="15.75" customHeight="1">
      <c r="A362" s="27">
        <v>187</v>
      </c>
      <c r="B362" s="30">
        <v>45832</v>
      </c>
      <c r="C362" s="27" t="s">
        <v>754</v>
      </c>
      <c r="D362" s="5" t="s">
        <v>489</v>
      </c>
      <c r="E362" s="1">
        <v>31</v>
      </c>
      <c r="F362" s="6" t="s">
        <v>609</v>
      </c>
      <c r="G362" s="27">
        <v>2</v>
      </c>
    </row>
    <row r="363" spans="1:7" ht="15.75" customHeight="1">
      <c r="A363" s="27">
        <v>187</v>
      </c>
      <c r="B363" s="30">
        <v>45832</v>
      </c>
      <c r="C363" s="27" t="s">
        <v>754</v>
      </c>
      <c r="D363" s="5" t="s">
        <v>489</v>
      </c>
      <c r="E363" s="1">
        <v>28</v>
      </c>
      <c r="F363" s="6" t="s">
        <v>604</v>
      </c>
      <c r="G363" s="27">
        <v>2</v>
      </c>
    </row>
    <row r="364" spans="1:7" ht="15.75" customHeight="1">
      <c r="A364" s="27">
        <v>187</v>
      </c>
      <c r="B364" s="30">
        <v>45832</v>
      </c>
      <c r="C364" s="27" t="s">
        <v>754</v>
      </c>
      <c r="D364" s="5" t="s">
        <v>489</v>
      </c>
      <c r="E364" s="1">
        <v>27</v>
      </c>
      <c r="F364" s="6" t="s">
        <v>602</v>
      </c>
      <c r="G364" s="27">
        <v>2</v>
      </c>
    </row>
    <row r="365" spans="1:7" ht="15.75" customHeight="1">
      <c r="A365" s="27">
        <v>187</v>
      </c>
      <c r="B365" s="30">
        <v>45832</v>
      </c>
      <c r="C365" s="27" t="s">
        <v>754</v>
      </c>
      <c r="D365" s="11" t="s">
        <v>62</v>
      </c>
      <c r="E365" s="1" t="s">
        <v>63</v>
      </c>
      <c r="F365" s="6" t="s">
        <v>630</v>
      </c>
      <c r="G365" s="27">
        <v>2</v>
      </c>
    </row>
    <row r="366" spans="1:7" ht="15.75" customHeight="1">
      <c r="A366" s="27">
        <v>187</v>
      </c>
      <c r="B366" s="30">
        <v>45832</v>
      </c>
      <c r="C366" s="27" t="s">
        <v>754</v>
      </c>
      <c r="D366" s="11" t="s">
        <v>62</v>
      </c>
      <c r="E366" s="1" t="s">
        <v>63</v>
      </c>
      <c r="F366" s="6" t="s">
        <v>501</v>
      </c>
      <c r="G366" s="27">
        <v>5</v>
      </c>
    </row>
    <row r="367" spans="1:7" ht="15.75" customHeight="1">
      <c r="A367" s="27">
        <v>187</v>
      </c>
      <c r="B367" s="30">
        <v>45832</v>
      </c>
      <c r="C367" s="27" t="s">
        <v>754</v>
      </c>
      <c r="D367" s="5" t="s">
        <v>479</v>
      </c>
      <c r="E367" s="1">
        <v>5</v>
      </c>
      <c r="F367" s="6" t="s">
        <v>495</v>
      </c>
      <c r="G367" s="27">
        <v>6</v>
      </c>
    </row>
    <row r="368" spans="1:7" ht="15.75" customHeight="1">
      <c r="A368" s="27">
        <v>187</v>
      </c>
      <c r="B368" s="30">
        <v>45832</v>
      </c>
      <c r="C368" s="27" t="s">
        <v>754</v>
      </c>
      <c r="D368" s="11" t="s">
        <v>62</v>
      </c>
      <c r="E368" s="1" t="s">
        <v>63</v>
      </c>
      <c r="F368" s="6" t="s">
        <v>497</v>
      </c>
      <c r="G368" s="27">
        <v>6</v>
      </c>
    </row>
    <row r="369" spans="1:7" ht="15.75" customHeight="1">
      <c r="A369" s="27">
        <v>188</v>
      </c>
      <c r="B369" s="30">
        <v>45832</v>
      </c>
      <c r="C369" s="27" t="s">
        <v>755</v>
      </c>
      <c r="D369" s="5" t="s">
        <v>586</v>
      </c>
      <c r="E369" s="1">
        <v>1</v>
      </c>
      <c r="F369" s="6" t="s">
        <v>585</v>
      </c>
      <c r="G369" s="27">
        <v>5</v>
      </c>
    </row>
    <row r="370" spans="1:7" ht="15.75" customHeight="1">
      <c r="A370" s="27">
        <v>188</v>
      </c>
      <c r="B370" s="30">
        <v>45832</v>
      </c>
      <c r="C370" s="27" t="s">
        <v>755</v>
      </c>
      <c r="D370" s="5" t="s">
        <v>489</v>
      </c>
      <c r="E370" s="1">
        <v>28</v>
      </c>
      <c r="F370" s="6" t="s">
        <v>604</v>
      </c>
      <c r="G370" s="27">
        <v>5</v>
      </c>
    </row>
    <row r="371" spans="1:7" ht="15.75" customHeight="1">
      <c r="A371" s="27">
        <v>188</v>
      </c>
      <c r="B371" s="30">
        <v>45832</v>
      </c>
      <c r="C371" s="27" t="s">
        <v>755</v>
      </c>
      <c r="D371" s="5" t="s">
        <v>489</v>
      </c>
      <c r="E371" s="1">
        <v>27</v>
      </c>
      <c r="F371" s="6" t="s">
        <v>602</v>
      </c>
      <c r="G371" s="27">
        <v>5</v>
      </c>
    </row>
    <row r="372" spans="1:7" ht="15.75" customHeight="1">
      <c r="A372" s="27">
        <v>188</v>
      </c>
      <c r="B372" s="30">
        <v>45832</v>
      </c>
      <c r="C372" s="27" t="s">
        <v>755</v>
      </c>
      <c r="D372" s="5" t="s">
        <v>489</v>
      </c>
      <c r="E372" s="1">
        <v>29</v>
      </c>
      <c r="F372" s="6" t="s">
        <v>606</v>
      </c>
      <c r="G372" s="27">
        <v>5</v>
      </c>
    </row>
    <row r="373" spans="1:7" ht="15.75" customHeight="1">
      <c r="A373" s="27">
        <v>188</v>
      </c>
      <c r="B373" s="30">
        <v>45832</v>
      </c>
      <c r="C373" s="27" t="s">
        <v>755</v>
      </c>
      <c r="D373" s="5" t="s">
        <v>489</v>
      </c>
      <c r="E373" s="1">
        <v>30</v>
      </c>
      <c r="F373" s="6" t="s">
        <v>608</v>
      </c>
      <c r="G373" s="27">
        <v>5</v>
      </c>
    </row>
    <row r="374" spans="1:7" ht="15.75" customHeight="1">
      <c r="A374" s="27">
        <v>188</v>
      </c>
      <c r="B374" s="30">
        <v>45832</v>
      </c>
      <c r="C374" s="27" t="s">
        <v>755</v>
      </c>
      <c r="D374" s="5" t="s">
        <v>531</v>
      </c>
      <c r="E374" s="1">
        <v>18</v>
      </c>
      <c r="F374" s="6" t="s">
        <v>548</v>
      </c>
      <c r="G374" s="27">
        <v>100</v>
      </c>
    </row>
    <row r="375" spans="1:7" ht="15.75" customHeight="1">
      <c r="A375" s="27">
        <v>189</v>
      </c>
      <c r="B375" s="30">
        <v>45833</v>
      </c>
      <c r="C375" s="27" t="s">
        <v>756</v>
      </c>
      <c r="D375" s="5" t="s">
        <v>586</v>
      </c>
      <c r="E375" s="1">
        <v>1</v>
      </c>
      <c r="F375" s="6" t="s">
        <v>585</v>
      </c>
      <c r="G375" s="27">
        <v>5</v>
      </c>
    </row>
    <row r="376" spans="1:7" ht="15.75" customHeight="1">
      <c r="A376" s="27">
        <v>189</v>
      </c>
      <c r="B376" s="30">
        <v>45833</v>
      </c>
      <c r="C376" s="27" t="s">
        <v>756</v>
      </c>
      <c r="D376" s="5" t="s">
        <v>531</v>
      </c>
      <c r="E376" s="1">
        <v>18</v>
      </c>
      <c r="F376" s="6" t="s">
        <v>548</v>
      </c>
      <c r="G376" s="27">
        <v>100</v>
      </c>
    </row>
    <row r="377" spans="1:7" ht="15.75" customHeight="1">
      <c r="A377" s="27">
        <v>189</v>
      </c>
      <c r="B377" s="30">
        <v>45833</v>
      </c>
      <c r="C377" s="27" t="s">
        <v>756</v>
      </c>
      <c r="D377" s="11" t="s">
        <v>62</v>
      </c>
      <c r="E377" s="1" t="s">
        <v>63</v>
      </c>
      <c r="F377" s="6" t="s">
        <v>576</v>
      </c>
      <c r="G377" s="27">
        <v>2</v>
      </c>
    </row>
    <row r="378" spans="1:7" ht="15.75" customHeight="1">
      <c r="A378" s="27">
        <v>189</v>
      </c>
      <c r="B378" s="30">
        <v>45833</v>
      </c>
      <c r="C378" s="27" t="s">
        <v>756</v>
      </c>
      <c r="D378" s="5" t="s">
        <v>489</v>
      </c>
      <c r="E378" s="1">
        <v>31</v>
      </c>
      <c r="F378" s="6" t="s">
        <v>609</v>
      </c>
      <c r="G378" s="27">
        <v>2</v>
      </c>
    </row>
    <row r="379" spans="1:7" ht="15.75" customHeight="1">
      <c r="A379" s="27">
        <v>189</v>
      </c>
      <c r="B379" s="30">
        <v>45833</v>
      </c>
      <c r="C379" s="27" t="s">
        <v>756</v>
      </c>
      <c r="D379" s="5" t="s">
        <v>489</v>
      </c>
      <c r="E379" s="1">
        <v>29</v>
      </c>
      <c r="F379" s="6" t="s">
        <v>606</v>
      </c>
      <c r="G379" s="27">
        <v>2</v>
      </c>
    </row>
    <row r="380" spans="1:7" ht="15.75" customHeight="1">
      <c r="A380" s="27">
        <v>189</v>
      </c>
      <c r="B380" s="30">
        <v>45833</v>
      </c>
      <c r="C380" s="27" t="s">
        <v>756</v>
      </c>
      <c r="D380" s="11" t="s">
        <v>62</v>
      </c>
      <c r="E380" s="1" t="s">
        <v>63</v>
      </c>
      <c r="F380" s="6" t="s">
        <v>574</v>
      </c>
      <c r="G380" s="27">
        <v>2</v>
      </c>
    </row>
    <row r="381" spans="1:7" ht="15.75" customHeight="1">
      <c r="A381" s="27">
        <v>189</v>
      </c>
      <c r="B381" s="30">
        <v>45833</v>
      </c>
      <c r="C381" s="27" t="s">
        <v>756</v>
      </c>
      <c r="D381" s="11" t="s">
        <v>62</v>
      </c>
      <c r="E381" s="1" t="s">
        <v>63</v>
      </c>
      <c r="F381" s="6" t="s">
        <v>557</v>
      </c>
      <c r="G381" s="27">
        <v>5</v>
      </c>
    </row>
    <row r="382" spans="1:7" ht="15.75" customHeight="1">
      <c r="A382" s="27">
        <v>189</v>
      </c>
      <c r="B382" s="30">
        <v>45833</v>
      </c>
      <c r="C382" s="27" t="s">
        <v>756</v>
      </c>
      <c r="D382" s="5" t="s">
        <v>479</v>
      </c>
      <c r="E382" s="1">
        <v>5</v>
      </c>
      <c r="F382" s="6" t="s">
        <v>495</v>
      </c>
      <c r="G382" s="27">
        <v>10</v>
      </c>
    </row>
    <row r="383" spans="1:7" ht="15.75" customHeight="1">
      <c r="A383" s="27">
        <v>189</v>
      </c>
      <c r="B383" s="30">
        <v>45833</v>
      </c>
      <c r="C383" s="27" t="s">
        <v>756</v>
      </c>
      <c r="D383" s="11" t="s">
        <v>62</v>
      </c>
      <c r="E383" s="1" t="s">
        <v>63</v>
      </c>
      <c r="F383" s="6" t="s">
        <v>498</v>
      </c>
      <c r="G383" s="27">
        <v>10</v>
      </c>
    </row>
    <row r="384" spans="1:7" ht="15.75" customHeight="1">
      <c r="A384" s="27">
        <v>189</v>
      </c>
      <c r="B384" s="30">
        <v>45833</v>
      </c>
      <c r="C384" s="27" t="s">
        <v>756</v>
      </c>
      <c r="D384" s="11" t="s">
        <v>62</v>
      </c>
      <c r="E384" s="1" t="s">
        <v>63</v>
      </c>
      <c r="F384" s="6" t="s">
        <v>499</v>
      </c>
      <c r="G384" s="27">
        <v>10</v>
      </c>
    </row>
    <row r="385" spans="1:7" ht="15.75" customHeight="1">
      <c r="A385" s="27">
        <v>189</v>
      </c>
      <c r="B385" s="30">
        <v>45833</v>
      </c>
      <c r="C385" s="27" t="s">
        <v>756</v>
      </c>
      <c r="D385" s="11" t="s">
        <v>62</v>
      </c>
      <c r="E385" s="1" t="s">
        <v>63</v>
      </c>
      <c r="F385" s="6" t="s">
        <v>514</v>
      </c>
      <c r="G385" s="27">
        <v>2</v>
      </c>
    </row>
    <row r="386" spans="1:7" ht="15.75" customHeight="1">
      <c r="A386" s="27">
        <v>189</v>
      </c>
      <c r="B386" s="30">
        <v>45833</v>
      </c>
      <c r="C386" s="27" t="s">
        <v>756</v>
      </c>
      <c r="D386" s="11" t="s">
        <v>62</v>
      </c>
      <c r="E386" s="1" t="s">
        <v>63</v>
      </c>
      <c r="F386" s="6" t="s">
        <v>551</v>
      </c>
      <c r="G386" s="27">
        <v>2</v>
      </c>
    </row>
    <row r="387" spans="1:7" ht="15.75" customHeight="1">
      <c r="A387" s="27">
        <v>189</v>
      </c>
      <c r="B387" s="30">
        <v>45833</v>
      </c>
      <c r="C387" s="27" t="s">
        <v>756</v>
      </c>
      <c r="D387" s="11" t="s">
        <v>62</v>
      </c>
      <c r="E387" s="1" t="s">
        <v>63</v>
      </c>
      <c r="F387" s="6" t="s">
        <v>533</v>
      </c>
      <c r="G387" s="27">
        <v>2</v>
      </c>
    </row>
    <row r="388" spans="1:7" ht="15.75" customHeight="1">
      <c r="A388" s="27">
        <v>189</v>
      </c>
      <c r="B388" s="30">
        <v>45833</v>
      </c>
      <c r="C388" s="27" t="s">
        <v>756</v>
      </c>
      <c r="D388" s="11" t="s">
        <v>62</v>
      </c>
      <c r="E388" s="1" t="s">
        <v>63</v>
      </c>
      <c r="F388" s="6" t="s">
        <v>484</v>
      </c>
      <c r="G388" s="27">
        <v>2</v>
      </c>
    </row>
    <row r="389" spans="1:7" ht="15.75" customHeight="1">
      <c r="A389" s="27">
        <v>189</v>
      </c>
      <c r="B389" s="30">
        <v>45833</v>
      </c>
      <c r="C389" s="27" t="s">
        <v>756</v>
      </c>
      <c r="D389" s="11" t="s">
        <v>62</v>
      </c>
      <c r="E389" s="1" t="s">
        <v>63</v>
      </c>
      <c r="F389" s="6" t="s">
        <v>483</v>
      </c>
      <c r="G389" s="27">
        <v>2</v>
      </c>
    </row>
    <row r="390" spans="1:7" ht="15.75" customHeight="1">
      <c r="A390" s="27">
        <v>190</v>
      </c>
      <c r="B390" s="30">
        <v>45833</v>
      </c>
      <c r="C390" s="27" t="s">
        <v>757</v>
      </c>
      <c r="D390" s="5" t="s">
        <v>586</v>
      </c>
      <c r="E390" s="1">
        <v>1</v>
      </c>
      <c r="F390" s="6" t="s">
        <v>585</v>
      </c>
      <c r="G390" s="27">
        <v>5</v>
      </c>
    </row>
    <row r="391" spans="1:7" ht="15.75" customHeight="1">
      <c r="A391" s="27">
        <v>190</v>
      </c>
      <c r="B391" s="30">
        <v>45833</v>
      </c>
      <c r="C391" s="27" t="s">
        <v>757</v>
      </c>
      <c r="D391" s="11" t="s">
        <v>62</v>
      </c>
      <c r="E391" s="1" t="s">
        <v>63</v>
      </c>
      <c r="F391" s="6" t="s">
        <v>588</v>
      </c>
      <c r="G391" s="27">
        <v>2</v>
      </c>
    </row>
    <row r="392" spans="1:7" ht="15.75" customHeight="1">
      <c r="A392" s="27">
        <v>190</v>
      </c>
      <c r="B392" s="30">
        <v>45833</v>
      </c>
      <c r="C392" s="27" t="s">
        <v>757</v>
      </c>
      <c r="D392" s="11" t="s">
        <v>62</v>
      </c>
      <c r="E392" s="1" t="s">
        <v>63</v>
      </c>
      <c r="F392" s="6" t="s">
        <v>566</v>
      </c>
      <c r="G392" s="27">
        <v>1</v>
      </c>
    </row>
    <row r="393" spans="1:7" ht="15.75" customHeight="1">
      <c r="A393" s="27">
        <v>190</v>
      </c>
      <c r="B393" s="30">
        <v>45833</v>
      </c>
      <c r="C393" s="27" t="s">
        <v>757</v>
      </c>
      <c r="D393" s="11" t="s">
        <v>62</v>
      </c>
      <c r="E393" s="1" t="s">
        <v>63</v>
      </c>
      <c r="F393" s="6" t="s">
        <v>481</v>
      </c>
      <c r="G393" s="27">
        <v>2</v>
      </c>
    </row>
    <row r="394" spans="1:7" ht="15.75" customHeight="1">
      <c r="A394" s="27">
        <v>190</v>
      </c>
      <c r="B394" s="30">
        <v>45833</v>
      </c>
      <c r="C394" s="27" t="s">
        <v>757</v>
      </c>
      <c r="D394" s="11" t="s">
        <v>62</v>
      </c>
      <c r="E394" s="1" t="s">
        <v>63</v>
      </c>
      <c r="F394" s="6" t="s">
        <v>482</v>
      </c>
      <c r="G394" s="27">
        <v>2</v>
      </c>
    </row>
    <row r="395" spans="1:7" ht="15.75" customHeight="1">
      <c r="A395" s="27">
        <v>190</v>
      </c>
      <c r="B395" s="30">
        <v>45833</v>
      </c>
      <c r="C395" s="27" t="s">
        <v>757</v>
      </c>
      <c r="D395" s="11" t="s">
        <v>62</v>
      </c>
      <c r="E395" s="1" t="s">
        <v>63</v>
      </c>
      <c r="F395" s="6" t="s">
        <v>557</v>
      </c>
      <c r="G395" s="27">
        <v>2</v>
      </c>
    </row>
    <row r="396" spans="1:7" ht="15.75" customHeight="1">
      <c r="A396" s="27">
        <v>190</v>
      </c>
      <c r="B396" s="30">
        <v>45833</v>
      </c>
      <c r="C396" s="27" t="s">
        <v>757</v>
      </c>
      <c r="D396" s="5" t="s">
        <v>479</v>
      </c>
      <c r="E396" s="1">
        <v>5</v>
      </c>
      <c r="F396" s="6" t="s">
        <v>495</v>
      </c>
      <c r="G396" s="27">
        <v>4</v>
      </c>
    </row>
    <row r="397" spans="1:7" ht="15.75" customHeight="1">
      <c r="A397" s="27">
        <v>190</v>
      </c>
      <c r="B397" s="30">
        <v>45833</v>
      </c>
      <c r="C397" s="27" t="s">
        <v>757</v>
      </c>
      <c r="D397" s="11" t="s">
        <v>62</v>
      </c>
      <c r="E397" s="1" t="s">
        <v>63</v>
      </c>
      <c r="F397" s="6" t="s">
        <v>550</v>
      </c>
      <c r="G397" s="27">
        <v>100</v>
      </c>
    </row>
    <row r="398" spans="1:7" ht="15.75" customHeight="1">
      <c r="A398" s="27">
        <v>190</v>
      </c>
      <c r="B398" s="30">
        <v>45833</v>
      </c>
      <c r="C398" s="27" t="s">
        <v>757</v>
      </c>
      <c r="D398" s="5" t="s">
        <v>489</v>
      </c>
      <c r="E398" s="1">
        <v>27</v>
      </c>
      <c r="F398" s="6" t="s">
        <v>602</v>
      </c>
      <c r="G398" s="27">
        <v>2</v>
      </c>
    </row>
    <row r="399" spans="1:7" ht="15.75" customHeight="1">
      <c r="A399" s="27">
        <v>190</v>
      </c>
      <c r="B399" s="30">
        <v>45833</v>
      </c>
      <c r="C399" s="27" t="s">
        <v>757</v>
      </c>
      <c r="D399" s="11" t="s">
        <v>62</v>
      </c>
      <c r="E399" s="1" t="s">
        <v>63</v>
      </c>
      <c r="F399" s="6" t="s">
        <v>617</v>
      </c>
      <c r="G399" s="27">
        <v>10</v>
      </c>
    </row>
    <row r="400" spans="1:7" ht="15.75" customHeight="1">
      <c r="A400" s="27">
        <v>191</v>
      </c>
      <c r="B400" s="30">
        <v>45833</v>
      </c>
      <c r="C400" s="27" t="s">
        <v>758</v>
      </c>
      <c r="D400" s="11" t="s">
        <v>62</v>
      </c>
      <c r="E400" s="1" t="s">
        <v>63</v>
      </c>
      <c r="F400" s="6" t="s">
        <v>482</v>
      </c>
      <c r="G400" s="27">
        <v>5</v>
      </c>
    </row>
    <row r="401" spans="1:7" ht="15.75" customHeight="1">
      <c r="A401" s="27">
        <v>191</v>
      </c>
      <c r="B401" s="30">
        <v>45833</v>
      </c>
      <c r="C401" s="27" t="s">
        <v>758</v>
      </c>
      <c r="D401" s="11" t="s">
        <v>62</v>
      </c>
      <c r="E401" s="1" t="s">
        <v>63</v>
      </c>
      <c r="F401" s="6" t="s">
        <v>579</v>
      </c>
      <c r="G401" s="27">
        <v>2</v>
      </c>
    </row>
    <row r="402" spans="1:7" ht="15.75" customHeight="1">
      <c r="A402" s="27">
        <v>191</v>
      </c>
      <c r="B402" s="30">
        <v>45833</v>
      </c>
      <c r="C402" s="27" t="s">
        <v>758</v>
      </c>
      <c r="D402" s="11" t="s">
        <v>62</v>
      </c>
      <c r="E402" s="1" t="s">
        <v>63</v>
      </c>
      <c r="F402" s="6" t="s">
        <v>580</v>
      </c>
      <c r="G402" s="27">
        <v>2</v>
      </c>
    </row>
    <row r="403" spans="1:7" ht="15.75" customHeight="1">
      <c r="A403" s="27">
        <v>191</v>
      </c>
      <c r="B403" s="30">
        <v>45833</v>
      </c>
      <c r="C403" s="27" t="s">
        <v>758</v>
      </c>
      <c r="D403" s="11" t="s">
        <v>62</v>
      </c>
      <c r="E403" s="1" t="s">
        <v>63</v>
      </c>
      <c r="F403" s="6" t="s">
        <v>582</v>
      </c>
      <c r="G403" s="27">
        <v>2</v>
      </c>
    </row>
    <row r="404" spans="1:7" ht="15.75" customHeight="1">
      <c r="A404" s="27">
        <v>191</v>
      </c>
      <c r="B404" s="30">
        <v>45833</v>
      </c>
      <c r="C404" s="27" t="s">
        <v>758</v>
      </c>
      <c r="D404" s="11" t="s">
        <v>62</v>
      </c>
      <c r="E404" s="1" t="s">
        <v>63</v>
      </c>
      <c r="F404" s="6" t="s">
        <v>583</v>
      </c>
      <c r="G404" s="27">
        <v>2</v>
      </c>
    </row>
    <row r="405" spans="1:7" ht="15.75" customHeight="1">
      <c r="A405" s="27">
        <v>191</v>
      </c>
      <c r="B405" s="30">
        <v>45833</v>
      </c>
      <c r="C405" s="27" t="s">
        <v>758</v>
      </c>
      <c r="D405" s="11" t="s">
        <v>62</v>
      </c>
      <c r="E405" s="1" t="s">
        <v>63</v>
      </c>
      <c r="F405" s="6" t="s">
        <v>581</v>
      </c>
      <c r="G405" s="27">
        <v>2</v>
      </c>
    </row>
    <row r="406" spans="1:7" ht="15.75" customHeight="1">
      <c r="A406" s="27">
        <v>191</v>
      </c>
      <c r="B406" s="30">
        <v>45833</v>
      </c>
      <c r="C406" s="27" t="s">
        <v>758</v>
      </c>
      <c r="D406" s="5" t="s">
        <v>489</v>
      </c>
      <c r="E406" s="1">
        <v>31</v>
      </c>
      <c r="F406" s="6" t="s">
        <v>609</v>
      </c>
      <c r="G406" s="27">
        <v>2</v>
      </c>
    </row>
    <row r="407" spans="1:7" ht="15.75" customHeight="1">
      <c r="A407" s="27">
        <v>191</v>
      </c>
      <c r="B407" s="30">
        <v>45833</v>
      </c>
      <c r="C407" s="27" t="s">
        <v>758</v>
      </c>
      <c r="D407" s="5" t="s">
        <v>489</v>
      </c>
      <c r="E407" s="1">
        <v>30</v>
      </c>
      <c r="F407" s="6" t="s">
        <v>608</v>
      </c>
      <c r="G407" s="27">
        <v>2</v>
      </c>
    </row>
    <row r="408" spans="1:7" ht="15.75" customHeight="1">
      <c r="A408" s="27">
        <v>191</v>
      </c>
      <c r="B408" s="30">
        <v>45833</v>
      </c>
      <c r="C408" s="27" t="s">
        <v>758</v>
      </c>
      <c r="D408" s="5" t="s">
        <v>489</v>
      </c>
      <c r="E408" s="1">
        <v>29</v>
      </c>
      <c r="F408" s="6" t="s">
        <v>606</v>
      </c>
      <c r="G408" s="27">
        <v>2</v>
      </c>
    </row>
    <row r="409" spans="1:7" ht="15.75" customHeight="1">
      <c r="A409" s="27">
        <v>191</v>
      </c>
      <c r="B409" s="30">
        <v>45833</v>
      </c>
      <c r="C409" s="27" t="s">
        <v>758</v>
      </c>
      <c r="D409" s="11" t="s">
        <v>62</v>
      </c>
      <c r="E409" s="1" t="s">
        <v>63</v>
      </c>
      <c r="F409" s="6" t="s">
        <v>557</v>
      </c>
      <c r="G409" s="27">
        <v>3</v>
      </c>
    </row>
    <row r="410" spans="1:7" ht="15.75" customHeight="1">
      <c r="A410" s="27">
        <v>191</v>
      </c>
      <c r="B410" s="30">
        <v>45833</v>
      </c>
      <c r="C410" s="27" t="s">
        <v>758</v>
      </c>
      <c r="D410" s="5" t="s">
        <v>489</v>
      </c>
      <c r="E410" s="1">
        <v>14</v>
      </c>
      <c r="F410" s="6" t="s">
        <v>540</v>
      </c>
      <c r="G410" s="27">
        <v>3</v>
      </c>
    </row>
    <row r="411" spans="1:7" ht="15.75" customHeight="1">
      <c r="A411" s="27">
        <v>191</v>
      </c>
      <c r="B411" s="30">
        <v>45833</v>
      </c>
      <c r="C411" s="27" t="s">
        <v>758</v>
      </c>
      <c r="D411" s="11" t="s">
        <v>62</v>
      </c>
      <c r="E411" s="1" t="s">
        <v>63</v>
      </c>
      <c r="F411" s="6" t="s">
        <v>551</v>
      </c>
      <c r="G411" s="27">
        <v>2</v>
      </c>
    </row>
    <row r="412" spans="1:7" ht="15.75" customHeight="1">
      <c r="A412" s="27">
        <v>191</v>
      </c>
      <c r="B412" s="30">
        <v>45833</v>
      </c>
      <c r="C412" s="27" t="s">
        <v>758</v>
      </c>
      <c r="D412" s="5" t="s">
        <v>479</v>
      </c>
      <c r="E412" s="1">
        <v>32</v>
      </c>
      <c r="F412" s="6" t="s">
        <v>611</v>
      </c>
      <c r="G412" s="27">
        <v>1</v>
      </c>
    </row>
    <row r="413" spans="1:7" ht="15.75" customHeight="1">
      <c r="A413" s="27">
        <v>192</v>
      </c>
      <c r="B413" s="30">
        <v>45833</v>
      </c>
      <c r="C413" s="27" t="s">
        <v>759</v>
      </c>
      <c r="D413" s="5" t="s">
        <v>586</v>
      </c>
      <c r="E413" s="1">
        <v>1</v>
      </c>
      <c r="F413" s="6" t="s">
        <v>585</v>
      </c>
      <c r="G413" s="27">
        <v>4</v>
      </c>
    </row>
    <row r="414" spans="1:7" ht="15.75" customHeight="1">
      <c r="A414" s="27">
        <v>192</v>
      </c>
      <c r="B414" s="30">
        <v>45833</v>
      </c>
      <c r="C414" s="27" t="s">
        <v>759</v>
      </c>
      <c r="D414" s="11" t="s">
        <v>62</v>
      </c>
      <c r="E414" s="1" t="s">
        <v>63</v>
      </c>
      <c r="F414" s="6" t="s">
        <v>588</v>
      </c>
      <c r="G414" s="27">
        <v>1</v>
      </c>
    </row>
    <row r="415" spans="1:7" ht="15.75" customHeight="1">
      <c r="A415" s="27">
        <v>192</v>
      </c>
      <c r="B415" s="30">
        <v>45833</v>
      </c>
      <c r="C415" s="27" t="s">
        <v>759</v>
      </c>
      <c r="D415" s="5" t="s">
        <v>479</v>
      </c>
      <c r="E415" s="1">
        <v>5</v>
      </c>
      <c r="F415" s="6" t="s">
        <v>495</v>
      </c>
      <c r="G415" s="27">
        <v>5</v>
      </c>
    </row>
    <row r="416" spans="1:7" ht="15.75" customHeight="1">
      <c r="A416" s="27">
        <v>192</v>
      </c>
      <c r="B416" s="30">
        <v>45833</v>
      </c>
      <c r="C416" s="27" t="s">
        <v>759</v>
      </c>
      <c r="D416" s="11" t="s">
        <v>62</v>
      </c>
      <c r="E416" s="1" t="s">
        <v>63</v>
      </c>
      <c r="F416" s="6" t="s">
        <v>497</v>
      </c>
      <c r="G416" s="27">
        <v>10</v>
      </c>
    </row>
    <row r="417" spans="1:7" ht="15.75" customHeight="1">
      <c r="A417" s="27">
        <v>192</v>
      </c>
      <c r="B417" s="30">
        <v>45833</v>
      </c>
      <c r="C417" s="27" t="s">
        <v>759</v>
      </c>
      <c r="D417" s="5" t="s">
        <v>489</v>
      </c>
      <c r="E417" s="1">
        <v>31</v>
      </c>
      <c r="F417" s="6" t="s">
        <v>609</v>
      </c>
      <c r="G417" s="27">
        <v>2</v>
      </c>
    </row>
    <row r="418" spans="1:7" ht="15.75" customHeight="1">
      <c r="A418" s="27">
        <v>192</v>
      </c>
      <c r="B418" s="30">
        <v>45833</v>
      </c>
      <c r="C418" s="27" t="s">
        <v>759</v>
      </c>
      <c r="D418" s="5" t="s">
        <v>489</v>
      </c>
      <c r="E418" s="1">
        <v>29</v>
      </c>
      <c r="F418" s="6" t="s">
        <v>606</v>
      </c>
      <c r="G418" s="27">
        <v>2</v>
      </c>
    </row>
    <row r="419" spans="1:7" ht="15.75" customHeight="1">
      <c r="A419" s="27">
        <v>192</v>
      </c>
      <c r="B419" s="30">
        <v>45833</v>
      </c>
      <c r="C419" s="27" t="s">
        <v>759</v>
      </c>
      <c r="D419" s="11" t="s">
        <v>62</v>
      </c>
      <c r="E419" s="1" t="s">
        <v>63</v>
      </c>
      <c r="F419" s="6" t="s">
        <v>630</v>
      </c>
      <c r="G419" s="27">
        <v>2</v>
      </c>
    </row>
    <row r="420" spans="1:7" ht="15.75" customHeight="1">
      <c r="A420" s="27">
        <v>192</v>
      </c>
      <c r="B420" s="30">
        <v>45833</v>
      </c>
      <c r="C420" s="27" t="s">
        <v>759</v>
      </c>
      <c r="D420" s="11" t="s">
        <v>62</v>
      </c>
      <c r="E420" s="1" t="s">
        <v>63</v>
      </c>
      <c r="F420" s="6" t="s">
        <v>475</v>
      </c>
      <c r="G420" s="27">
        <v>1</v>
      </c>
    </row>
    <row r="421" spans="1:7" ht="15.75" customHeight="1">
      <c r="A421" s="27">
        <v>192</v>
      </c>
      <c r="B421" s="30">
        <v>45833</v>
      </c>
      <c r="C421" s="27" t="s">
        <v>759</v>
      </c>
      <c r="D421" s="11" t="s">
        <v>62</v>
      </c>
      <c r="E421" s="1" t="s">
        <v>63</v>
      </c>
      <c r="F421" s="6" t="s">
        <v>501</v>
      </c>
      <c r="G421" s="27">
        <v>2</v>
      </c>
    </row>
    <row r="422" spans="1:7" ht="15.75" customHeight="1">
      <c r="A422" s="27">
        <v>192</v>
      </c>
      <c r="B422" s="30">
        <v>45833</v>
      </c>
      <c r="C422" s="27" t="s">
        <v>759</v>
      </c>
      <c r="D422" s="11" t="s">
        <v>62</v>
      </c>
      <c r="E422" s="1" t="s">
        <v>63</v>
      </c>
      <c r="F422" s="6" t="s">
        <v>593</v>
      </c>
      <c r="G422" s="27">
        <v>1</v>
      </c>
    </row>
    <row r="423" spans="1:7" ht="15.75" customHeight="1">
      <c r="A423" s="27">
        <v>192</v>
      </c>
      <c r="B423" s="30">
        <v>45833</v>
      </c>
      <c r="C423" s="27" t="s">
        <v>759</v>
      </c>
      <c r="D423" s="11" t="s">
        <v>62</v>
      </c>
      <c r="E423" s="1" t="s">
        <v>63</v>
      </c>
      <c r="F423" s="6" t="s">
        <v>580</v>
      </c>
      <c r="G423" s="27">
        <v>3</v>
      </c>
    </row>
    <row r="424" spans="1:7" ht="15.75" customHeight="1">
      <c r="A424" s="27">
        <v>192</v>
      </c>
      <c r="B424" s="30">
        <v>45833</v>
      </c>
      <c r="C424" s="27" t="s">
        <v>759</v>
      </c>
      <c r="D424" s="5" t="s">
        <v>489</v>
      </c>
      <c r="E424" s="1">
        <v>13</v>
      </c>
      <c r="F424" s="6" t="s">
        <v>536</v>
      </c>
      <c r="G424" s="27">
        <v>2</v>
      </c>
    </row>
    <row r="425" spans="1:7" ht="15.75" customHeight="1">
      <c r="A425" s="27">
        <v>193</v>
      </c>
      <c r="B425" s="30">
        <v>45834</v>
      </c>
      <c r="C425" s="27" t="s">
        <v>760</v>
      </c>
      <c r="D425" s="11" t="s">
        <v>62</v>
      </c>
      <c r="E425" s="1" t="s">
        <v>63</v>
      </c>
      <c r="F425" s="6" t="s">
        <v>550</v>
      </c>
      <c r="G425" s="27">
        <v>50</v>
      </c>
    </row>
    <row r="426" spans="1:7" ht="15.75" customHeight="1">
      <c r="A426" s="27">
        <v>193</v>
      </c>
      <c r="B426" s="30">
        <v>45834</v>
      </c>
      <c r="C426" s="27" t="s">
        <v>760</v>
      </c>
      <c r="D426" s="11" t="s">
        <v>62</v>
      </c>
      <c r="E426" s="1" t="s">
        <v>63</v>
      </c>
      <c r="F426" s="6" t="s">
        <v>481</v>
      </c>
      <c r="G426" s="27">
        <v>2</v>
      </c>
    </row>
    <row r="427" spans="1:7" ht="15.75" customHeight="1">
      <c r="A427" s="27">
        <v>193</v>
      </c>
      <c r="B427" s="30">
        <v>45834</v>
      </c>
      <c r="C427" s="27" t="s">
        <v>760</v>
      </c>
      <c r="D427" s="5" t="s">
        <v>479</v>
      </c>
      <c r="E427" s="1">
        <v>33</v>
      </c>
      <c r="F427" s="6" t="s">
        <v>628</v>
      </c>
      <c r="G427" s="27">
        <v>2</v>
      </c>
    </row>
    <row r="428" spans="1:7" ht="15.75" customHeight="1">
      <c r="A428" s="27">
        <v>193</v>
      </c>
      <c r="B428" s="30">
        <v>45834</v>
      </c>
      <c r="C428" s="27" t="s">
        <v>760</v>
      </c>
      <c r="D428" s="11" t="s">
        <v>62</v>
      </c>
      <c r="E428" s="1" t="s">
        <v>63</v>
      </c>
      <c r="F428" s="6" t="s">
        <v>546</v>
      </c>
      <c r="G428" s="27">
        <v>2</v>
      </c>
    </row>
    <row r="429" spans="1:7" ht="15.75" customHeight="1">
      <c r="A429" s="27">
        <v>193</v>
      </c>
      <c r="B429" s="30">
        <v>45834</v>
      </c>
      <c r="C429" s="27" t="s">
        <v>760</v>
      </c>
      <c r="D429" s="11" t="s">
        <v>62</v>
      </c>
      <c r="E429" s="1" t="s">
        <v>63</v>
      </c>
      <c r="F429" s="6" t="s">
        <v>533</v>
      </c>
      <c r="G429" s="27">
        <v>2</v>
      </c>
    </row>
    <row r="430" spans="1:7" ht="15.75" customHeight="1">
      <c r="A430" s="27">
        <v>193</v>
      </c>
      <c r="B430" s="30">
        <v>45834</v>
      </c>
      <c r="C430" s="27" t="s">
        <v>760</v>
      </c>
      <c r="D430" s="11" t="s">
        <v>62</v>
      </c>
      <c r="E430" s="1" t="s">
        <v>63</v>
      </c>
      <c r="F430" s="6" t="s">
        <v>624</v>
      </c>
      <c r="G430" s="27">
        <v>100</v>
      </c>
    </row>
    <row r="431" spans="1:7" ht="15.75" customHeight="1">
      <c r="A431" s="27">
        <v>193</v>
      </c>
      <c r="B431" s="30">
        <v>45834</v>
      </c>
      <c r="C431" s="27" t="s">
        <v>760</v>
      </c>
      <c r="D431" s="5" t="s">
        <v>489</v>
      </c>
      <c r="E431" s="1">
        <v>2</v>
      </c>
      <c r="F431" s="6" t="s">
        <v>488</v>
      </c>
      <c r="G431" s="27">
        <v>1</v>
      </c>
    </row>
    <row r="432" spans="1:7" ht="15.75" customHeight="1">
      <c r="A432" s="27">
        <v>194</v>
      </c>
      <c r="B432" s="30">
        <v>45838</v>
      </c>
      <c r="C432" s="27" t="s">
        <v>761</v>
      </c>
      <c r="D432" s="5" t="s">
        <v>479</v>
      </c>
      <c r="E432" s="1">
        <v>5</v>
      </c>
      <c r="F432" s="6" t="s">
        <v>495</v>
      </c>
      <c r="G432" s="27">
        <v>5</v>
      </c>
    </row>
    <row r="433" spans="1:7" ht="15.75" customHeight="1">
      <c r="A433" s="27">
        <v>194</v>
      </c>
      <c r="B433" s="30">
        <v>45838</v>
      </c>
      <c r="C433" s="27" t="s">
        <v>761</v>
      </c>
      <c r="D433" s="11" t="s">
        <v>62</v>
      </c>
      <c r="E433" s="1" t="s">
        <v>63</v>
      </c>
      <c r="F433" s="6" t="s">
        <v>497</v>
      </c>
      <c r="G433" s="27">
        <v>5</v>
      </c>
    </row>
    <row r="434" spans="1:7" ht="15.75" customHeight="1">
      <c r="A434" s="27">
        <v>194</v>
      </c>
      <c r="B434" s="30">
        <v>45838</v>
      </c>
      <c r="C434" s="27" t="s">
        <v>761</v>
      </c>
      <c r="D434" s="5" t="s">
        <v>489</v>
      </c>
      <c r="E434" s="1">
        <v>29</v>
      </c>
      <c r="F434" s="6" t="s">
        <v>606</v>
      </c>
      <c r="G434" s="27">
        <v>2</v>
      </c>
    </row>
    <row r="435" spans="1:7" ht="15.75" customHeight="1">
      <c r="A435" s="27">
        <v>194</v>
      </c>
      <c r="B435" s="30">
        <v>45838</v>
      </c>
      <c r="C435" s="27" t="s">
        <v>761</v>
      </c>
      <c r="D435" s="11" t="s">
        <v>62</v>
      </c>
      <c r="E435" s="1" t="s">
        <v>63</v>
      </c>
      <c r="F435" s="6" t="s">
        <v>630</v>
      </c>
      <c r="G435" s="27">
        <v>1</v>
      </c>
    </row>
    <row r="436" spans="1:7" ht="15.75" customHeight="1">
      <c r="A436" s="27">
        <v>194</v>
      </c>
      <c r="B436" s="30">
        <v>45838</v>
      </c>
      <c r="C436" s="27" t="s">
        <v>761</v>
      </c>
      <c r="D436" s="5" t="s">
        <v>586</v>
      </c>
      <c r="E436" s="1">
        <v>1</v>
      </c>
      <c r="F436" s="6" t="s">
        <v>585</v>
      </c>
      <c r="G436" s="27">
        <v>5</v>
      </c>
    </row>
    <row r="437" spans="1:7" ht="15.75" customHeight="1">
      <c r="A437" s="27">
        <v>194</v>
      </c>
      <c r="B437" s="30">
        <v>45838</v>
      </c>
      <c r="C437" s="27" t="s">
        <v>761</v>
      </c>
      <c r="D437" s="11" t="s">
        <v>62</v>
      </c>
      <c r="E437" s="1" t="s">
        <v>63</v>
      </c>
      <c r="F437" s="6" t="s">
        <v>533</v>
      </c>
      <c r="G437" s="27">
        <v>1</v>
      </c>
    </row>
    <row r="438" spans="1:7" ht="15.75" customHeight="1">
      <c r="A438" s="27">
        <v>194</v>
      </c>
      <c r="B438" s="30">
        <v>45838</v>
      </c>
      <c r="C438" s="27" t="s">
        <v>761</v>
      </c>
      <c r="D438" s="5" t="s">
        <v>489</v>
      </c>
      <c r="E438" s="1">
        <v>13</v>
      </c>
      <c r="F438" s="6" t="s">
        <v>536</v>
      </c>
      <c r="G438" s="27">
        <v>2</v>
      </c>
    </row>
    <row r="439" spans="1:7" ht="15.75" customHeight="1">
      <c r="A439" s="27">
        <v>195</v>
      </c>
      <c r="B439" s="30">
        <v>45838</v>
      </c>
      <c r="C439" s="27" t="s">
        <v>762</v>
      </c>
      <c r="D439" s="5" t="s">
        <v>586</v>
      </c>
      <c r="E439" s="1">
        <v>1</v>
      </c>
      <c r="F439" s="6" t="s">
        <v>585</v>
      </c>
      <c r="G439" s="27">
        <v>5</v>
      </c>
    </row>
    <row r="440" spans="1:7" ht="15.75" customHeight="1">
      <c r="A440" s="27">
        <v>195</v>
      </c>
      <c r="B440" s="30">
        <v>45838</v>
      </c>
      <c r="C440" s="27" t="s">
        <v>762</v>
      </c>
      <c r="D440" s="11" t="s">
        <v>62</v>
      </c>
      <c r="E440" s="1" t="s">
        <v>63</v>
      </c>
      <c r="F440" s="6" t="s">
        <v>588</v>
      </c>
      <c r="G440" s="27">
        <v>5</v>
      </c>
    </row>
    <row r="441" spans="1:7" ht="15.75" customHeight="1">
      <c r="A441" s="27">
        <v>195</v>
      </c>
      <c r="B441" s="30">
        <v>45838</v>
      </c>
      <c r="C441" s="27" t="s">
        <v>762</v>
      </c>
      <c r="D441" s="11" t="s">
        <v>62</v>
      </c>
      <c r="E441" s="1" t="s">
        <v>63</v>
      </c>
      <c r="F441" s="6" t="s">
        <v>557</v>
      </c>
      <c r="G441" s="27">
        <v>3</v>
      </c>
    </row>
    <row r="442" spans="1:7" ht="15.75" customHeight="1">
      <c r="A442" s="27">
        <v>195</v>
      </c>
      <c r="B442" s="30">
        <v>45838</v>
      </c>
      <c r="C442" s="27" t="s">
        <v>762</v>
      </c>
      <c r="D442" s="11" t="s">
        <v>62</v>
      </c>
      <c r="E442" s="1" t="s">
        <v>63</v>
      </c>
      <c r="F442" s="6" t="s">
        <v>551</v>
      </c>
      <c r="G442" s="27">
        <v>2</v>
      </c>
    </row>
    <row r="443" spans="1:7" ht="15.75" customHeight="1">
      <c r="A443" s="27">
        <v>195</v>
      </c>
      <c r="B443" s="30">
        <v>45838</v>
      </c>
      <c r="C443" s="27" t="s">
        <v>762</v>
      </c>
      <c r="D443" s="5" t="s">
        <v>479</v>
      </c>
      <c r="E443" s="1">
        <v>32</v>
      </c>
      <c r="F443" s="6" t="s">
        <v>611</v>
      </c>
      <c r="G443" s="27">
        <v>1</v>
      </c>
    </row>
    <row r="444" spans="1:7" ht="15.75" customHeight="1">
      <c r="A444" s="27">
        <v>195</v>
      </c>
      <c r="B444" s="30">
        <v>45838</v>
      </c>
      <c r="C444" s="27" t="s">
        <v>762</v>
      </c>
      <c r="D444" s="11" t="s">
        <v>62</v>
      </c>
      <c r="E444" s="1" t="s">
        <v>63</v>
      </c>
      <c r="F444" s="6" t="s">
        <v>630</v>
      </c>
      <c r="G444" s="27">
        <v>2</v>
      </c>
    </row>
    <row r="445" spans="1:7" ht="15.75" customHeight="1">
      <c r="A445" s="27">
        <v>195</v>
      </c>
      <c r="B445" s="30">
        <v>45838</v>
      </c>
      <c r="C445" s="27" t="s">
        <v>762</v>
      </c>
      <c r="D445" s="11" t="s">
        <v>62</v>
      </c>
      <c r="E445" s="1" t="s">
        <v>63</v>
      </c>
      <c r="F445" s="6" t="s">
        <v>501</v>
      </c>
      <c r="G445" s="27">
        <v>4</v>
      </c>
    </row>
    <row r="446" spans="1:7" ht="15.75" customHeight="1">
      <c r="A446" s="27">
        <v>195</v>
      </c>
      <c r="B446" s="30">
        <v>45838</v>
      </c>
      <c r="C446" s="27" t="s">
        <v>762</v>
      </c>
      <c r="D446" s="11" t="s">
        <v>62</v>
      </c>
      <c r="E446" s="1" t="s">
        <v>63</v>
      </c>
      <c r="F446" s="6" t="s">
        <v>500</v>
      </c>
      <c r="G446" s="27">
        <v>4</v>
      </c>
    </row>
    <row r="447" spans="1:7" ht="15.75" customHeight="1">
      <c r="A447" s="27">
        <v>195</v>
      </c>
      <c r="B447" s="30">
        <v>45838</v>
      </c>
      <c r="C447" s="27" t="s">
        <v>762</v>
      </c>
      <c r="D447" s="11" t="s">
        <v>62</v>
      </c>
      <c r="E447" s="1" t="s">
        <v>63</v>
      </c>
      <c r="F447" s="6" t="s">
        <v>503</v>
      </c>
      <c r="G447" s="27">
        <v>4</v>
      </c>
    </row>
    <row r="448" spans="1:7" ht="15.75" customHeight="1">
      <c r="A448" s="27">
        <v>195</v>
      </c>
      <c r="B448" s="30">
        <v>45838</v>
      </c>
      <c r="C448" s="27" t="s">
        <v>762</v>
      </c>
      <c r="D448" s="5" t="s">
        <v>489</v>
      </c>
      <c r="E448" s="1">
        <v>31</v>
      </c>
      <c r="F448" s="6" t="s">
        <v>609</v>
      </c>
      <c r="G448" s="27">
        <v>2</v>
      </c>
    </row>
    <row r="449" spans="1:7" ht="15.75" customHeight="1">
      <c r="A449" s="27">
        <v>195</v>
      </c>
      <c r="B449" s="30">
        <v>45838</v>
      </c>
      <c r="C449" s="27" t="s">
        <v>762</v>
      </c>
      <c r="D449" s="5" t="s">
        <v>489</v>
      </c>
      <c r="E449" s="1">
        <v>30</v>
      </c>
      <c r="F449" s="6" t="s">
        <v>608</v>
      </c>
      <c r="G449" s="27">
        <v>2</v>
      </c>
    </row>
    <row r="450" spans="1:7" ht="15.75" customHeight="1">
      <c r="A450" s="27">
        <v>195</v>
      </c>
      <c r="B450" s="30">
        <v>45838</v>
      </c>
      <c r="C450" s="27" t="s">
        <v>762</v>
      </c>
      <c r="D450" s="5" t="s">
        <v>489</v>
      </c>
      <c r="E450" s="1">
        <v>29</v>
      </c>
      <c r="F450" s="6" t="s">
        <v>606</v>
      </c>
      <c r="G450" s="27">
        <v>2</v>
      </c>
    </row>
    <row r="451" spans="1:7" ht="15.75" customHeight="1">
      <c r="A451" s="27">
        <v>195</v>
      </c>
      <c r="B451" s="30">
        <v>45838</v>
      </c>
      <c r="C451" s="27" t="s">
        <v>762</v>
      </c>
      <c r="D451" s="5" t="s">
        <v>489</v>
      </c>
      <c r="E451" s="1">
        <v>28</v>
      </c>
      <c r="F451" s="6" t="s">
        <v>604</v>
      </c>
      <c r="G451" s="27">
        <v>2</v>
      </c>
    </row>
    <row r="452" spans="1:7" ht="15.75" customHeight="1">
      <c r="A452" s="27">
        <v>195</v>
      </c>
      <c r="B452" s="30">
        <v>45838</v>
      </c>
      <c r="C452" s="27" t="s">
        <v>762</v>
      </c>
      <c r="D452" s="5" t="s">
        <v>489</v>
      </c>
      <c r="E452" s="1">
        <v>27</v>
      </c>
      <c r="F452" s="6" t="s">
        <v>602</v>
      </c>
      <c r="G452" s="27">
        <v>2</v>
      </c>
    </row>
    <row r="453" spans="1:7" ht="15.75" customHeight="1">
      <c r="A453" s="27">
        <v>195</v>
      </c>
      <c r="B453" s="30">
        <v>45838</v>
      </c>
      <c r="C453" s="27" t="s">
        <v>762</v>
      </c>
      <c r="D453" s="11" t="s">
        <v>62</v>
      </c>
      <c r="E453" s="1" t="s">
        <v>63</v>
      </c>
      <c r="F453" s="6" t="s">
        <v>565</v>
      </c>
      <c r="G453" s="27">
        <v>3</v>
      </c>
    </row>
    <row r="454" spans="1:7" ht="15.75" customHeight="1">
      <c r="A454" s="27">
        <v>195</v>
      </c>
      <c r="B454" s="30">
        <v>45838</v>
      </c>
      <c r="C454" s="27" t="s">
        <v>762</v>
      </c>
      <c r="D454" s="11" t="s">
        <v>62</v>
      </c>
      <c r="E454" s="1" t="s">
        <v>63</v>
      </c>
      <c r="F454" s="6" t="s">
        <v>566</v>
      </c>
      <c r="G454" s="27">
        <v>3</v>
      </c>
    </row>
    <row r="455" spans="1:7" ht="15.75" customHeight="1">
      <c r="A455" s="27">
        <v>195</v>
      </c>
      <c r="B455" s="30">
        <v>45838</v>
      </c>
      <c r="C455" s="27" t="s">
        <v>762</v>
      </c>
      <c r="D455" s="11" t="s">
        <v>62</v>
      </c>
      <c r="E455" s="1" t="s">
        <v>63</v>
      </c>
      <c r="F455" s="6" t="s">
        <v>577</v>
      </c>
      <c r="G455" s="27">
        <v>1</v>
      </c>
    </row>
    <row r="456" spans="1:7" ht="15.75" customHeight="1">
      <c r="A456" s="27">
        <v>195</v>
      </c>
      <c r="B456" s="30">
        <v>45838</v>
      </c>
      <c r="C456" s="27" t="s">
        <v>762</v>
      </c>
      <c r="D456" s="11" t="s">
        <v>62</v>
      </c>
      <c r="E456" s="1" t="s">
        <v>63</v>
      </c>
      <c r="F456" s="6" t="s">
        <v>578</v>
      </c>
      <c r="G456" s="27">
        <v>1</v>
      </c>
    </row>
    <row r="457" spans="1:7" ht="15.75" customHeight="1">
      <c r="A457" s="27">
        <v>195</v>
      </c>
      <c r="B457" s="30">
        <v>45838</v>
      </c>
      <c r="C457" s="27" t="s">
        <v>762</v>
      </c>
      <c r="D457" s="5" t="s">
        <v>479</v>
      </c>
      <c r="E457" s="1">
        <v>5</v>
      </c>
      <c r="F457" s="6" t="s">
        <v>495</v>
      </c>
      <c r="G457" s="27">
        <v>5</v>
      </c>
    </row>
    <row r="458" spans="1:7" ht="15.75" customHeight="1">
      <c r="A458" s="27">
        <v>195</v>
      </c>
      <c r="B458" s="30">
        <v>45838</v>
      </c>
      <c r="C458" s="27" t="s">
        <v>762</v>
      </c>
      <c r="D458" s="11" t="s">
        <v>62</v>
      </c>
      <c r="E458" s="1" t="s">
        <v>63</v>
      </c>
      <c r="F458" s="6" t="s">
        <v>497</v>
      </c>
      <c r="G458" s="27">
        <v>10</v>
      </c>
    </row>
    <row r="459" spans="1:7" ht="15.75" customHeight="1">
      <c r="A459" s="27">
        <v>195</v>
      </c>
      <c r="B459" s="30">
        <v>45838</v>
      </c>
      <c r="C459" s="27" t="s">
        <v>762</v>
      </c>
      <c r="D459" s="11" t="s">
        <v>62</v>
      </c>
      <c r="E459" s="1" t="s">
        <v>63</v>
      </c>
      <c r="F459" s="6" t="s">
        <v>514</v>
      </c>
      <c r="G459" s="27">
        <v>2</v>
      </c>
    </row>
    <row r="460" spans="1:7" ht="15.75" customHeight="1">
      <c r="A460" s="27">
        <v>195</v>
      </c>
      <c r="B460" s="30">
        <v>45838</v>
      </c>
      <c r="C460" s="27" t="s">
        <v>762</v>
      </c>
      <c r="D460" s="5" t="s">
        <v>531</v>
      </c>
      <c r="E460" s="1">
        <v>18</v>
      </c>
      <c r="F460" s="6" t="s">
        <v>548</v>
      </c>
      <c r="G460" s="27">
        <v>100</v>
      </c>
    </row>
    <row r="461" spans="1:7" ht="15.75" customHeight="1">
      <c r="A461" s="27">
        <v>195</v>
      </c>
      <c r="B461" s="30">
        <v>45838</v>
      </c>
      <c r="C461" s="27" t="s">
        <v>762</v>
      </c>
      <c r="D461" s="5" t="s">
        <v>489</v>
      </c>
      <c r="E461" s="1">
        <v>2</v>
      </c>
      <c r="F461" s="6" t="s">
        <v>488</v>
      </c>
      <c r="G461" s="27">
        <v>1</v>
      </c>
    </row>
    <row r="462" spans="1:7" ht="15.75" customHeight="1">
      <c r="A462" s="27">
        <v>195</v>
      </c>
      <c r="B462" s="30">
        <v>45838</v>
      </c>
      <c r="C462" s="27" t="s">
        <v>762</v>
      </c>
      <c r="D462" s="11" t="s">
        <v>62</v>
      </c>
      <c r="E462" s="1" t="s">
        <v>63</v>
      </c>
      <c r="F462" s="6" t="s">
        <v>610</v>
      </c>
      <c r="G462" s="27">
        <v>2</v>
      </c>
    </row>
    <row r="463" spans="1:7" ht="15.75" customHeight="1">
      <c r="A463" s="27">
        <v>195</v>
      </c>
      <c r="B463" s="30">
        <v>45838</v>
      </c>
      <c r="C463" s="27" t="s">
        <v>762</v>
      </c>
      <c r="D463" s="11" t="s">
        <v>62</v>
      </c>
      <c r="E463" s="1" t="s">
        <v>63</v>
      </c>
      <c r="F463" s="6" t="s">
        <v>533</v>
      </c>
      <c r="G463" s="27">
        <v>2</v>
      </c>
    </row>
    <row r="464" spans="1:7" ht="15.75" customHeight="1">
      <c r="A464" s="27">
        <v>195</v>
      </c>
      <c r="B464" s="30">
        <v>45838</v>
      </c>
      <c r="C464" s="27" t="s">
        <v>762</v>
      </c>
      <c r="D464" s="11" t="s">
        <v>62</v>
      </c>
      <c r="E464" s="1" t="s">
        <v>63</v>
      </c>
      <c r="F464" s="6" t="s">
        <v>482</v>
      </c>
      <c r="G464" s="27">
        <v>3</v>
      </c>
    </row>
    <row r="465" spans="1:7" ht="15.75" customHeight="1">
      <c r="A465" s="27">
        <v>195</v>
      </c>
      <c r="B465" s="30">
        <v>45838</v>
      </c>
      <c r="C465" s="27" t="s">
        <v>762</v>
      </c>
      <c r="D465" s="11" t="s">
        <v>62</v>
      </c>
      <c r="E465" s="1" t="s">
        <v>63</v>
      </c>
      <c r="F465" s="6" t="s">
        <v>484</v>
      </c>
      <c r="G465" s="27">
        <v>3</v>
      </c>
    </row>
    <row r="466" spans="1:7" ht="15.75" customHeight="1">
      <c r="A466" s="27">
        <v>196</v>
      </c>
      <c r="B466" s="30">
        <v>45838</v>
      </c>
      <c r="C466" s="27" t="s">
        <v>763</v>
      </c>
      <c r="D466" s="5" t="s">
        <v>586</v>
      </c>
      <c r="E466" s="1">
        <v>1</v>
      </c>
      <c r="F466" s="6" t="s">
        <v>585</v>
      </c>
      <c r="G466" s="27">
        <v>5</v>
      </c>
    </row>
    <row r="467" spans="1:7" ht="15.75" customHeight="1">
      <c r="A467" s="27">
        <v>196</v>
      </c>
      <c r="B467" s="30">
        <v>45838</v>
      </c>
      <c r="C467" s="27" t="s">
        <v>763</v>
      </c>
      <c r="D467" s="11" t="s">
        <v>62</v>
      </c>
      <c r="E467" s="1" t="s">
        <v>63</v>
      </c>
      <c r="F467" s="6" t="s">
        <v>497</v>
      </c>
      <c r="G467" s="27">
        <v>10</v>
      </c>
    </row>
    <row r="468" spans="1:7" ht="15.75" customHeight="1">
      <c r="A468" s="27">
        <v>196</v>
      </c>
      <c r="B468" s="30">
        <v>45838</v>
      </c>
      <c r="C468" s="27" t="s">
        <v>763</v>
      </c>
      <c r="D468" s="11" t="s">
        <v>62</v>
      </c>
      <c r="E468" s="1" t="s">
        <v>63</v>
      </c>
      <c r="F468" s="6" t="s">
        <v>486</v>
      </c>
      <c r="G468" s="27">
        <v>20</v>
      </c>
    </row>
    <row r="469" spans="1:7" ht="15.75" customHeight="1">
      <c r="A469" s="27">
        <v>196</v>
      </c>
      <c r="B469" s="30">
        <v>45838</v>
      </c>
      <c r="C469" s="27" t="s">
        <v>763</v>
      </c>
      <c r="D469" s="11" t="s">
        <v>62</v>
      </c>
      <c r="E469" s="1" t="s">
        <v>63</v>
      </c>
      <c r="F469" s="6" t="s">
        <v>630</v>
      </c>
      <c r="G469" s="27">
        <v>2</v>
      </c>
    </row>
    <row r="470" spans="1:7" ht="15.75" customHeight="1">
      <c r="A470" s="27">
        <v>196</v>
      </c>
      <c r="B470" s="30">
        <v>45838</v>
      </c>
      <c r="C470" s="27" t="s">
        <v>763</v>
      </c>
      <c r="D470" s="11" t="s">
        <v>62</v>
      </c>
      <c r="E470" s="1" t="s">
        <v>63</v>
      </c>
      <c r="F470" s="6" t="s">
        <v>481</v>
      </c>
      <c r="G470" s="27">
        <v>2</v>
      </c>
    </row>
    <row r="471" spans="1:7" ht="15.75" customHeight="1">
      <c r="A471" s="27">
        <v>196</v>
      </c>
      <c r="B471" s="30">
        <v>45838</v>
      </c>
      <c r="C471" s="27" t="s">
        <v>763</v>
      </c>
      <c r="D471" s="5" t="s">
        <v>489</v>
      </c>
      <c r="E471" s="1">
        <v>28</v>
      </c>
      <c r="F471" s="6" t="s">
        <v>604</v>
      </c>
      <c r="G471" s="27">
        <v>2</v>
      </c>
    </row>
    <row r="472" spans="1:7" ht="15.75" customHeight="1">
      <c r="A472" s="27">
        <v>196</v>
      </c>
      <c r="B472" s="30">
        <v>45838</v>
      </c>
      <c r="C472" s="27" t="s">
        <v>763</v>
      </c>
      <c r="D472" s="11" t="s">
        <v>62</v>
      </c>
      <c r="E472" s="1" t="s">
        <v>63</v>
      </c>
      <c r="F472" s="6" t="s">
        <v>501</v>
      </c>
      <c r="G472" s="27">
        <v>3</v>
      </c>
    </row>
    <row r="473" spans="1:7" ht="15.75" customHeight="1">
      <c r="A473" s="27">
        <v>197</v>
      </c>
      <c r="B473" s="30">
        <v>45838</v>
      </c>
      <c r="C473" s="27" t="s">
        <v>764</v>
      </c>
      <c r="D473" s="5" t="s">
        <v>479</v>
      </c>
      <c r="E473" s="1">
        <v>9</v>
      </c>
      <c r="F473" s="29" t="s">
        <v>517</v>
      </c>
      <c r="G473" s="27">
        <v>60</v>
      </c>
    </row>
    <row r="474" spans="1:7" ht="15.75" customHeight="1">
      <c r="A474" s="27">
        <v>198</v>
      </c>
      <c r="B474" s="30">
        <v>45839</v>
      </c>
      <c r="C474" s="27" t="s">
        <v>765</v>
      </c>
      <c r="D474" s="5" t="s">
        <v>586</v>
      </c>
      <c r="E474" s="1">
        <v>1</v>
      </c>
      <c r="F474" s="6" t="s">
        <v>585</v>
      </c>
      <c r="G474" s="27">
        <v>5</v>
      </c>
    </row>
    <row r="475" spans="1:7" ht="15.75" customHeight="1">
      <c r="A475" s="27">
        <v>198</v>
      </c>
      <c r="B475" s="30">
        <v>45839</v>
      </c>
      <c r="C475" s="27" t="s">
        <v>765</v>
      </c>
      <c r="D475" s="11" t="s">
        <v>62</v>
      </c>
      <c r="E475" s="1" t="s">
        <v>63</v>
      </c>
      <c r="F475" s="6" t="s">
        <v>588</v>
      </c>
      <c r="G475" s="27">
        <v>5</v>
      </c>
    </row>
    <row r="476" spans="1:7" ht="15.75" customHeight="1">
      <c r="A476" s="27">
        <v>199</v>
      </c>
      <c r="B476" s="30">
        <v>45839</v>
      </c>
      <c r="C476" s="27" t="s">
        <v>766</v>
      </c>
      <c r="D476" s="5" t="s">
        <v>479</v>
      </c>
      <c r="E476" s="1">
        <v>16</v>
      </c>
      <c r="F476" s="6" t="s">
        <v>544</v>
      </c>
      <c r="G476" s="27">
        <v>2</v>
      </c>
    </row>
    <row r="477" spans="1:7" ht="15.75" customHeight="1">
      <c r="A477" s="27">
        <v>199</v>
      </c>
      <c r="B477" s="30">
        <v>45839</v>
      </c>
      <c r="C477" s="27" t="s">
        <v>766</v>
      </c>
      <c r="D477" s="5" t="s">
        <v>559</v>
      </c>
      <c r="E477" s="1">
        <v>20</v>
      </c>
      <c r="F477" s="6" t="s">
        <v>558</v>
      </c>
      <c r="G477" s="27">
        <v>1</v>
      </c>
    </row>
    <row r="478" spans="1:7" ht="15.75" customHeight="1">
      <c r="A478" s="27">
        <v>199</v>
      </c>
      <c r="B478" s="30">
        <v>45839</v>
      </c>
      <c r="C478" s="27" t="s">
        <v>766</v>
      </c>
      <c r="D478" s="5" t="s">
        <v>586</v>
      </c>
      <c r="E478" s="1">
        <v>1</v>
      </c>
      <c r="F478" s="6" t="s">
        <v>585</v>
      </c>
      <c r="G478" s="27">
        <v>5</v>
      </c>
    </row>
    <row r="479" spans="1:7" ht="15.75" customHeight="1">
      <c r="A479" s="27">
        <v>199</v>
      </c>
      <c r="B479" s="30">
        <v>45839</v>
      </c>
      <c r="C479" s="27" t="s">
        <v>766</v>
      </c>
      <c r="D479" s="11" t="s">
        <v>62</v>
      </c>
      <c r="E479" s="1" t="s">
        <v>63</v>
      </c>
      <c r="F479" s="6" t="s">
        <v>551</v>
      </c>
      <c r="G479" s="27">
        <v>2</v>
      </c>
    </row>
    <row r="480" spans="1:7" ht="15.75" customHeight="1">
      <c r="A480" s="27">
        <v>199</v>
      </c>
      <c r="B480" s="30">
        <v>45839</v>
      </c>
      <c r="C480" s="27" t="s">
        <v>766</v>
      </c>
      <c r="D480" s="11" t="s">
        <v>62</v>
      </c>
      <c r="E480" s="1" t="s">
        <v>63</v>
      </c>
      <c r="F480" s="6" t="s">
        <v>533</v>
      </c>
      <c r="G480" s="27">
        <v>2</v>
      </c>
    </row>
    <row r="481" spans="1:7" ht="15.75" customHeight="1">
      <c r="A481" s="27">
        <v>199</v>
      </c>
      <c r="B481" s="30">
        <v>45839</v>
      </c>
      <c r="C481" s="27" t="s">
        <v>766</v>
      </c>
      <c r="D481" s="11" t="s">
        <v>62</v>
      </c>
      <c r="E481" s="1" t="s">
        <v>63</v>
      </c>
      <c r="F481" s="6" t="s">
        <v>565</v>
      </c>
      <c r="G481" s="27">
        <v>1</v>
      </c>
    </row>
    <row r="482" spans="1:7" ht="15.75" customHeight="1">
      <c r="A482" s="27">
        <v>199</v>
      </c>
      <c r="B482" s="30">
        <v>45839</v>
      </c>
      <c r="C482" s="27" t="s">
        <v>766</v>
      </c>
      <c r="D482" s="11" t="s">
        <v>62</v>
      </c>
      <c r="E482" s="1" t="s">
        <v>63</v>
      </c>
      <c r="F482" s="6" t="s">
        <v>566</v>
      </c>
      <c r="G482" s="27">
        <v>1</v>
      </c>
    </row>
    <row r="483" spans="1:7" ht="15.75" customHeight="1">
      <c r="A483" s="27">
        <v>199</v>
      </c>
      <c r="B483" s="30">
        <v>45839</v>
      </c>
      <c r="C483" s="27" t="s">
        <v>766</v>
      </c>
      <c r="D483" s="11" t="s">
        <v>62</v>
      </c>
      <c r="E483" s="1" t="s">
        <v>63</v>
      </c>
      <c r="F483" s="6" t="s">
        <v>557</v>
      </c>
      <c r="G483" s="27">
        <v>5</v>
      </c>
    </row>
    <row r="484" spans="1:7" ht="15.75" customHeight="1">
      <c r="A484" s="27">
        <v>199</v>
      </c>
      <c r="B484" s="30">
        <v>45839</v>
      </c>
      <c r="C484" s="27" t="s">
        <v>766</v>
      </c>
      <c r="D484" s="5" t="s">
        <v>479</v>
      </c>
      <c r="E484" s="1">
        <v>33</v>
      </c>
      <c r="F484" s="6" t="s">
        <v>628</v>
      </c>
      <c r="G484" s="27">
        <v>4</v>
      </c>
    </row>
    <row r="485" spans="1:7" ht="15.75" customHeight="1">
      <c r="A485" s="27">
        <v>199</v>
      </c>
      <c r="B485" s="30">
        <v>45839</v>
      </c>
      <c r="C485" s="27" t="s">
        <v>766</v>
      </c>
      <c r="D485" s="11" t="s">
        <v>62</v>
      </c>
      <c r="E485" s="1" t="s">
        <v>63</v>
      </c>
      <c r="F485" s="6" t="s">
        <v>483</v>
      </c>
      <c r="G485" s="27">
        <v>4</v>
      </c>
    </row>
    <row r="486" spans="1:7" ht="15.75" customHeight="1">
      <c r="A486" s="27">
        <v>199</v>
      </c>
      <c r="B486" s="30">
        <v>45839</v>
      </c>
      <c r="C486" s="27" t="s">
        <v>766</v>
      </c>
      <c r="D486" s="11" t="s">
        <v>62</v>
      </c>
      <c r="E486" s="1" t="s">
        <v>63</v>
      </c>
      <c r="F486" s="6" t="s">
        <v>514</v>
      </c>
      <c r="G486" s="27">
        <v>3</v>
      </c>
    </row>
    <row r="487" spans="1:7" ht="15.75" customHeight="1">
      <c r="A487" s="27">
        <v>199</v>
      </c>
      <c r="B487" s="30">
        <v>45839</v>
      </c>
      <c r="C487" s="27" t="s">
        <v>766</v>
      </c>
      <c r="D487" s="5" t="s">
        <v>479</v>
      </c>
      <c r="E487" s="1">
        <v>32</v>
      </c>
      <c r="F487" s="6" t="s">
        <v>611</v>
      </c>
      <c r="G487" s="27">
        <v>2</v>
      </c>
    </row>
    <row r="488" spans="1:7" ht="15.75" customHeight="1">
      <c r="A488" s="27">
        <v>199</v>
      </c>
      <c r="B488" s="30">
        <v>45839</v>
      </c>
      <c r="C488" s="27" t="s">
        <v>766</v>
      </c>
      <c r="D488" s="5" t="s">
        <v>489</v>
      </c>
      <c r="E488" s="1">
        <v>28</v>
      </c>
      <c r="F488" s="6" t="s">
        <v>604</v>
      </c>
      <c r="G488" s="27">
        <v>2</v>
      </c>
    </row>
    <row r="489" spans="1:7" ht="15.75" customHeight="1">
      <c r="A489" s="27">
        <v>200</v>
      </c>
      <c r="B489" s="30">
        <v>45839</v>
      </c>
      <c r="C489" s="27" t="s">
        <v>755</v>
      </c>
      <c r="D489" s="5" t="s">
        <v>489</v>
      </c>
      <c r="E489" s="1">
        <v>14</v>
      </c>
      <c r="F489" s="6" t="s">
        <v>540</v>
      </c>
      <c r="G489" s="27">
        <v>5</v>
      </c>
    </row>
    <row r="490" spans="1:7" ht="15.75" customHeight="1">
      <c r="A490" s="27">
        <v>201</v>
      </c>
      <c r="B490" s="30">
        <v>45840</v>
      </c>
      <c r="C490" s="27" t="s">
        <v>767</v>
      </c>
      <c r="D490" s="5" t="s">
        <v>586</v>
      </c>
      <c r="E490" s="1">
        <v>1</v>
      </c>
      <c r="F490" s="6" t="s">
        <v>585</v>
      </c>
      <c r="G490" s="27">
        <v>5</v>
      </c>
    </row>
    <row r="491" spans="1:7" ht="15.75" customHeight="1">
      <c r="A491" s="27">
        <v>201</v>
      </c>
      <c r="B491" s="30">
        <v>45840</v>
      </c>
      <c r="C491" s="27" t="s">
        <v>767</v>
      </c>
      <c r="D491" s="5" t="s">
        <v>531</v>
      </c>
      <c r="E491" s="1">
        <v>18</v>
      </c>
      <c r="F491" s="6" t="s">
        <v>548</v>
      </c>
      <c r="G491" s="27">
        <v>50</v>
      </c>
    </row>
    <row r="492" spans="1:7" ht="15.75" customHeight="1">
      <c r="A492" s="27">
        <v>201</v>
      </c>
      <c r="B492" s="30">
        <v>45840</v>
      </c>
      <c r="C492" s="27" t="s">
        <v>767</v>
      </c>
      <c r="D492" s="11" t="s">
        <v>62</v>
      </c>
      <c r="E492" s="1" t="s">
        <v>63</v>
      </c>
      <c r="F492" s="6" t="s">
        <v>514</v>
      </c>
      <c r="G492" s="27">
        <v>2</v>
      </c>
    </row>
    <row r="493" spans="1:7" ht="15.75" customHeight="1">
      <c r="A493" s="27">
        <v>201</v>
      </c>
      <c r="B493" s="30">
        <v>45840</v>
      </c>
      <c r="C493" s="27" t="s">
        <v>767</v>
      </c>
      <c r="D493" s="5" t="s">
        <v>489</v>
      </c>
      <c r="E493" s="1">
        <v>31</v>
      </c>
      <c r="F493" s="6" t="s">
        <v>609</v>
      </c>
      <c r="G493" s="27">
        <v>2</v>
      </c>
    </row>
    <row r="494" spans="1:7" ht="15.75" customHeight="1">
      <c r="A494" s="27">
        <v>201</v>
      </c>
      <c r="B494" s="30">
        <v>45840</v>
      </c>
      <c r="C494" s="27" t="s">
        <v>767</v>
      </c>
      <c r="D494" s="5" t="s">
        <v>489</v>
      </c>
      <c r="E494" s="1">
        <v>30</v>
      </c>
      <c r="F494" s="6" t="s">
        <v>608</v>
      </c>
      <c r="G494" s="27">
        <v>2</v>
      </c>
    </row>
    <row r="495" spans="1:7" ht="15.75" customHeight="1">
      <c r="A495" s="27">
        <v>201</v>
      </c>
      <c r="B495" s="30">
        <v>45840</v>
      </c>
      <c r="C495" s="27" t="s">
        <v>767</v>
      </c>
      <c r="D495" s="5" t="s">
        <v>489</v>
      </c>
      <c r="E495" s="1">
        <v>29</v>
      </c>
      <c r="F495" s="6" t="s">
        <v>606</v>
      </c>
      <c r="G495" s="27">
        <v>2</v>
      </c>
    </row>
    <row r="496" spans="1:7" ht="15.75" customHeight="1">
      <c r="A496" s="27">
        <v>201</v>
      </c>
      <c r="B496" s="30">
        <v>45840</v>
      </c>
      <c r="C496" s="27" t="s">
        <v>767</v>
      </c>
      <c r="D496" s="5" t="s">
        <v>489</v>
      </c>
      <c r="E496" s="1">
        <v>28</v>
      </c>
      <c r="F496" s="6" t="s">
        <v>604</v>
      </c>
      <c r="G496" s="27">
        <v>2</v>
      </c>
    </row>
    <row r="497" spans="1:7" ht="15.75" customHeight="1">
      <c r="A497" s="27">
        <v>201</v>
      </c>
      <c r="B497" s="30">
        <v>45840</v>
      </c>
      <c r="C497" s="27" t="s">
        <v>767</v>
      </c>
      <c r="D497" s="5" t="s">
        <v>489</v>
      </c>
      <c r="E497" s="1">
        <v>27</v>
      </c>
      <c r="F497" s="6" t="s">
        <v>602</v>
      </c>
      <c r="G497" s="27">
        <v>2</v>
      </c>
    </row>
    <row r="498" spans="1:7" ht="15.75" customHeight="1">
      <c r="A498" s="27">
        <v>201</v>
      </c>
      <c r="B498" s="30">
        <v>45840</v>
      </c>
      <c r="C498" s="27" t="s">
        <v>767</v>
      </c>
      <c r="D498" s="5" t="s">
        <v>479</v>
      </c>
      <c r="E498" s="1">
        <v>33</v>
      </c>
      <c r="F498" s="6" t="s">
        <v>628</v>
      </c>
      <c r="G498" s="27">
        <v>2</v>
      </c>
    </row>
    <row r="499" spans="1:7" ht="15.75" customHeight="1">
      <c r="A499" s="27">
        <v>201</v>
      </c>
      <c r="B499" s="30">
        <v>45840</v>
      </c>
      <c r="C499" s="27" t="s">
        <v>767</v>
      </c>
      <c r="D499" s="11" t="s">
        <v>62</v>
      </c>
      <c r="E499" s="1" t="s">
        <v>63</v>
      </c>
      <c r="F499" s="6" t="s">
        <v>483</v>
      </c>
      <c r="G499" s="27">
        <v>2</v>
      </c>
    </row>
    <row r="500" spans="1:7" ht="15.75" customHeight="1">
      <c r="A500" s="27">
        <v>201</v>
      </c>
      <c r="B500" s="30">
        <v>45840</v>
      </c>
      <c r="C500" s="27" t="s">
        <v>767</v>
      </c>
      <c r="D500" s="11" t="s">
        <v>62</v>
      </c>
      <c r="E500" s="1" t="s">
        <v>63</v>
      </c>
      <c r="F500" s="6" t="s">
        <v>474</v>
      </c>
      <c r="G500" s="27">
        <v>1</v>
      </c>
    </row>
    <row r="501" spans="1:7" ht="15.75" customHeight="1">
      <c r="A501" s="27">
        <v>202</v>
      </c>
      <c r="B501" s="30">
        <v>45840</v>
      </c>
      <c r="C501" s="27" t="s">
        <v>768</v>
      </c>
      <c r="D501" s="5" t="s">
        <v>586</v>
      </c>
      <c r="E501" s="1">
        <v>1</v>
      </c>
      <c r="F501" s="6" t="s">
        <v>585</v>
      </c>
      <c r="G501" s="27">
        <v>4</v>
      </c>
    </row>
    <row r="502" spans="1:7" ht="15.75" customHeight="1">
      <c r="A502" s="27">
        <v>203</v>
      </c>
      <c r="B502" s="30">
        <v>45840</v>
      </c>
      <c r="C502" s="27" t="s">
        <v>769</v>
      </c>
      <c r="D502" s="5" t="s">
        <v>586</v>
      </c>
      <c r="E502" s="1">
        <v>1</v>
      </c>
      <c r="F502" s="6" t="s">
        <v>585</v>
      </c>
      <c r="G502" s="27">
        <v>5</v>
      </c>
    </row>
    <row r="503" spans="1:7" ht="15.75" customHeight="1">
      <c r="A503" s="27">
        <v>203</v>
      </c>
      <c r="B503" s="30">
        <v>45840</v>
      </c>
      <c r="C503" s="27" t="s">
        <v>769</v>
      </c>
      <c r="D503" s="11" t="s">
        <v>62</v>
      </c>
      <c r="E503" s="1" t="s">
        <v>63</v>
      </c>
      <c r="F503" s="6" t="s">
        <v>551</v>
      </c>
      <c r="G503" s="27">
        <v>2</v>
      </c>
    </row>
    <row r="504" spans="1:7" ht="15.75" customHeight="1">
      <c r="A504" s="27">
        <v>203</v>
      </c>
      <c r="B504" s="30">
        <v>45840</v>
      </c>
      <c r="C504" s="27" t="s">
        <v>769</v>
      </c>
      <c r="D504" s="5" t="s">
        <v>479</v>
      </c>
      <c r="E504" s="1">
        <v>32</v>
      </c>
      <c r="F504" s="6" t="s">
        <v>611</v>
      </c>
      <c r="G504" s="27">
        <v>1</v>
      </c>
    </row>
    <row r="505" spans="1:7" ht="15.75" customHeight="1">
      <c r="A505" s="27">
        <v>203</v>
      </c>
      <c r="B505" s="30">
        <v>45840</v>
      </c>
      <c r="C505" s="27" t="s">
        <v>769</v>
      </c>
      <c r="D505" s="5" t="s">
        <v>489</v>
      </c>
      <c r="E505" s="1">
        <v>31</v>
      </c>
      <c r="F505" s="6" t="s">
        <v>609</v>
      </c>
      <c r="G505" s="27">
        <v>1</v>
      </c>
    </row>
    <row r="506" spans="1:7" ht="15.75" customHeight="1">
      <c r="A506" s="27">
        <v>203</v>
      </c>
      <c r="B506" s="30">
        <v>45840</v>
      </c>
      <c r="C506" s="27" t="s">
        <v>769</v>
      </c>
      <c r="D506" s="5" t="s">
        <v>489</v>
      </c>
      <c r="E506" s="1">
        <v>30</v>
      </c>
      <c r="F506" s="6" t="s">
        <v>608</v>
      </c>
      <c r="G506" s="27">
        <v>1</v>
      </c>
    </row>
    <row r="507" spans="1:7" ht="15.75" customHeight="1">
      <c r="A507" s="27">
        <v>203</v>
      </c>
      <c r="B507" s="30">
        <v>45840</v>
      </c>
      <c r="C507" s="27" t="s">
        <v>769</v>
      </c>
      <c r="D507" s="5" t="s">
        <v>489</v>
      </c>
      <c r="E507" s="1">
        <v>29</v>
      </c>
      <c r="F507" s="6" t="s">
        <v>606</v>
      </c>
      <c r="G507" s="27">
        <v>1</v>
      </c>
    </row>
    <row r="508" spans="1:7" ht="15.75" customHeight="1">
      <c r="A508" s="27">
        <v>203</v>
      </c>
      <c r="B508" s="30">
        <v>45840</v>
      </c>
      <c r="C508" s="27" t="s">
        <v>769</v>
      </c>
      <c r="D508" s="5" t="s">
        <v>489</v>
      </c>
      <c r="E508" s="1">
        <v>28</v>
      </c>
      <c r="F508" s="6" t="s">
        <v>604</v>
      </c>
      <c r="G508" s="27">
        <v>1</v>
      </c>
    </row>
    <row r="509" spans="1:7" ht="15.75" customHeight="1">
      <c r="A509" s="27">
        <v>203</v>
      </c>
      <c r="B509" s="30">
        <v>45840</v>
      </c>
      <c r="C509" s="27" t="s">
        <v>769</v>
      </c>
      <c r="D509" s="5" t="s">
        <v>489</v>
      </c>
      <c r="E509" s="1">
        <v>27</v>
      </c>
      <c r="F509" s="6" t="s">
        <v>602</v>
      </c>
      <c r="G509" s="27">
        <v>1</v>
      </c>
    </row>
    <row r="510" spans="1:7" ht="15.75" customHeight="1">
      <c r="A510" s="27">
        <v>203</v>
      </c>
      <c r="B510" s="30">
        <v>45840</v>
      </c>
      <c r="C510" s="27" t="s">
        <v>769</v>
      </c>
      <c r="D510" s="11" t="s">
        <v>62</v>
      </c>
      <c r="E510" s="1" t="s">
        <v>63</v>
      </c>
      <c r="F510" s="6" t="s">
        <v>565</v>
      </c>
      <c r="G510" s="27">
        <v>2</v>
      </c>
    </row>
    <row r="511" spans="1:7" ht="15.75" customHeight="1">
      <c r="A511" s="27">
        <v>203</v>
      </c>
      <c r="B511" s="30">
        <v>45840</v>
      </c>
      <c r="C511" s="27" t="s">
        <v>769</v>
      </c>
      <c r="D511" s="11" t="s">
        <v>62</v>
      </c>
      <c r="E511" s="1" t="s">
        <v>63</v>
      </c>
      <c r="F511" s="6" t="s">
        <v>566</v>
      </c>
      <c r="G511" s="27">
        <v>2</v>
      </c>
    </row>
    <row r="512" spans="1:7" ht="15.75" customHeight="1">
      <c r="A512" s="27">
        <v>203</v>
      </c>
      <c r="B512" s="30">
        <v>45840</v>
      </c>
      <c r="C512" s="27" t="s">
        <v>769</v>
      </c>
      <c r="D512" s="5" t="s">
        <v>479</v>
      </c>
      <c r="E512" s="1">
        <v>5</v>
      </c>
      <c r="F512" s="6" t="s">
        <v>495</v>
      </c>
      <c r="G512" s="27">
        <v>5</v>
      </c>
    </row>
    <row r="513" spans="1:7" ht="15.75" customHeight="1">
      <c r="A513" s="27">
        <v>203</v>
      </c>
      <c r="B513" s="30">
        <v>45840</v>
      </c>
      <c r="C513" s="27" t="s">
        <v>769</v>
      </c>
      <c r="D513" s="11" t="s">
        <v>62</v>
      </c>
      <c r="E513" s="1" t="s">
        <v>63</v>
      </c>
      <c r="F513" s="6" t="s">
        <v>497</v>
      </c>
      <c r="G513" s="27">
        <v>10</v>
      </c>
    </row>
    <row r="514" spans="1:7" ht="15.75" customHeight="1">
      <c r="A514" s="27">
        <v>203</v>
      </c>
      <c r="B514" s="30">
        <v>45840</v>
      </c>
      <c r="C514" s="27" t="s">
        <v>769</v>
      </c>
      <c r="D514" s="11" t="s">
        <v>62</v>
      </c>
      <c r="E514" s="1" t="s">
        <v>63</v>
      </c>
      <c r="F514" s="6" t="s">
        <v>482</v>
      </c>
      <c r="G514" s="27">
        <v>3</v>
      </c>
    </row>
    <row r="515" spans="1:7" ht="15.75" customHeight="1">
      <c r="A515" s="27">
        <v>203</v>
      </c>
      <c r="B515" s="30">
        <v>45840</v>
      </c>
      <c r="C515" s="27" t="s">
        <v>769</v>
      </c>
      <c r="D515" s="11" t="s">
        <v>62</v>
      </c>
      <c r="E515" s="1" t="s">
        <v>63</v>
      </c>
      <c r="F515" s="6" t="s">
        <v>484</v>
      </c>
      <c r="G515" s="27">
        <v>2</v>
      </c>
    </row>
    <row r="516" spans="1:7" ht="15.75" customHeight="1">
      <c r="A516" s="27">
        <v>203</v>
      </c>
      <c r="B516" s="30">
        <v>45840</v>
      </c>
      <c r="C516" s="27" t="s">
        <v>769</v>
      </c>
      <c r="D516" s="11" t="s">
        <v>62</v>
      </c>
      <c r="E516" s="1" t="s">
        <v>63</v>
      </c>
      <c r="F516" s="6" t="s">
        <v>533</v>
      </c>
      <c r="G516" s="27">
        <v>2</v>
      </c>
    </row>
    <row r="517" spans="1:7" ht="15.75" customHeight="1">
      <c r="A517" s="27">
        <v>203</v>
      </c>
      <c r="B517" s="30">
        <v>45840</v>
      </c>
      <c r="C517" s="27" t="s">
        <v>769</v>
      </c>
      <c r="D517" s="11" t="s">
        <v>62</v>
      </c>
      <c r="E517" s="1" t="s">
        <v>63</v>
      </c>
      <c r="F517" s="6" t="s">
        <v>598</v>
      </c>
      <c r="G517" s="27">
        <v>1</v>
      </c>
    </row>
    <row r="518" spans="1:7" ht="15.75" customHeight="1">
      <c r="A518" s="27">
        <v>204</v>
      </c>
      <c r="B518" s="30">
        <v>45841</v>
      </c>
      <c r="C518" s="27" t="s">
        <v>770</v>
      </c>
      <c r="D518" s="5" t="s">
        <v>479</v>
      </c>
      <c r="E518" s="1">
        <v>16</v>
      </c>
      <c r="F518" s="6" t="s">
        <v>544</v>
      </c>
      <c r="G518" s="27">
        <v>2</v>
      </c>
    </row>
    <row r="519" spans="1:7" ht="15.75" customHeight="1">
      <c r="A519" s="27">
        <v>204</v>
      </c>
      <c r="B519" s="30">
        <v>45841</v>
      </c>
      <c r="C519" s="27" t="s">
        <v>770</v>
      </c>
      <c r="D519" s="11" t="s">
        <v>62</v>
      </c>
      <c r="E519" s="1" t="s">
        <v>63</v>
      </c>
      <c r="F519" s="6" t="s">
        <v>497</v>
      </c>
      <c r="G519" s="27">
        <v>6</v>
      </c>
    </row>
    <row r="520" spans="1:7" ht="15.75" customHeight="1">
      <c r="A520" s="27">
        <v>204</v>
      </c>
      <c r="B520" s="30">
        <v>45841</v>
      </c>
      <c r="C520" s="27" t="s">
        <v>770</v>
      </c>
      <c r="D520" s="5" t="s">
        <v>586</v>
      </c>
      <c r="E520" s="1">
        <v>1</v>
      </c>
      <c r="F520" s="6" t="s">
        <v>585</v>
      </c>
      <c r="G520" s="27">
        <v>5</v>
      </c>
    </row>
    <row r="521" spans="1:7" ht="15.75" customHeight="1">
      <c r="A521" s="27">
        <v>204</v>
      </c>
      <c r="B521" s="30">
        <v>45841</v>
      </c>
      <c r="C521" s="27" t="s">
        <v>770</v>
      </c>
      <c r="D521" s="11" t="s">
        <v>62</v>
      </c>
      <c r="E521" s="1" t="s">
        <v>63</v>
      </c>
      <c r="F521" s="6" t="s">
        <v>593</v>
      </c>
      <c r="G521" s="27">
        <v>1</v>
      </c>
    </row>
    <row r="522" spans="1:7" ht="15.75" customHeight="1">
      <c r="A522" s="27">
        <v>205</v>
      </c>
      <c r="B522" s="30">
        <v>45841</v>
      </c>
      <c r="C522" s="27" t="s">
        <v>771</v>
      </c>
      <c r="D522" s="11" t="s">
        <v>62</v>
      </c>
      <c r="E522" s="1" t="s">
        <v>63</v>
      </c>
      <c r="F522" s="6" t="s">
        <v>557</v>
      </c>
      <c r="G522" s="27">
        <v>3</v>
      </c>
    </row>
    <row r="523" spans="1:7" ht="15.75" customHeight="1">
      <c r="A523" s="27">
        <v>205</v>
      </c>
      <c r="B523" s="30">
        <v>45841</v>
      </c>
      <c r="C523" s="27" t="s">
        <v>771</v>
      </c>
      <c r="D523" s="11" t="s">
        <v>62</v>
      </c>
      <c r="E523" s="1" t="s">
        <v>63</v>
      </c>
      <c r="F523" s="6" t="s">
        <v>551</v>
      </c>
      <c r="G523" s="27">
        <v>2</v>
      </c>
    </row>
    <row r="524" spans="1:7" ht="15.75" customHeight="1">
      <c r="A524" s="27">
        <v>205</v>
      </c>
      <c r="B524" s="30">
        <v>45841</v>
      </c>
      <c r="C524" s="27" t="s">
        <v>771</v>
      </c>
      <c r="D524" s="5" t="s">
        <v>479</v>
      </c>
      <c r="E524" s="1">
        <v>32</v>
      </c>
      <c r="F524" s="6" t="s">
        <v>611</v>
      </c>
      <c r="G524" s="27">
        <v>1</v>
      </c>
    </row>
    <row r="525" spans="1:7" ht="15.75" customHeight="1">
      <c r="A525" s="27">
        <v>205</v>
      </c>
      <c r="B525" s="30">
        <v>45841</v>
      </c>
      <c r="C525" s="27" t="s">
        <v>771</v>
      </c>
      <c r="D525" s="11" t="s">
        <v>62</v>
      </c>
      <c r="E525" s="1" t="s">
        <v>63</v>
      </c>
      <c r="F525" s="6" t="s">
        <v>630</v>
      </c>
      <c r="G525" s="27">
        <v>2</v>
      </c>
    </row>
    <row r="526" spans="1:7" ht="15.75" customHeight="1">
      <c r="A526" s="27">
        <v>205</v>
      </c>
      <c r="B526" s="30">
        <v>45841</v>
      </c>
      <c r="C526" s="27" t="s">
        <v>771</v>
      </c>
      <c r="D526" s="11" t="s">
        <v>62</v>
      </c>
      <c r="E526" s="1" t="s">
        <v>63</v>
      </c>
      <c r="F526" s="6" t="s">
        <v>546</v>
      </c>
      <c r="G526" s="27">
        <v>2</v>
      </c>
    </row>
    <row r="527" spans="1:7" ht="15.75" customHeight="1">
      <c r="A527" s="27">
        <v>206</v>
      </c>
      <c r="B527" s="30">
        <v>45841</v>
      </c>
      <c r="C527" s="27" t="s">
        <v>772</v>
      </c>
      <c r="D527" s="5" t="s">
        <v>586</v>
      </c>
      <c r="E527" s="1">
        <v>1</v>
      </c>
      <c r="F527" s="6" t="s">
        <v>585</v>
      </c>
      <c r="G527" s="27">
        <v>5</v>
      </c>
    </row>
    <row r="528" spans="1:7" ht="15.75" customHeight="1">
      <c r="A528" s="27">
        <v>206</v>
      </c>
      <c r="B528" s="30">
        <v>45841</v>
      </c>
      <c r="C528" s="27" t="s">
        <v>772</v>
      </c>
      <c r="D528" s="11" t="s">
        <v>62</v>
      </c>
      <c r="E528" s="1" t="s">
        <v>63</v>
      </c>
      <c r="F528" s="6" t="s">
        <v>546</v>
      </c>
      <c r="G528" s="27">
        <v>2</v>
      </c>
    </row>
    <row r="529" spans="1:7" ht="15.75" customHeight="1">
      <c r="A529" s="27">
        <v>206</v>
      </c>
      <c r="B529" s="30">
        <v>45841</v>
      </c>
      <c r="C529" s="27" t="s">
        <v>772</v>
      </c>
      <c r="D529" s="11" t="s">
        <v>62</v>
      </c>
      <c r="E529" s="1" t="s">
        <v>63</v>
      </c>
      <c r="F529" s="6" t="s">
        <v>533</v>
      </c>
      <c r="G529" s="27">
        <v>4</v>
      </c>
    </row>
    <row r="530" spans="1:7" ht="15.75" customHeight="1">
      <c r="A530" s="27">
        <v>206</v>
      </c>
      <c r="B530" s="30">
        <v>45841</v>
      </c>
      <c r="C530" s="27" t="s">
        <v>772</v>
      </c>
      <c r="D530" s="5" t="s">
        <v>489</v>
      </c>
      <c r="E530" s="1">
        <v>31</v>
      </c>
      <c r="F530" s="6" t="s">
        <v>609</v>
      </c>
      <c r="G530" s="27">
        <v>1</v>
      </c>
    </row>
    <row r="531" spans="1:7" ht="15.75" customHeight="1">
      <c r="A531" s="27">
        <v>206</v>
      </c>
      <c r="B531" s="30">
        <v>45841</v>
      </c>
      <c r="C531" s="27" t="s">
        <v>772</v>
      </c>
      <c r="D531" s="5" t="s">
        <v>489</v>
      </c>
      <c r="E531" s="1">
        <v>30</v>
      </c>
      <c r="F531" s="6" t="s">
        <v>608</v>
      </c>
      <c r="G531" s="27">
        <v>1</v>
      </c>
    </row>
    <row r="532" spans="1:7" ht="15.75" customHeight="1">
      <c r="A532" s="27">
        <v>206</v>
      </c>
      <c r="B532" s="30">
        <v>45841</v>
      </c>
      <c r="C532" s="27" t="s">
        <v>772</v>
      </c>
      <c r="D532" s="5" t="s">
        <v>489</v>
      </c>
      <c r="E532" s="1">
        <v>29</v>
      </c>
      <c r="F532" s="6" t="s">
        <v>606</v>
      </c>
      <c r="G532" s="27">
        <v>1</v>
      </c>
    </row>
    <row r="533" spans="1:7" ht="15.75" customHeight="1">
      <c r="A533" s="27">
        <v>206</v>
      </c>
      <c r="B533" s="30">
        <v>45841</v>
      </c>
      <c r="C533" s="27" t="s">
        <v>772</v>
      </c>
      <c r="D533" s="5" t="s">
        <v>489</v>
      </c>
      <c r="E533" s="1">
        <v>28</v>
      </c>
      <c r="F533" s="6" t="s">
        <v>604</v>
      </c>
      <c r="G533" s="27">
        <v>1</v>
      </c>
    </row>
    <row r="534" spans="1:7" ht="15.75" customHeight="1">
      <c r="A534" s="27">
        <v>206</v>
      </c>
      <c r="B534" s="30">
        <v>45841</v>
      </c>
      <c r="C534" s="27" t="s">
        <v>772</v>
      </c>
      <c r="D534" s="5" t="s">
        <v>489</v>
      </c>
      <c r="E534" s="1">
        <v>27</v>
      </c>
      <c r="F534" s="6" t="s">
        <v>602</v>
      </c>
      <c r="G534" s="27">
        <v>1</v>
      </c>
    </row>
    <row r="535" spans="1:7" ht="15.75" customHeight="1">
      <c r="A535" s="27">
        <v>206</v>
      </c>
      <c r="B535" s="30">
        <v>45841</v>
      </c>
      <c r="C535" s="27" t="s">
        <v>772</v>
      </c>
      <c r="D535" s="11" t="s">
        <v>62</v>
      </c>
      <c r="E535" s="1" t="s">
        <v>63</v>
      </c>
      <c r="F535" s="6" t="s">
        <v>497</v>
      </c>
      <c r="G535" s="27">
        <v>10</v>
      </c>
    </row>
    <row r="536" spans="1:7" ht="15.75" customHeight="1">
      <c r="A536" s="27">
        <v>206</v>
      </c>
      <c r="B536" s="30">
        <v>45841</v>
      </c>
      <c r="C536" s="27" t="s">
        <v>772</v>
      </c>
      <c r="D536" s="11" t="s">
        <v>62</v>
      </c>
      <c r="E536" s="1" t="s">
        <v>63</v>
      </c>
      <c r="F536" s="6" t="s">
        <v>557</v>
      </c>
      <c r="G536" s="27">
        <v>5</v>
      </c>
    </row>
    <row r="537" spans="1:7" ht="15.75" customHeight="1">
      <c r="A537" s="27">
        <v>206</v>
      </c>
      <c r="B537" s="30">
        <v>45841</v>
      </c>
      <c r="C537" s="27" t="s">
        <v>772</v>
      </c>
      <c r="D537" s="11" t="s">
        <v>62</v>
      </c>
      <c r="E537" s="1" t="s">
        <v>63</v>
      </c>
      <c r="F537" s="6" t="s">
        <v>514</v>
      </c>
      <c r="G537" s="27">
        <v>3</v>
      </c>
    </row>
    <row r="538" spans="1:7" ht="15.75" customHeight="1">
      <c r="A538" s="27">
        <v>206</v>
      </c>
      <c r="B538" s="30">
        <v>45841</v>
      </c>
      <c r="C538" s="27" t="s">
        <v>772</v>
      </c>
      <c r="D538" s="5" t="s">
        <v>479</v>
      </c>
      <c r="E538" s="1">
        <v>33</v>
      </c>
      <c r="F538" s="6" t="s">
        <v>628</v>
      </c>
      <c r="G538" s="27">
        <v>4</v>
      </c>
    </row>
    <row r="539" spans="1:7" ht="15.75" customHeight="1">
      <c r="A539" s="27">
        <v>206</v>
      </c>
      <c r="B539" s="30">
        <v>45841</v>
      </c>
      <c r="C539" s="27" t="s">
        <v>772</v>
      </c>
      <c r="D539" s="11" t="s">
        <v>62</v>
      </c>
      <c r="E539" s="1" t="s">
        <v>63</v>
      </c>
      <c r="F539" s="6" t="s">
        <v>630</v>
      </c>
      <c r="G539" s="27">
        <v>2</v>
      </c>
    </row>
    <row r="540" spans="1:7" ht="15.75" customHeight="1">
      <c r="A540" s="27">
        <v>206</v>
      </c>
      <c r="B540" s="30">
        <v>45841</v>
      </c>
      <c r="C540" s="27" t="s">
        <v>772</v>
      </c>
      <c r="D540" s="11" t="s">
        <v>62</v>
      </c>
      <c r="E540" s="1" t="s">
        <v>63</v>
      </c>
      <c r="F540" s="6" t="s">
        <v>475</v>
      </c>
      <c r="G540" s="27">
        <v>2</v>
      </c>
    </row>
    <row r="541" spans="1:7" ht="15.75" customHeight="1">
      <c r="A541" s="27">
        <v>207</v>
      </c>
      <c r="B541" s="30">
        <v>45842</v>
      </c>
      <c r="C541" s="27" t="s">
        <v>773</v>
      </c>
      <c r="D541" s="5" t="s">
        <v>586</v>
      </c>
      <c r="E541" s="1">
        <v>1</v>
      </c>
      <c r="F541" s="6" t="s">
        <v>585</v>
      </c>
      <c r="G541" s="27">
        <v>5</v>
      </c>
    </row>
    <row r="542" spans="1:7" ht="15.75" customHeight="1">
      <c r="A542" s="27">
        <v>207</v>
      </c>
      <c r="B542" s="30">
        <v>45842</v>
      </c>
      <c r="C542" s="27" t="s">
        <v>773</v>
      </c>
      <c r="D542" s="5" t="s">
        <v>531</v>
      </c>
      <c r="E542" s="1">
        <v>18</v>
      </c>
      <c r="F542" s="6" t="s">
        <v>548</v>
      </c>
      <c r="G542" s="27">
        <v>100</v>
      </c>
    </row>
    <row r="543" spans="1:7" ht="15.75" customHeight="1">
      <c r="A543" s="27">
        <v>207</v>
      </c>
      <c r="B543" s="30">
        <v>45842</v>
      </c>
      <c r="C543" s="27" t="s">
        <v>773</v>
      </c>
      <c r="D543" s="11" t="s">
        <v>62</v>
      </c>
      <c r="E543" s="1" t="s">
        <v>63</v>
      </c>
      <c r="F543" s="6" t="s">
        <v>550</v>
      </c>
      <c r="G543" s="27">
        <v>100</v>
      </c>
    </row>
    <row r="544" spans="1:7" ht="15.75" customHeight="1">
      <c r="A544" s="27">
        <v>207</v>
      </c>
      <c r="B544" s="30">
        <v>45842</v>
      </c>
      <c r="C544" s="27" t="s">
        <v>773</v>
      </c>
      <c r="D544" s="5" t="s">
        <v>489</v>
      </c>
      <c r="E544" s="1">
        <v>14</v>
      </c>
      <c r="F544" s="6" t="s">
        <v>540</v>
      </c>
      <c r="G544" s="27">
        <v>3</v>
      </c>
    </row>
    <row r="545" spans="1:7" ht="15.75" customHeight="1">
      <c r="A545" s="27">
        <v>207</v>
      </c>
      <c r="B545" s="30">
        <v>45842</v>
      </c>
      <c r="C545" s="27" t="s">
        <v>773</v>
      </c>
      <c r="D545" s="5" t="s">
        <v>489</v>
      </c>
      <c r="E545" s="1">
        <v>27</v>
      </c>
      <c r="F545" s="6" t="s">
        <v>602</v>
      </c>
      <c r="G545" s="27">
        <v>3</v>
      </c>
    </row>
    <row r="546" spans="1:7" ht="15.75" customHeight="1">
      <c r="A546" s="27">
        <v>207</v>
      </c>
      <c r="B546" s="30">
        <v>45842</v>
      </c>
      <c r="C546" s="27" t="s">
        <v>773</v>
      </c>
      <c r="D546" s="5" t="s">
        <v>479</v>
      </c>
      <c r="E546" s="1">
        <v>3</v>
      </c>
      <c r="F546" s="6" t="s">
        <v>491</v>
      </c>
      <c r="G546" s="27">
        <v>5</v>
      </c>
    </row>
    <row r="547" spans="1:7" ht="15.75" customHeight="1">
      <c r="A547" s="27">
        <v>208</v>
      </c>
      <c r="B547" s="30">
        <v>45842</v>
      </c>
      <c r="C547" s="27" t="s">
        <v>774</v>
      </c>
      <c r="D547" s="11" t="s">
        <v>62</v>
      </c>
      <c r="E547" s="1" t="s">
        <v>63</v>
      </c>
      <c r="F547" s="6" t="s">
        <v>497</v>
      </c>
      <c r="G547" s="27">
        <v>5</v>
      </c>
    </row>
    <row r="548" spans="1:7" ht="15.75" customHeight="1">
      <c r="A548" s="27">
        <v>208</v>
      </c>
      <c r="B548" s="30">
        <v>45842</v>
      </c>
      <c r="C548" s="27" t="s">
        <v>774</v>
      </c>
      <c r="D548" s="5" t="s">
        <v>479</v>
      </c>
      <c r="E548" s="1">
        <v>5</v>
      </c>
      <c r="F548" s="6" t="s">
        <v>495</v>
      </c>
      <c r="G548" s="27">
        <v>5</v>
      </c>
    </row>
    <row r="549" spans="1:7" ht="15.75" customHeight="1">
      <c r="A549" s="27">
        <v>208</v>
      </c>
      <c r="B549" s="30">
        <v>45842</v>
      </c>
      <c r="C549" s="27" t="s">
        <v>774</v>
      </c>
      <c r="D549" s="5" t="s">
        <v>586</v>
      </c>
      <c r="E549" s="1">
        <v>1</v>
      </c>
      <c r="F549" s="6" t="s">
        <v>585</v>
      </c>
      <c r="G549" s="27">
        <v>5</v>
      </c>
    </row>
    <row r="550" spans="1:7" ht="15.75" customHeight="1">
      <c r="A550" s="27">
        <v>208</v>
      </c>
      <c r="B550" s="30">
        <v>45842</v>
      </c>
      <c r="C550" s="27" t="s">
        <v>774</v>
      </c>
      <c r="D550" s="5" t="s">
        <v>489</v>
      </c>
      <c r="E550" s="1">
        <v>31</v>
      </c>
      <c r="F550" s="6" t="s">
        <v>609</v>
      </c>
      <c r="G550" s="27">
        <v>2</v>
      </c>
    </row>
    <row r="551" spans="1:7" ht="15.75" customHeight="1">
      <c r="A551" s="27">
        <v>208</v>
      </c>
      <c r="B551" s="30">
        <v>45842</v>
      </c>
      <c r="C551" s="27" t="s">
        <v>774</v>
      </c>
      <c r="D551" s="5" t="s">
        <v>489</v>
      </c>
      <c r="E551" s="1">
        <v>30</v>
      </c>
      <c r="F551" s="6" t="s">
        <v>608</v>
      </c>
      <c r="G551" s="27">
        <v>2</v>
      </c>
    </row>
    <row r="552" spans="1:7" ht="15.75" customHeight="1">
      <c r="A552" s="27">
        <v>208</v>
      </c>
      <c r="B552" s="30">
        <v>45842</v>
      </c>
      <c r="C552" s="27" t="s">
        <v>774</v>
      </c>
      <c r="D552" s="5" t="s">
        <v>489</v>
      </c>
      <c r="E552" s="1">
        <v>29</v>
      </c>
      <c r="F552" s="6" t="s">
        <v>606</v>
      </c>
      <c r="G552" s="27">
        <v>2</v>
      </c>
    </row>
    <row r="553" spans="1:7" ht="15.75" customHeight="1">
      <c r="A553" s="27">
        <v>208</v>
      </c>
      <c r="B553" s="30">
        <v>45842</v>
      </c>
      <c r="C553" s="27" t="s">
        <v>774</v>
      </c>
      <c r="D553" s="5" t="s">
        <v>489</v>
      </c>
      <c r="E553" s="1">
        <v>28</v>
      </c>
      <c r="F553" s="6" t="s">
        <v>604</v>
      </c>
      <c r="G553" s="27">
        <v>2</v>
      </c>
    </row>
    <row r="554" spans="1:7" ht="15.75" customHeight="1">
      <c r="A554" s="27">
        <v>208</v>
      </c>
      <c r="B554" s="30">
        <v>45842</v>
      </c>
      <c r="C554" s="27" t="s">
        <v>774</v>
      </c>
      <c r="D554" s="5" t="s">
        <v>489</v>
      </c>
      <c r="E554" s="1">
        <v>27</v>
      </c>
      <c r="F554" s="6" t="s">
        <v>602</v>
      </c>
      <c r="G554" s="27">
        <v>2</v>
      </c>
    </row>
    <row r="555" spans="1:7" ht="15.75" customHeight="1">
      <c r="A555" s="27">
        <v>208</v>
      </c>
      <c r="B555" s="30">
        <v>45842</v>
      </c>
      <c r="C555" s="27" t="s">
        <v>774</v>
      </c>
      <c r="D555" s="11" t="s">
        <v>62</v>
      </c>
      <c r="E555" s="1" t="s">
        <v>63</v>
      </c>
      <c r="F555" s="6" t="s">
        <v>501</v>
      </c>
      <c r="G555" s="27">
        <v>3</v>
      </c>
    </row>
    <row r="556" spans="1:7" ht="15.75" customHeight="1">
      <c r="A556" s="27">
        <v>208</v>
      </c>
      <c r="B556" s="30">
        <v>45842</v>
      </c>
      <c r="C556" s="27" t="s">
        <v>774</v>
      </c>
      <c r="D556" s="11" t="s">
        <v>62</v>
      </c>
      <c r="E556" s="1" t="s">
        <v>63</v>
      </c>
      <c r="F556" s="6" t="s">
        <v>503</v>
      </c>
      <c r="G556" s="27">
        <v>3</v>
      </c>
    </row>
    <row r="557" spans="1:7" ht="15.75" customHeight="1">
      <c r="A557" s="27">
        <v>208</v>
      </c>
      <c r="B557" s="30">
        <v>45842</v>
      </c>
      <c r="C557" s="27" t="s">
        <v>774</v>
      </c>
      <c r="D557" s="11" t="s">
        <v>62</v>
      </c>
      <c r="E557" s="1" t="s">
        <v>63</v>
      </c>
      <c r="F557" s="6" t="s">
        <v>533</v>
      </c>
      <c r="G557" s="27">
        <v>2</v>
      </c>
    </row>
    <row r="558" spans="1:7" ht="15.75" customHeight="1">
      <c r="A558" s="27">
        <v>208</v>
      </c>
      <c r="B558" s="30">
        <v>45842</v>
      </c>
      <c r="C558" s="27" t="s">
        <v>774</v>
      </c>
      <c r="D558" s="11" t="s">
        <v>62</v>
      </c>
      <c r="E558" s="1" t="s">
        <v>63</v>
      </c>
      <c r="F558" s="6" t="s">
        <v>630</v>
      </c>
      <c r="G558" s="27">
        <v>2</v>
      </c>
    </row>
    <row r="559" spans="1:7" ht="15.75" customHeight="1">
      <c r="A559" s="27">
        <v>208</v>
      </c>
      <c r="B559" s="30">
        <v>45842</v>
      </c>
      <c r="C559" s="27" t="s">
        <v>774</v>
      </c>
      <c r="D559" s="5" t="s">
        <v>479</v>
      </c>
      <c r="E559" s="1">
        <v>16</v>
      </c>
      <c r="F559" s="6" t="s">
        <v>544</v>
      </c>
      <c r="G559" s="27">
        <v>2</v>
      </c>
    </row>
    <row r="560" spans="1:7" ht="15.75" customHeight="1">
      <c r="A560" s="27">
        <v>209</v>
      </c>
      <c r="B560" s="30">
        <v>45845</v>
      </c>
      <c r="C560" s="27" t="s">
        <v>775</v>
      </c>
      <c r="D560" s="5" t="s">
        <v>586</v>
      </c>
      <c r="E560" s="1">
        <v>1</v>
      </c>
      <c r="F560" s="6" t="s">
        <v>585</v>
      </c>
      <c r="G560" s="27">
        <v>5</v>
      </c>
    </row>
    <row r="561" spans="1:7" ht="15.75" customHeight="1">
      <c r="A561" s="27">
        <v>209</v>
      </c>
      <c r="B561" s="30">
        <v>45845</v>
      </c>
      <c r="C561" s="27" t="s">
        <v>775</v>
      </c>
      <c r="D561" s="11" t="s">
        <v>62</v>
      </c>
      <c r="E561" s="1" t="s">
        <v>63</v>
      </c>
      <c r="F561" s="6" t="s">
        <v>557</v>
      </c>
      <c r="G561" s="27">
        <v>5</v>
      </c>
    </row>
    <row r="562" spans="1:7" ht="15.75" customHeight="1">
      <c r="A562" s="27">
        <v>209</v>
      </c>
      <c r="B562" s="30">
        <v>45845</v>
      </c>
      <c r="C562" s="27" t="s">
        <v>775</v>
      </c>
      <c r="D562" s="11" t="s">
        <v>62</v>
      </c>
      <c r="E562" s="1" t="s">
        <v>63</v>
      </c>
      <c r="F562" s="6" t="s">
        <v>551</v>
      </c>
      <c r="G562" s="27">
        <v>2</v>
      </c>
    </row>
    <row r="563" spans="1:7" ht="15.75" customHeight="1">
      <c r="A563" s="27">
        <v>209</v>
      </c>
      <c r="B563" s="30">
        <v>45845</v>
      </c>
      <c r="C563" s="27" t="s">
        <v>775</v>
      </c>
      <c r="D563" s="5" t="s">
        <v>489</v>
      </c>
      <c r="E563" s="1">
        <v>28</v>
      </c>
      <c r="F563" s="6" t="s">
        <v>604</v>
      </c>
      <c r="G563" s="27">
        <v>2</v>
      </c>
    </row>
    <row r="564" spans="1:7" ht="15.75" customHeight="1">
      <c r="A564" s="27">
        <v>209</v>
      </c>
      <c r="B564" s="30">
        <v>45845</v>
      </c>
      <c r="C564" s="27" t="s">
        <v>775</v>
      </c>
      <c r="D564" s="5" t="s">
        <v>489</v>
      </c>
      <c r="E564" s="1">
        <v>27</v>
      </c>
      <c r="F564" s="6" t="s">
        <v>602</v>
      </c>
      <c r="G564" s="27">
        <v>2</v>
      </c>
    </row>
    <row r="565" spans="1:7" ht="15.75" customHeight="1">
      <c r="A565" s="27">
        <v>209</v>
      </c>
      <c r="B565" s="30">
        <v>45845</v>
      </c>
      <c r="C565" s="27" t="s">
        <v>775</v>
      </c>
      <c r="D565" s="5" t="s">
        <v>531</v>
      </c>
      <c r="E565" s="1">
        <v>18</v>
      </c>
      <c r="F565" s="6" t="s">
        <v>548</v>
      </c>
      <c r="G565" s="27">
        <v>50</v>
      </c>
    </row>
    <row r="566" spans="1:7" ht="15.75" customHeight="1">
      <c r="A566" s="27">
        <v>209</v>
      </c>
      <c r="B566" s="30">
        <v>45845</v>
      </c>
      <c r="C566" s="27" t="s">
        <v>775</v>
      </c>
      <c r="D566" s="11" t="s">
        <v>62</v>
      </c>
      <c r="E566" s="1" t="s">
        <v>63</v>
      </c>
      <c r="F566" s="6" t="s">
        <v>501</v>
      </c>
      <c r="G566" s="27">
        <v>10</v>
      </c>
    </row>
    <row r="567" spans="1:7" ht="15.75" customHeight="1">
      <c r="A567" s="27">
        <v>209</v>
      </c>
      <c r="B567" s="30">
        <v>45845</v>
      </c>
      <c r="C567" s="27" t="s">
        <v>775</v>
      </c>
      <c r="D567" s="11" t="s">
        <v>62</v>
      </c>
      <c r="E567" s="1" t="s">
        <v>63</v>
      </c>
      <c r="F567" s="6" t="s">
        <v>503</v>
      </c>
      <c r="G567" s="27">
        <v>10</v>
      </c>
    </row>
    <row r="568" spans="1:7" ht="15.75" customHeight="1">
      <c r="A568" s="27">
        <v>210</v>
      </c>
      <c r="B568" s="30">
        <v>45846</v>
      </c>
      <c r="C568" s="27" t="s">
        <v>776</v>
      </c>
      <c r="D568" s="5" t="s">
        <v>531</v>
      </c>
      <c r="E568" s="1">
        <v>18</v>
      </c>
      <c r="F568" s="6" t="s">
        <v>548</v>
      </c>
      <c r="G568" s="27">
        <v>100</v>
      </c>
    </row>
    <row r="569" spans="1:7" ht="15.75" customHeight="1">
      <c r="A569" s="27">
        <v>210</v>
      </c>
      <c r="B569" s="30">
        <v>45846</v>
      </c>
      <c r="C569" s="27" t="s">
        <v>776</v>
      </c>
      <c r="D569" s="5" t="s">
        <v>479</v>
      </c>
      <c r="E569" s="1">
        <v>5</v>
      </c>
      <c r="F569" s="6" t="s">
        <v>495</v>
      </c>
      <c r="G569" s="27">
        <v>5</v>
      </c>
    </row>
    <row r="570" spans="1:7" ht="15.75" customHeight="1">
      <c r="A570" s="27">
        <v>210</v>
      </c>
      <c r="B570" s="30">
        <v>45846</v>
      </c>
      <c r="C570" s="27" t="s">
        <v>776</v>
      </c>
      <c r="D570" s="11" t="s">
        <v>62</v>
      </c>
      <c r="E570" s="1" t="s">
        <v>63</v>
      </c>
      <c r="F570" s="6" t="s">
        <v>498</v>
      </c>
      <c r="G570" s="27">
        <v>10</v>
      </c>
    </row>
    <row r="571" spans="1:7" ht="15.75" customHeight="1">
      <c r="A571" s="27">
        <v>210</v>
      </c>
      <c r="B571" s="30">
        <v>45846</v>
      </c>
      <c r="C571" s="27" t="s">
        <v>776</v>
      </c>
      <c r="D571" s="11" t="s">
        <v>62</v>
      </c>
      <c r="E571" s="1" t="s">
        <v>63</v>
      </c>
      <c r="F571" s="6" t="s">
        <v>557</v>
      </c>
      <c r="G571" s="27">
        <v>5</v>
      </c>
    </row>
    <row r="572" spans="1:7" ht="15.75" customHeight="1">
      <c r="A572" s="27">
        <v>210</v>
      </c>
      <c r="B572" s="30">
        <v>45846</v>
      </c>
      <c r="C572" s="27" t="s">
        <v>776</v>
      </c>
      <c r="D572" s="5" t="s">
        <v>489</v>
      </c>
      <c r="E572" s="1">
        <v>31</v>
      </c>
      <c r="F572" s="6" t="s">
        <v>609</v>
      </c>
      <c r="G572" s="27">
        <v>1</v>
      </c>
    </row>
    <row r="573" spans="1:7" ht="15.75" customHeight="1">
      <c r="A573" s="27">
        <v>210</v>
      </c>
      <c r="B573" s="30">
        <v>45846</v>
      </c>
      <c r="C573" s="27" t="s">
        <v>776</v>
      </c>
      <c r="D573" s="5" t="s">
        <v>489</v>
      </c>
      <c r="E573" s="1">
        <v>30</v>
      </c>
      <c r="F573" s="6" t="s">
        <v>608</v>
      </c>
      <c r="G573" s="27">
        <v>1</v>
      </c>
    </row>
    <row r="574" spans="1:7" ht="15.75" customHeight="1">
      <c r="A574" s="27">
        <v>210</v>
      </c>
      <c r="B574" s="30">
        <v>45846</v>
      </c>
      <c r="C574" s="27" t="s">
        <v>776</v>
      </c>
      <c r="D574" s="5" t="s">
        <v>489</v>
      </c>
      <c r="E574" s="1">
        <v>29</v>
      </c>
      <c r="F574" s="6" t="s">
        <v>606</v>
      </c>
      <c r="G574" s="27">
        <v>1</v>
      </c>
    </row>
    <row r="575" spans="1:7" ht="15.75" customHeight="1">
      <c r="A575" s="27">
        <v>210</v>
      </c>
      <c r="B575" s="30">
        <v>45846</v>
      </c>
      <c r="C575" s="27" t="s">
        <v>776</v>
      </c>
      <c r="D575" s="5" t="s">
        <v>489</v>
      </c>
      <c r="E575" s="1">
        <v>28</v>
      </c>
      <c r="F575" s="6" t="s">
        <v>604</v>
      </c>
      <c r="G575" s="27">
        <v>1</v>
      </c>
    </row>
    <row r="576" spans="1:7" ht="15.75" customHeight="1">
      <c r="A576" s="27">
        <v>210</v>
      </c>
      <c r="B576" s="30">
        <v>45846</v>
      </c>
      <c r="C576" s="27" t="s">
        <v>776</v>
      </c>
      <c r="D576" s="5" t="s">
        <v>489</v>
      </c>
      <c r="E576" s="1">
        <v>27</v>
      </c>
      <c r="F576" s="6" t="s">
        <v>602</v>
      </c>
      <c r="G576" s="27">
        <v>1</v>
      </c>
    </row>
    <row r="577" spans="1:7" ht="15.75" customHeight="1">
      <c r="A577" s="27">
        <v>210</v>
      </c>
      <c r="B577" s="30">
        <v>45846</v>
      </c>
      <c r="C577" s="27" t="s">
        <v>776</v>
      </c>
      <c r="D577" s="11" t="s">
        <v>62</v>
      </c>
      <c r="E577" s="1" t="s">
        <v>63</v>
      </c>
      <c r="F577" s="6" t="s">
        <v>578</v>
      </c>
      <c r="G577" s="27">
        <v>3</v>
      </c>
    </row>
    <row r="578" spans="1:7" ht="15.75" customHeight="1">
      <c r="A578" s="27">
        <v>210</v>
      </c>
      <c r="B578" s="30">
        <v>45846</v>
      </c>
      <c r="C578" s="27" t="s">
        <v>776</v>
      </c>
      <c r="D578" s="11" t="s">
        <v>62</v>
      </c>
      <c r="E578" s="1" t="s">
        <v>63</v>
      </c>
      <c r="F578" s="6" t="s">
        <v>565</v>
      </c>
      <c r="G578" s="27">
        <v>2</v>
      </c>
    </row>
    <row r="579" spans="1:7" ht="15.75" customHeight="1">
      <c r="A579" s="27">
        <v>210</v>
      </c>
      <c r="B579" s="30">
        <v>45846</v>
      </c>
      <c r="C579" s="27" t="s">
        <v>776</v>
      </c>
      <c r="D579" s="11" t="s">
        <v>62</v>
      </c>
      <c r="E579" s="1" t="s">
        <v>63</v>
      </c>
      <c r="F579" s="6" t="s">
        <v>566</v>
      </c>
      <c r="G579" s="27">
        <v>2</v>
      </c>
    </row>
    <row r="580" spans="1:7" ht="15.75" customHeight="1">
      <c r="A580" s="27">
        <v>210</v>
      </c>
      <c r="B580" s="30">
        <v>45846</v>
      </c>
      <c r="C580" s="27" t="s">
        <v>776</v>
      </c>
      <c r="D580" s="11" t="s">
        <v>62</v>
      </c>
      <c r="E580" s="1" t="s">
        <v>63</v>
      </c>
      <c r="F580" s="6" t="s">
        <v>593</v>
      </c>
      <c r="G580" s="27">
        <v>1</v>
      </c>
    </row>
    <row r="581" spans="1:7" ht="15.75" customHeight="1">
      <c r="A581" s="27">
        <v>210</v>
      </c>
      <c r="B581" s="30">
        <v>45846</v>
      </c>
      <c r="C581" s="27" t="s">
        <v>776</v>
      </c>
      <c r="D581" s="5" t="s">
        <v>586</v>
      </c>
      <c r="E581" s="1">
        <v>1</v>
      </c>
      <c r="F581" s="6" t="s">
        <v>585</v>
      </c>
      <c r="G581" s="27">
        <v>5</v>
      </c>
    </row>
    <row r="582" spans="1:7" ht="15.75" customHeight="1">
      <c r="A582" s="27">
        <v>210</v>
      </c>
      <c r="B582" s="30">
        <v>45846</v>
      </c>
      <c r="C582" s="27" t="s">
        <v>776</v>
      </c>
      <c r="D582" s="11" t="s">
        <v>62</v>
      </c>
      <c r="E582" s="1" t="s">
        <v>63</v>
      </c>
      <c r="F582" s="6" t="s">
        <v>619</v>
      </c>
      <c r="G582" s="27">
        <v>50</v>
      </c>
    </row>
    <row r="583" spans="1:7" ht="15.75" customHeight="1">
      <c r="A583" s="27">
        <v>210</v>
      </c>
      <c r="B583" s="30">
        <v>45846</v>
      </c>
      <c r="C583" s="27" t="s">
        <v>776</v>
      </c>
      <c r="D583" s="11" t="s">
        <v>62</v>
      </c>
      <c r="E583" s="1" t="s">
        <v>63</v>
      </c>
      <c r="F583" s="6" t="s">
        <v>523</v>
      </c>
      <c r="G583" s="27">
        <v>20</v>
      </c>
    </row>
    <row r="584" spans="1:7" ht="15.75" customHeight="1">
      <c r="A584" s="27">
        <v>210</v>
      </c>
      <c r="B584" s="30">
        <v>45846</v>
      </c>
      <c r="C584" s="27" t="s">
        <v>776</v>
      </c>
      <c r="D584" s="11" t="s">
        <v>62</v>
      </c>
      <c r="E584" s="1" t="s">
        <v>63</v>
      </c>
      <c r="F584" s="6" t="s">
        <v>514</v>
      </c>
      <c r="G584" s="27">
        <v>2</v>
      </c>
    </row>
    <row r="585" spans="1:7" ht="15.75" customHeight="1">
      <c r="A585" s="27">
        <v>210</v>
      </c>
      <c r="B585" s="30">
        <v>45846</v>
      </c>
      <c r="C585" s="27" t="s">
        <v>776</v>
      </c>
      <c r="D585" s="5" t="s">
        <v>489</v>
      </c>
      <c r="E585" s="1">
        <v>14</v>
      </c>
      <c r="F585" s="6" t="s">
        <v>540</v>
      </c>
      <c r="G585" s="27">
        <v>5</v>
      </c>
    </row>
    <row r="586" spans="1:7" ht="15.75" customHeight="1">
      <c r="A586" s="27">
        <v>210</v>
      </c>
      <c r="B586" s="30">
        <v>45846</v>
      </c>
      <c r="C586" s="27" t="s">
        <v>776</v>
      </c>
      <c r="D586" s="11" t="s">
        <v>62</v>
      </c>
      <c r="E586" s="1" t="s">
        <v>63</v>
      </c>
      <c r="F586" s="6" t="s">
        <v>598</v>
      </c>
      <c r="G586" s="27">
        <v>2</v>
      </c>
    </row>
    <row r="587" spans="1:7" ht="15.75" customHeight="1">
      <c r="A587" s="27">
        <v>211</v>
      </c>
      <c r="B587" s="30">
        <v>45846</v>
      </c>
      <c r="C587" s="27" t="s">
        <v>777</v>
      </c>
      <c r="D587" s="5" t="s">
        <v>586</v>
      </c>
      <c r="E587" s="1">
        <v>1</v>
      </c>
      <c r="F587" s="6" t="s">
        <v>585</v>
      </c>
      <c r="G587" s="27">
        <v>5</v>
      </c>
    </row>
    <row r="588" spans="1:7" ht="15.75" customHeight="1">
      <c r="A588" s="27">
        <v>211</v>
      </c>
      <c r="B588" s="30">
        <v>45846</v>
      </c>
      <c r="C588" s="27" t="s">
        <v>777</v>
      </c>
      <c r="D588" s="11" t="s">
        <v>62</v>
      </c>
      <c r="E588" s="1" t="s">
        <v>63</v>
      </c>
      <c r="F588" s="6" t="s">
        <v>578</v>
      </c>
      <c r="G588" s="27">
        <v>5</v>
      </c>
    </row>
    <row r="589" spans="1:7" ht="15.75" customHeight="1">
      <c r="A589" s="27">
        <v>211</v>
      </c>
      <c r="B589" s="30">
        <v>45846</v>
      </c>
      <c r="C589" s="27" t="s">
        <v>777</v>
      </c>
      <c r="D589" s="11" t="s">
        <v>62</v>
      </c>
      <c r="E589" s="1" t="s">
        <v>63</v>
      </c>
      <c r="F589" s="6" t="s">
        <v>577</v>
      </c>
      <c r="G589" s="27">
        <v>4</v>
      </c>
    </row>
    <row r="590" spans="1:7" ht="15.75" customHeight="1">
      <c r="A590" s="27">
        <v>211</v>
      </c>
      <c r="B590" s="30">
        <v>45846</v>
      </c>
      <c r="C590" s="27" t="s">
        <v>777</v>
      </c>
      <c r="D590" s="5" t="s">
        <v>489</v>
      </c>
      <c r="E590" s="1">
        <v>31</v>
      </c>
      <c r="F590" s="6" t="s">
        <v>609</v>
      </c>
      <c r="G590" s="27">
        <v>1</v>
      </c>
    </row>
    <row r="591" spans="1:7" ht="15.75" customHeight="1">
      <c r="A591" s="27">
        <v>211</v>
      </c>
      <c r="B591" s="30">
        <v>45846</v>
      </c>
      <c r="C591" s="27" t="s">
        <v>777</v>
      </c>
      <c r="D591" s="5" t="s">
        <v>489</v>
      </c>
      <c r="E591" s="1">
        <v>30</v>
      </c>
      <c r="F591" s="6" t="s">
        <v>608</v>
      </c>
      <c r="G591" s="27">
        <v>1</v>
      </c>
    </row>
    <row r="592" spans="1:7" ht="15.75" customHeight="1">
      <c r="A592" s="27">
        <v>211</v>
      </c>
      <c r="B592" s="30">
        <v>45846</v>
      </c>
      <c r="C592" s="27" t="s">
        <v>777</v>
      </c>
      <c r="D592" s="5" t="s">
        <v>489</v>
      </c>
      <c r="E592" s="1">
        <v>29</v>
      </c>
      <c r="F592" s="6" t="s">
        <v>606</v>
      </c>
      <c r="G592" s="27">
        <v>1</v>
      </c>
    </row>
    <row r="593" spans="1:7" ht="15.75" customHeight="1">
      <c r="A593" s="27">
        <v>211</v>
      </c>
      <c r="B593" s="30">
        <v>45846</v>
      </c>
      <c r="C593" s="27" t="s">
        <v>777</v>
      </c>
      <c r="D593" s="5" t="s">
        <v>489</v>
      </c>
      <c r="E593" s="1">
        <v>28</v>
      </c>
      <c r="F593" s="6" t="s">
        <v>604</v>
      </c>
      <c r="G593" s="27">
        <v>1</v>
      </c>
    </row>
    <row r="594" spans="1:7" ht="15.75" customHeight="1">
      <c r="A594" s="27">
        <v>211</v>
      </c>
      <c r="B594" s="30">
        <v>45846</v>
      </c>
      <c r="C594" s="27" t="s">
        <v>777</v>
      </c>
      <c r="D594" s="5" t="s">
        <v>489</v>
      </c>
      <c r="E594" s="1">
        <v>27</v>
      </c>
      <c r="F594" s="6" t="s">
        <v>602</v>
      </c>
      <c r="G594" s="27">
        <v>1</v>
      </c>
    </row>
    <row r="595" spans="1:7" ht="15.75" customHeight="1">
      <c r="A595" s="27">
        <v>211</v>
      </c>
      <c r="B595" s="30">
        <v>45846</v>
      </c>
      <c r="C595" s="27" t="s">
        <v>777</v>
      </c>
      <c r="D595" s="5" t="s">
        <v>479</v>
      </c>
      <c r="E595" s="1">
        <v>32</v>
      </c>
      <c r="F595" s="6" t="s">
        <v>611</v>
      </c>
      <c r="G595" s="27">
        <v>2</v>
      </c>
    </row>
    <row r="596" spans="1:7" ht="15.75" customHeight="1">
      <c r="A596" s="27">
        <v>211</v>
      </c>
      <c r="B596" s="30">
        <v>45846</v>
      </c>
      <c r="C596" s="27" t="s">
        <v>777</v>
      </c>
      <c r="D596" s="11" t="s">
        <v>62</v>
      </c>
      <c r="E596" s="1" t="s">
        <v>63</v>
      </c>
      <c r="F596" s="6" t="s">
        <v>552</v>
      </c>
      <c r="G596" s="27">
        <v>5</v>
      </c>
    </row>
    <row r="597" spans="1:7" ht="15.75" customHeight="1">
      <c r="A597" s="27">
        <v>211</v>
      </c>
      <c r="B597" s="30">
        <v>45846</v>
      </c>
      <c r="C597" s="27" t="s">
        <v>777</v>
      </c>
      <c r="D597" s="5" t="s">
        <v>531</v>
      </c>
      <c r="E597" s="1">
        <v>18</v>
      </c>
      <c r="F597" s="6" t="s">
        <v>548</v>
      </c>
      <c r="G597" s="27">
        <v>50</v>
      </c>
    </row>
    <row r="598" spans="1:7" ht="15.75" customHeight="1">
      <c r="A598" s="27">
        <v>211</v>
      </c>
      <c r="B598" s="30">
        <v>45846</v>
      </c>
      <c r="C598" s="27" t="s">
        <v>777</v>
      </c>
      <c r="D598" s="5" t="s">
        <v>479</v>
      </c>
      <c r="E598" s="1">
        <v>5</v>
      </c>
      <c r="F598" s="6" t="s">
        <v>495</v>
      </c>
      <c r="G598" s="27">
        <v>10</v>
      </c>
    </row>
    <row r="599" spans="1:7" ht="15.75" customHeight="1">
      <c r="A599" s="27">
        <v>211</v>
      </c>
      <c r="B599" s="30">
        <v>45846</v>
      </c>
      <c r="C599" s="27" t="s">
        <v>777</v>
      </c>
      <c r="D599" s="11" t="s">
        <v>62</v>
      </c>
      <c r="E599" s="1" t="s">
        <v>63</v>
      </c>
      <c r="F599" s="6" t="s">
        <v>497</v>
      </c>
      <c r="G599" s="27">
        <v>10</v>
      </c>
    </row>
    <row r="600" spans="1:7" ht="15.75" customHeight="1">
      <c r="A600" s="27">
        <v>211</v>
      </c>
      <c r="B600" s="30">
        <v>45846</v>
      </c>
      <c r="C600" s="27" t="s">
        <v>777</v>
      </c>
      <c r="D600" s="11" t="s">
        <v>62</v>
      </c>
      <c r="E600" s="1" t="s">
        <v>63</v>
      </c>
      <c r="F600" s="6" t="s">
        <v>514</v>
      </c>
      <c r="G600" s="27">
        <v>4</v>
      </c>
    </row>
    <row r="601" spans="1:7" ht="15.75" customHeight="1">
      <c r="A601" s="27">
        <v>211</v>
      </c>
      <c r="B601" s="30">
        <v>45846</v>
      </c>
      <c r="C601" s="27" t="s">
        <v>777</v>
      </c>
      <c r="D601" s="11" t="s">
        <v>62</v>
      </c>
      <c r="E601" s="1" t="s">
        <v>63</v>
      </c>
      <c r="F601" s="6" t="s">
        <v>475</v>
      </c>
      <c r="G601" s="27">
        <v>2</v>
      </c>
    </row>
    <row r="602" spans="1:7" ht="15.75" customHeight="1">
      <c r="A602" s="27">
        <v>211</v>
      </c>
      <c r="B602" s="30">
        <v>45846</v>
      </c>
      <c r="C602" s="27" t="s">
        <v>777</v>
      </c>
      <c r="D602" s="11" t="s">
        <v>62</v>
      </c>
      <c r="E602" s="1" t="s">
        <v>63</v>
      </c>
      <c r="F602" s="6" t="s">
        <v>593</v>
      </c>
      <c r="G602" s="27">
        <v>2</v>
      </c>
    </row>
    <row r="603" spans="1:7" ht="15.75" customHeight="1">
      <c r="A603" s="27">
        <v>211</v>
      </c>
      <c r="B603" s="30">
        <v>45846</v>
      </c>
      <c r="C603" s="27" t="s">
        <v>777</v>
      </c>
      <c r="D603" s="11" t="s">
        <v>62</v>
      </c>
      <c r="E603" s="1" t="s">
        <v>63</v>
      </c>
      <c r="F603" s="6" t="s">
        <v>633</v>
      </c>
      <c r="G603" s="27">
        <v>1</v>
      </c>
    </row>
    <row r="604" spans="1:7" ht="15.75" customHeight="1">
      <c r="A604" s="27">
        <v>212</v>
      </c>
      <c r="B604" s="30">
        <v>45849</v>
      </c>
      <c r="C604" s="27" t="s">
        <v>778</v>
      </c>
      <c r="D604" s="11" t="s">
        <v>62</v>
      </c>
      <c r="E604" s="1" t="s">
        <v>63</v>
      </c>
      <c r="F604" s="6" t="s">
        <v>546</v>
      </c>
      <c r="G604" s="27">
        <v>2</v>
      </c>
    </row>
    <row r="605" spans="1:7" ht="15.75" customHeight="1">
      <c r="A605" s="27">
        <v>212</v>
      </c>
      <c r="B605" s="30">
        <v>45849</v>
      </c>
      <c r="C605" s="27" t="s">
        <v>778</v>
      </c>
      <c r="D605" s="11" t="s">
        <v>62</v>
      </c>
      <c r="E605" s="1" t="s">
        <v>63</v>
      </c>
      <c r="F605" s="6" t="s">
        <v>550</v>
      </c>
      <c r="G605" s="27">
        <v>20</v>
      </c>
    </row>
    <row r="606" spans="1:7" ht="15.75" customHeight="1">
      <c r="A606" s="27">
        <v>212</v>
      </c>
      <c r="B606" s="30">
        <v>45849</v>
      </c>
      <c r="C606" s="27" t="s">
        <v>778</v>
      </c>
      <c r="D606" s="11" t="s">
        <v>62</v>
      </c>
      <c r="E606" s="1" t="s">
        <v>63</v>
      </c>
      <c r="F606" s="6" t="s">
        <v>481</v>
      </c>
      <c r="G606" s="27">
        <v>2</v>
      </c>
    </row>
    <row r="607" spans="1:7" ht="15.75" customHeight="1">
      <c r="A607" s="27">
        <v>212</v>
      </c>
      <c r="B607" s="30">
        <v>45849</v>
      </c>
      <c r="C607" s="27" t="s">
        <v>778</v>
      </c>
      <c r="D607" s="11" t="s">
        <v>62</v>
      </c>
      <c r="E607" s="1" t="s">
        <v>63</v>
      </c>
      <c r="F607" s="6" t="s">
        <v>497</v>
      </c>
      <c r="G607" s="27">
        <v>2</v>
      </c>
    </row>
    <row r="608" spans="1:7" ht="15.75" customHeight="1">
      <c r="A608" s="27">
        <v>212</v>
      </c>
      <c r="B608" s="30">
        <v>45849</v>
      </c>
      <c r="C608" s="27" t="s">
        <v>778</v>
      </c>
      <c r="D608" s="11" t="s">
        <v>62</v>
      </c>
      <c r="E608" s="1" t="s">
        <v>63</v>
      </c>
      <c r="F608" s="6" t="s">
        <v>627</v>
      </c>
      <c r="G608" s="27">
        <v>100</v>
      </c>
    </row>
    <row r="609" spans="1:7" ht="15.75" customHeight="1">
      <c r="A609" s="27">
        <v>212</v>
      </c>
      <c r="B609" s="30">
        <v>45849</v>
      </c>
      <c r="C609" s="27" t="s">
        <v>778</v>
      </c>
      <c r="D609" s="5" t="s">
        <v>489</v>
      </c>
      <c r="E609" s="1">
        <v>2</v>
      </c>
      <c r="F609" s="6" t="s">
        <v>488</v>
      </c>
      <c r="G609" s="27">
        <v>1</v>
      </c>
    </row>
    <row r="610" spans="1:7" ht="15.75" customHeight="1">
      <c r="A610" s="27">
        <v>212</v>
      </c>
      <c r="B610" s="30">
        <v>45849</v>
      </c>
      <c r="C610" s="27" t="s">
        <v>778</v>
      </c>
      <c r="D610" s="11" t="s">
        <v>62</v>
      </c>
      <c r="E610" s="1" t="s">
        <v>63</v>
      </c>
      <c r="F610" s="6" t="s">
        <v>533</v>
      </c>
      <c r="G610" s="27">
        <v>2</v>
      </c>
    </row>
    <row r="611" spans="1:7" ht="15.75" customHeight="1">
      <c r="A611" s="27">
        <v>212</v>
      </c>
      <c r="B611" s="30">
        <v>45849</v>
      </c>
      <c r="C611" s="27" t="s">
        <v>778</v>
      </c>
      <c r="D611" s="11" t="s">
        <v>62</v>
      </c>
      <c r="E611" s="1" t="s">
        <v>63</v>
      </c>
      <c r="F611" s="6" t="s">
        <v>613</v>
      </c>
      <c r="G611" s="27">
        <v>1</v>
      </c>
    </row>
    <row r="612" spans="1:7" ht="15.75" customHeight="1">
      <c r="A612" s="27">
        <v>213</v>
      </c>
      <c r="B612" s="30">
        <v>45849</v>
      </c>
      <c r="C612" s="27" t="s">
        <v>779</v>
      </c>
      <c r="D612" s="5" t="s">
        <v>586</v>
      </c>
      <c r="E612" s="1">
        <v>1</v>
      </c>
      <c r="F612" s="6" t="s">
        <v>585</v>
      </c>
      <c r="G612" s="27">
        <v>5</v>
      </c>
    </row>
    <row r="613" spans="1:7" ht="15.75" customHeight="1">
      <c r="A613" s="27">
        <v>213</v>
      </c>
      <c r="B613" s="30">
        <v>45849</v>
      </c>
      <c r="C613" s="27" t="s">
        <v>779</v>
      </c>
      <c r="D613" s="11" t="s">
        <v>62</v>
      </c>
      <c r="E613" s="1" t="s">
        <v>63</v>
      </c>
      <c r="F613" s="6" t="s">
        <v>497</v>
      </c>
      <c r="G613" s="27">
        <v>10</v>
      </c>
    </row>
    <row r="614" spans="1:7" ht="15.75" customHeight="1">
      <c r="A614" s="27">
        <v>213</v>
      </c>
      <c r="B614" s="30">
        <v>45849</v>
      </c>
      <c r="C614" s="27" t="s">
        <v>779</v>
      </c>
      <c r="D614" s="5" t="s">
        <v>479</v>
      </c>
      <c r="E614" s="1">
        <v>5</v>
      </c>
      <c r="F614" s="6" t="s">
        <v>495</v>
      </c>
      <c r="G614" s="27">
        <v>5</v>
      </c>
    </row>
    <row r="615" spans="1:7" ht="15.75" customHeight="1">
      <c r="A615" s="27">
        <v>213</v>
      </c>
      <c r="B615" s="30">
        <v>45849</v>
      </c>
      <c r="C615" s="27" t="s">
        <v>779</v>
      </c>
      <c r="D615" s="5" t="s">
        <v>489</v>
      </c>
      <c r="E615" s="1">
        <v>31</v>
      </c>
      <c r="F615" s="6" t="s">
        <v>609</v>
      </c>
      <c r="G615" s="27">
        <v>1</v>
      </c>
    </row>
    <row r="616" spans="1:7" ht="15.75" customHeight="1">
      <c r="A616" s="27">
        <v>213</v>
      </c>
      <c r="B616" s="30">
        <v>45849</v>
      </c>
      <c r="C616" s="27" t="s">
        <v>779</v>
      </c>
      <c r="D616" s="5" t="s">
        <v>489</v>
      </c>
      <c r="E616" s="1">
        <v>30</v>
      </c>
      <c r="F616" s="6" t="s">
        <v>608</v>
      </c>
      <c r="G616" s="27">
        <v>1</v>
      </c>
    </row>
    <row r="617" spans="1:7" ht="15.75" customHeight="1">
      <c r="A617" s="27">
        <v>213</v>
      </c>
      <c r="B617" s="30">
        <v>45849</v>
      </c>
      <c r="C617" s="27" t="s">
        <v>779</v>
      </c>
      <c r="D617" s="5" t="s">
        <v>489</v>
      </c>
      <c r="E617" s="1">
        <v>29</v>
      </c>
      <c r="F617" s="6" t="s">
        <v>606</v>
      </c>
      <c r="G617" s="27">
        <v>1</v>
      </c>
    </row>
    <row r="618" spans="1:7" ht="15.75" customHeight="1">
      <c r="A618" s="27">
        <v>213</v>
      </c>
      <c r="B618" s="30">
        <v>45849</v>
      </c>
      <c r="C618" s="27" t="s">
        <v>779</v>
      </c>
      <c r="D618" s="5" t="s">
        <v>489</v>
      </c>
      <c r="E618" s="1">
        <v>28</v>
      </c>
      <c r="F618" s="6" t="s">
        <v>604</v>
      </c>
      <c r="G618" s="27">
        <v>1</v>
      </c>
    </row>
    <row r="619" spans="1:7" ht="15.75" customHeight="1">
      <c r="A619" s="27">
        <v>213</v>
      </c>
      <c r="B619" s="30">
        <v>45849</v>
      </c>
      <c r="C619" s="27" t="s">
        <v>779</v>
      </c>
      <c r="D619" s="5" t="s">
        <v>489</v>
      </c>
      <c r="E619" s="1">
        <v>27</v>
      </c>
      <c r="F619" s="6" t="s">
        <v>602</v>
      </c>
      <c r="G619" s="27">
        <v>1</v>
      </c>
    </row>
    <row r="620" spans="1:7" ht="15.75" customHeight="1">
      <c r="A620" s="27">
        <v>213</v>
      </c>
      <c r="B620" s="30">
        <v>45849</v>
      </c>
      <c r="C620" s="27" t="s">
        <v>779</v>
      </c>
      <c r="D620" s="11" t="s">
        <v>62</v>
      </c>
      <c r="E620" s="1" t="s">
        <v>63</v>
      </c>
      <c r="F620" s="6" t="s">
        <v>533</v>
      </c>
      <c r="G620" s="27">
        <v>2</v>
      </c>
    </row>
    <row r="621" spans="1:7" ht="15.75" customHeight="1">
      <c r="A621" s="27">
        <v>213</v>
      </c>
      <c r="B621" s="30">
        <v>45849</v>
      </c>
      <c r="C621" s="27" t="s">
        <v>779</v>
      </c>
      <c r="D621" s="11" t="s">
        <v>62</v>
      </c>
      <c r="E621" s="1" t="s">
        <v>63</v>
      </c>
      <c r="F621" s="6" t="s">
        <v>474</v>
      </c>
      <c r="G621" s="27">
        <v>2</v>
      </c>
    </row>
    <row r="622" spans="1:7" ht="15.75" customHeight="1">
      <c r="A622" s="27">
        <v>213</v>
      </c>
      <c r="B622" s="30">
        <v>45849</v>
      </c>
      <c r="C622" s="27" t="s">
        <v>779</v>
      </c>
      <c r="D622" s="11" t="s">
        <v>62</v>
      </c>
      <c r="E622" s="1" t="s">
        <v>63</v>
      </c>
      <c r="F622" s="6" t="s">
        <v>557</v>
      </c>
      <c r="G622" s="27">
        <v>4</v>
      </c>
    </row>
    <row r="623" spans="1:7" ht="15.75" customHeight="1">
      <c r="A623" s="27">
        <v>213</v>
      </c>
      <c r="B623" s="30">
        <v>45849</v>
      </c>
      <c r="C623" s="27" t="s">
        <v>779</v>
      </c>
      <c r="D623" s="5" t="s">
        <v>479</v>
      </c>
      <c r="E623" s="1">
        <v>33</v>
      </c>
      <c r="F623" s="6" t="s">
        <v>628</v>
      </c>
      <c r="G623" s="27">
        <v>3</v>
      </c>
    </row>
    <row r="624" spans="1:7" ht="15.75" customHeight="1">
      <c r="A624" s="27">
        <v>213</v>
      </c>
      <c r="B624" s="30">
        <v>45849</v>
      </c>
      <c r="C624" s="27" t="s">
        <v>779</v>
      </c>
      <c r="D624" s="11" t="s">
        <v>62</v>
      </c>
      <c r="E624" s="1" t="s">
        <v>63</v>
      </c>
      <c r="F624" s="6" t="s">
        <v>514</v>
      </c>
      <c r="G624" s="27">
        <v>2</v>
      </c>
    </row>
    <row r="625" spans="1:7" ht="15.75" customHeight="1">
      <c r="A625" s="27">
        <v>213</v>
      </c>
      <c r="B625" s="30">
        <v>45849</v>
      </c>
      <c r="C625" s="27" t="s">
        <v>779</v>
      </c>
      <c r="D625" s="11" t="s">
        <v>62</v>
      </c>
      <c r="E625" s="1" t="s">
        <v>63</v>
      </c>
      <c r="F625" s="6" t="s">
        <v>551</v>
      </c>
      <c r="G625" s="27">
        <v>2</v>
      </c>
    </row>
    <row r="626" spans="1:7" ht="15.75" customHeight="1">
      <c r="A626" s="27">
        <v>213</v>
      </c>
      <c r="B626" s="30">
        <v>45849</v>
      </c>
      <c r="C626" s="27" t="s">
        <v>779</v>
      </c>
      <c r="D626" s="11" t="s">
        <v>62</v>
      </c>
      <c r="E626" s="1" t="s">
        <v>63</v>
      </c>
      <c r="F626" s="6" t="s">
        <v>630</v>
      </c>
      <c r="G626" s="27">
        <v>2</v>
      </c>
    </row>
    <row r="627" spans="1:7" ht="15.75" customHeight="1">
      <c r="A627" s="27">
        <v>213</v>
      </c>
      <c r="B627" s="30">
        <v>45849</v>
      </c>
      <c r="C627" s="27" t="s">
        <v>779</v>
      </c>
      <c r="D627" s="11" t="s">
        <v>62</v>
      </c>
      <c r="E627" s="1" t="s">
        <v>63</v>
      </c>
      <c r="F627" s="6" t="s">
        <v>500</v>
      </c>
      <c r="G627" s="27">
        <v>10</v>
      </c>
    </row>
    <row r="628" spans="1:7" ht="15.75" customHeight="1">
      <c r="A628" s="27">
        <v>213</v>
      </c>
      <c r="B628" s="30">
        <v>45849</v>
      </c>
      <c r="C628" s="27" t="s">
        <v>779</v>
      </c>
      <c r="D628" s="1" t="s">
        <v>479</v>
      </c>
      <c r="E628" s="1">
        <v>9</v>
      </c>
      <c r="F628" s="20" t="s">
        <v>517</v>
      </c>
      <c r="G628" s="27">
        <v>10</v>
      </c>
    </row>
    <row r="629" spans="1:7" ht="15.75" customHeight="1">
      <c r="A629" s="27">
        <v>214</v>
      </c>
      <c r="B629" s="30">
        <v>45849</v>
      </c>
      <c r="C629" s="27" t="s">
        <v>780</v>
      </c>
      <c r="D629" s="11" t="s">
        <v>62</v>
      </c>
      <c r="E629" s="1" t="s">
        <v>63</v>
      </c>
      <c r="F629" s="6" t="s">
        <v>483</v>
      </c>
      <c r="G629" s="27">
        <v>2</v>
      </c>
    </row>
    <row r="630" spans="1:7" ht="15.75" customHeight="1">
      <c r="A630" s="27">
        <v>214</v>
      </c>
      <c r="B630" s="30">
        <v>45849</v>
      </c>
      <c r="C630" s="27" t="s">
        <v>780</v>
      </c>
      <c r="D630" s="1" t="s">
        <v>479</v>
      </c>
      <c r="E630" s="1">
        <v>9</v>
      </c>
      <c r="F630" s="20" t="s">
        <v>517</v>
      </c>
      <c r="G630" s="27">
        <v>10</v>
      </c>
    </row>
    <row r="631" spans="1:7" ht="15.75" customHeight="1">
      <c r="A631" s="27">
        <v>214</v>
      </c>
      <c r="B631" s="30">
        <v>45849</v>
      </c>
      <c r="C631" s="27" t="s">
        <v>780</v>
      </c>
      <c r="D631" s="11" t="s">
        <v>62</v>
      </c>
      <c r="E631" s="1" t="s">
        <v>63</v>
      </c>
      <c r="F631" s="6" t="s">
        <v>522</v>
      </c>
      <c r="G631" s="27">
        <v>30</v>
      </c>
    </row>
    <row r="632" spans="1:7" ht="15.75" customHeight="1">
      <c r="A632" s="27">
        <v>214</v>
      </c>
      <c r="B632" s="30">
        <v>45849</v>
      </c>
      <c r="C632" s="27" t="s">
        <v>780</v>
      </c>
      <c r="D632" s="5" t="s">
        <v>520</v>
      </c>
      <c r="E632" s="1">
        <v>10</v>
      </c>
      <c r="F632" s="6" t="s">
        <v>519</v>
      </c>
      <c r="G632" s="27">
        <v>20</v>
      </c>
    </row>
    <row r="633" spans="1:7" ht="15.75" customHeight="1">
      <c r="A633" s="27">
        <v>214</v>
      </c>
      <c r="B633" s="30">
        <v>45849</v>
      </c>
      <c r="C633" s="27" t="s">
        <v>780</v>
      </c>
      <c r="D633" s="11" t="s">
        <v>62</v>
      </c>
      <c r="E633" s="1" t="s">
        <v>63</v>
      </c>
      <c r="F633" s="6" t="s">
        <v>533</v>
      </c>
      <c r="G633" s="27">
        <v>2</v>
      </c>
    </row>
    <row r="634" spans="1:7" ht="15.75" customHeight="1">
      <c r="A634" s="27">
        <v>214</v>
      </c>
      <c r="B634" s="30">
        <v>45849</v>
      </c>
      <c r="C634" s="27" t="s">
        <v>780</v>
      </c>
      <c r="D634" s="5" t="s">
        <v>531</v>
      </c>
      <c r="E634" s="1">
        <v>18</v>
      </c>
      <c r="F634" s="6" t="s">
        <v>548</v>
      </c>
      <c r="G634" s="27">
        <v>50</v>
      </c>
    </row>
    <row r="635" spans="1:7" ht="15.75" customHeight="1">
      <c r="A635" s="27">
        <v>214</v>
      </c>
      <c r="B635" s="30">
        <v>45849</v>
      </c>
      <c r="C635" s="27" t="s">
        <v>780</v>
      </c>
      <c r="D635" s="11" t="s">
        <v>62</v>
      </c>
      <c r="E635" s="1" t="s">
        <v>63</v>
      </c>
      <c r="F635" s="6" t="s">
        <v>551</v>
      </c>
      <c r="G635" s="27">
        <v>3</v>
      </c>
    </row>
    <row r="636" spans="1:7" ht="15.75" customHeight="1">
      <c r="A636" s="27">
        <v>214</v>
      </c>
      <c r="B636" s="30">
        <v>45849</v>
      </c>
      <c r="C636" s="27" t="s">
        <v>780</v>
      </c>
      <c r="D636" s="11" t="s">
        <v>62</v>
      </c>
      <c r="E636" s="1" t="s">
        <v>63</v>
      </c>
      <c r="F636" s="6" t="s">
        <v>557</v>
      </c>
      <c r="G636" s="27">
        <v>3</v>
      </c>
    </row>
    <row r="637" spans="1:7" ht="15.75" customHeight="1">
      <c r="A637" s="27">
        <v>214</v>
      </c>
      <c r="B637" s="30">
        <v>45849</v>
      </c>
      <c r="C637" s="27" t="s">
        <v>780</v>
      </c>
      <c r="D637" s="11" t="s">
        <v>62</v>
      </c>
      <c r="E637" s="1" t="s">
        <v>63</v>
      </c>
      <c r="F637" s="6" t="s">
        <v>497</v>
      </c>
      <c r="G637" s="27">
        <v>10</v>
      </c>
    </row>
    <row r="638" spans="1:7" ht="15.75" customHeight="1">
      <c r="A638" s="27">
        <v>214</v>
      </c>
      <c r="B638" s="30">
        <v>45849</v>
      </c>
      <c r="C638" s="27" t="s">
        <v>780</v>
      </c>
      <c r="D638" s="5" t="s">
        <v>479</v>
      </c>
      <c r="E638" s="1">
        <v>5</v>
      </c>
      <c r="F638" s="6" t="s">
        <v>495</v>
      </c>
      <c r="G638" s="27">
        <v>5</v>
      </c>
    </row>
    <row r="639" spans="1:7" ht="15.75" customHeight="1">
      <c r="A639" s="27">
        <v>214</v>
      </c>
      <c r="B639" s="30">
        <v>45849</v>
      </c>
      <c r="C639" s="27" t="s">
        <v>780</v>
      </c>
      <c r="D639" s="11" t="s">
        <v>62</v>
      </c>
      <c r="E639" s="1" t="s">
        <v>63</v>
      </c>
      <c r="F639" s="6" t="s">
        <v>498</v>
      </c>
      <c r="G639" s="27">
        <v>10</v>
      </c>
    </row>
    <row r="640" spans="1:7" ht="15.75" customHeight="1">
      <c r="A640" s="27">
        <v>214</v>
      </c>
      <c r="B640" s="30">
        <v>45849</v>
      </c>
      <c r="C640" s="27" t="s">
        <v>780</v>
      </c>
      <c r="D640" s="5" t="s">
        <v>586</v>
      </c>
      <c r="E640" s="1">
        <v>1</v>
      </c>
      <c r="F640" s="6" t="s">
        <v>585</v>
      </c>
      <c r="G640" s="27">
        <v>5</v>
      </c>
    </row>
    <row r="641" spans="1:7" ht="15.75" customHeight="1">
      <c r="A641" s="27">
        <v>214</v>
      </c>
      <c r="B641" s="30">
        <v>45849</v>
      </c>
      <c r="C641" s="27" t="s">
        <v>780</v>
      </c>
      <c r="D641" s="11" t="s">
        <v>62</v>
      </c>
      <c r="E641" s="1" t="s">
        <v>63</v>
      </c>
      <c r="F641" s="6" t="s">
        <v>588</v>
      </c>
      <c r="G641" s="27">
        <v>5</v>
      </c>
    </row>
    <row r="642" spans="1:7" ht="15.75" customHeight="1">
      <c r="A642" s="27">
        <v>214</v>
      </c>
      <c r="B642" s="30">
        <v>45849</v>
      </c>
      <c r="C642" s="27" t="s">
        <v>780</v>
      </c>
      <c r="D642" s="5" t="s">
        <v>489</v>
      </c>
      <c r="E642" s="1">
        <v>31</v>
      </c>
      <c r="F642" s="6" t="s">
        <v>609</v>
      </c>
      <c r="G642" s="27">
        <v>2</v>
      </c>
    </row>
    <row r="643" spans="1:7" ht="15.75" customHeight="1">
      <c r="A643" s="27">
        <v>214</v>
      </c>
      <c r="B643" s="30">
        <v>45849</v>
      </c>
      <c r="C643" s="27" t="s">
        <v>780</v>
      </c>
      <c r="D643" s="5" t="s">
        <v>489</v>
      </c>
      <c r="E643" s="1">
        <v>30</v>
      </c>
      <c r="F643" s="6" t="s">
        <v>608</v>
      </c>
      <c r="G643" s="27">
        <v>2</v>
      </c>
    </row>
    <row r="644" spans="1:7" ht="15.75" customHeight="1">
      <c r="A644" s="27">
        <v>214</v>
      </c>
      <c r="B644" s="30">
        <v>45849</v>
      </c>
      <c r="C644" s="27" t="s">
        <v>780</v>
      </c>
      <c r="D644" s="5" t="s">
        <v>489</v>
      </c>
      <c r="E644" s="1">
        <v>28</v>
      </c>
      <c r="F644" s="6" t="s">
        <v>604</v>
      </c>
      <c r="G644" s="27">
        <v>2</v>
      </c>
    </row>
    <row r="645" spans="1:7" ht="15.75" customHeight="1">
      <c r="A645" s="27">
        <v>214</v>
      </c>
      <c r="B645" s="30">
        <v>45849</v>
      </c>
      <c r="C645" s="27" t="s">
        <v>780</v>
      </c>
      <c r="D645" s="5" t="s">
        <v>489</v>
      </c>
      <c r="E645" s="1">
        <v>27</v>
      </c>
      <c r="F645" s="6" t="s">
        <v>602</v>
      </c>
      <c r="G645" s="27">
        <v>2</v>
      </c>
    </row>
    <row r="646" spans="1:7" ht="15.75" customHeight="1">
      <c r="A646" s="27">
        <v>214</v>
      </c>
      <c r="B646" s="30">
        <v>45849</v>
      </c>
      <c r="C646" s="27" t="s">
        <v>780</v>
      </c>
      <c r="D646" s="5" t="s">
        <v>479</v>
      </c>
      <c r="E646" s="1">
        <v>32</v>
      </c>
      <c r="F646" s="6" t="s">
        <v>611</v>
      </c>
      <c r="G646" s="27">
        <v>1</v>
      </c>
    </row>
    <row r="647" spans="1:7" ht="15.75" customHeight="1">
      <c r="A647" s="27">
        <v>215</v>
      </c>
      <c r="B647" s="30">
        <v>45852</v>
      </c>
      <c r="C647" s="27" t="s">
        <v>781</v>
      </c>
      <c r="D647" s="5" t="s">
        <v>586</v>
      </c>
      <c r="E647" s="1">
        <v>1</v>
      </c>
      <c r="F647" s="6" t="s">
        <v>585</v>
      </c>
      <c r="G647" s="27">
        <v>5</v>
      </c>
    </row>
    <row r="648" spans="1:7" ht="15.75" customHeight="1">
      <c r="A648" s="27">
        <v>215</v>
      </c>
      <c r="B648" s="30">
        <v>45852</v>
      </c>
      <c r="C648" s="27" t="s">
        <v>781</v>
      </c>
      <c r="D648" s="11" t="s">
        <v>62</v>
      </c>
      <c r="E648" s="1" t="s">
        <v>63</v>
      </c>
      <c r="F648" s="6" t="s">
        <v>477</v>
      </c>
      <c r="G648" s="27">
        <v>1</v>
      </c>
    </row>
    <row r="649" spans="1:7" ht="15.75" customHeight="1">
      <c r="A649" s="27">
        <v>215</v>
      </c>
      <c r="B649" s="30">
        <v>45852</v>
      </c>
      <c r="C649" s="27" t="s">
        <v>781</v>
      </c>
      <c r="D649" s="11" t="s">
        <v>62</v>
      </c>
      <c r="E649" s="1" t="s">
        <v>63</v>
      </c>
      <c r="F649" s="6" t="s">
        <v>522</v>
      </c>
      <c r="G649" s="27">
        <v>5</v>
      </c>
    </row>
    <row r="650" spans="1:7" ht="15.75" customHeight="1">
      <c r="A650" s="27">
        <v>215</v>
      </c>
      <c r="B650" s="30">
        <v>45852</v>
      </c>
      <c r="C650" s="27" t="s">
        <v>781</v>
      </c>
      <c r="D650" s="11" t="s">
        <v>62</v>
      </c>
      <c r="E650" s="1" t="s">
        <v>63</v>
      </c>
      <c r="F650" s="6" t="s">
        <v>516</v>
      </c>
      <c r="G650" s="27">
        <v>10</v>
      </c>
    </row>
    <row r="651" spans="1:7" ht="15.75" customHeight="1">
      <c r="A651" s="27">
        <v>216</v>
      </c>
      <c r="B651" s="30">
        <v>45852</v>
      </c>
      <c r="C651" s="27" t="s">
        <v>782</v>
      </c>
      <c r="D651" s="5" t="s">
        <v>531</v>
      </c>
      <c r="E651" s="1">
        <v>18</v>
      </c>
      <c r="F651" s="6" t="s">
        <v>548</v>
      </c>
      <c r="G651" s="27">
        <v>50</v>
      </c>
    </row>
    <row r="652" spans="1:7" ht="15.75" customHeight="1">
      <c r="A652" s="27">
        <v>216</v>
      </c>
      <c r="B652" s="30">
        <v>45852</v>
      </c>
      <c r="C652" s="27" t="s">
        <v>782</v>
      </c>
      <c r="D652" s="11" t="s">
        <v>62</v>
      </c>
      <c r="E652" s="1" t="s">
        <v>63</v>
      </c>
      <c r="F652" s="6" t="s">
        <v>550</v>
      </c>
      <c r="G652" s="27">
        <v>50</v>
      </c>
    </row>
    <row r="653" spans="1:7" ht="15.75" customHeight="1">
      <c r="A653" s="27">
        <v>216</v>
      </c>
      <c r="B653" s="30">
        <v>45852</v>
      </c>
      <c r="C653" s="27" t="s">
        <v>782</v>
      </c>
      <c r="D653" s="5" t="s">
        <v>586</v>
      </c>
      <c r="E653" s="1">
        <v>1</v>
      </c>
      <c r="F653" s="6" t="s">
        <v>585</v>
      </c>
      <c r="G653" s="27">
        <v>5</v>
      </c>
    </row>
    <row r="654" spans="1:7" ht="15.75" customHeight="1">
      <c r="A654" s="27">
        <v>216</v>
      </c>
      <c r="B654" s="30">
        <v>45852</v>
      </c>
      <c r="C654" s="27" t="s">
        <v>782</v>
      </c>
      <c r="D654" s="11" t="s">
        <v>62</v>
      </c>
      <c r="E654" s="1" t="s">
        <v>63</v>
      </c>
      <c r="F654" s="6" t="s">
        <v>497</v>
      </c>
      <c r="G654" s="27">
        <v>10</v>
      </c>
    </row>
    <row r="655" spans="1:7" ht="15.75" customHeight="1">
      <c r="A655" s="27">
        <v>216</v>
      </c>
      <c r="B655" s="30">
        <v>45852</v>
      </c>
      <c r="C655" s="27" t="s">
        <v>782</v>
      </c>
      <c r="D655" s="5" t="s">
        <v>479</v>
      </c>
      <c r="E655" s="1">
        <v>5</v>
      </c>
      <c r="F655" s="6" t="s">
        <v>495</v>
      </c>
      <c r="G655" s="27">
        <v>5</v>
      </c>
    </row>
    <row r="656" spans="1:7" ht="15.75" customHeight="1">
      <c r="A656" s="27">
        <v>216</v>
      </c>
      <c r="B656" s="30">
        <v>45852</v>
      </c>
      <c r="C656" s="27" t="s">
        <v>782</v>
      </c>
      <c r="D656" s="11" t="s">
        <v>62</v>
      </c>
      <c r="E656" s="1" t="s">
        <v>63</v>
      </c>
      <c r="F656" s="6" t="s">
        <v>557</v>
      </c>
      <c r="G656" s="27">
        <v>3</v>
      </c>
    </row>
    <row r="657" spans="1:7" ht="15.75" customHeight="1">
      <c r="A657" s="27">
        <v>216</v>
      </c>
      <c r="B657" s="30">
        <v>45852</v>
      </c>
      <c r="C657" s="27" t="s">
        <v>782</v>
      </c>
      <c r="D657" s="11" t="s">
        <v>62</v>
      </c>
      <c r="E657" s="1" t="s">
        <v>63</v>
      </c>
      <c r="F657" s="6" t="s">
        <v>630</v>
      </c>
      <c r="G657" s="27">
        <v>2</v>
      </c>
    </row>
    <row r="658" spans="1:7" ht="15.75" customHeight="1">
      <c r="A658" s="27">
        <v>216</v>
      </c>
      <c r="B658" s="30">
        <v>45852</v>
      </c>
      <c r="C658" s="27" t="s">
        <v>782</v>
      </c>
      <c r="D658" s="11" t="s">
        <v>62</v>
      </c>
      <c r="E658" s="1" t="s">
        <v>63</v>
      </c>
      <c r="F658" s="6" t="s">
        <v>546</v>
      </c>
      <c r="G658" s="27">
        <v>2</v>
      </c>
    </row>
    <row r="659" spans="1:7" ht="15.75" customHeight="1">
      <c r="A659" s="27">
        <v>216</v>
      </c>
      <c r="B659" s="30">
        <v>45852</v>
      </c>
      <c r="C659" s="27" t="s">
        <v>782</v>
      </c>
      <c r="D659" s="5" t="s">
        <v>489</v>
      </c>
      <c r="E659" s="1">
        <v>31</v>
      </c>
      <c r="F659" s="6" t="s">
        <v>609</v>
      </c>
      <c r="G659" s="27">
        <v>1</v>
      </c>
    </row>
    <row r="660" spans="1:7" ht="15.75" customHeight="1">
      <c r="A660" s="27">
        <v>216</v>
      </c>
      <c r="B660" s="30">
        <v>45852</v>
      </c>
      <c r="C660" s="27" t="s">
        <v>782</v>
      </c>
      <c r="D660" s="5" t="s">
        <v>489</v>
      </c>
      <c r="E660" s="1">
        <v>30</v>
      </c>
      <c r="F660" s="6" t="s">
        <v>608</v>
      </c>
      <c r="G660" s="27">
        <v>1</v>
      </c>
    </row>
    <row r="661" spans="1:7" ht="15.75" customHeight="1">
      <c r="A661" s="27">
        <v>216</v>
      </c>
      <c r="B661" s="30">
        <v>45852</v>
      </c>
      <c r="C661" s="27" t="s">
        <v>782</v>
      </c>
      <c r="D661" s="5" t="s">
        <v>489</v>
      </c>
      <c r="E661" s="1">
        <v>29</v>
      </c>
      <c r="F661" s="6" t="s">
        <v>606</v>
      </c>
      <c r="G661" s="27">
        <v>1</v>
      </c>
    </row>
    <row r="662" spans="1:7" ht="15.75" customHeight="1">
      <c r="A662" s="27">
        <v>216</v>
      </c>
      <c r="B662" s="30">
        <v>45852</v>
      </c>
      <c r="C662" s="27" t="s">
        <v>782</v>
      </c>
      <c r="D662" s="5" t="s">
        <v>489</v>
      </c>
      <c r="E662" s="1">
        <v>28</v>
      </c>
      <c r="F662" s="6" t="s">
        <v>604</v>
      </c>
      <c r="G662" s="27">
        <v>1</v>
      </c>
    </row>
    <row r="663" spans="1:7" ht="15.75" customHeight="1">
      <c r="A663" s="27">
        <v>216</v>
      </c>
      <c r="B663" s="30">
        <v>45852</v>
      </c>
      <c r="C663" s="27" t="s">
        <v>782</v>
      </c>
      <c r="D663" s="5" t="s">
        <v>489</v>
      </c>
      <c r="E663" s="1">
        <v>27</v>
      </c>
      <c r="F663" s="6" t="s">
        <v>602</v>
      </c>
      <c r="G663" s="27">
        <v>1</v>
      </c>
    </row>
    <row r="664" spans="1:7" ht="15.75" customHeight="1">
      <c r="A664" s="27">
        <v>216</v>
      </c>
      <c r="B664" s="30">
        <v>45852</v>
      </c>
      <c r="C664" s="27" t="s">
        <v>782</v>
      </c>
      <c r="D664" s="11" t="s">
        <v>62</v>
      </c>
      <c r="E664" s="1" t="s">
        <v>63</v>
      </c>
      <c r="F664" s="6" t="s">
        <v>619</v>
      </c>
      <c r="G664" s="27">
        <v>50</v>
      </c>
    </row>
    <row r="665" spans="1:7" ht="15.75" customHeight="1">
      <c r="A665" s="27">
        <v>216</v>
      </c>
      <c r="B665" s="30">
        <v>45852</v>
      </c>
      <c r="C665" s="27" t="s">
        <v>782</v>
      </c>
      <c r="D665" s="11" t="s">
        <v>62</v>
      </c>
      <c r="E665" s="1" t="s">
        <v>63</v>
      </c>
      <c r="F665" s="6" t="s">
        <v>551</v>
      </c>
      <c r="G665" s="27">
        <v>3</v>
      </c>
    </row>
    <row r="666" spans="1:7" ht="15.75" customHeight="1">
      <c r="A666" s="27">
        <v>216</v>
      </c>
      <c r="B666" s="30">
        <v>45852</v>
      </c>
      <c r="C666" s="27" t="s">
        <v>782</v>
      </c>
      <c r="D666" s="11" t="s">
        <v>62</v>
      </c>
      <c r="E666" s="1" t="s">
        <v>63</v>
      </c>
      <c r="F666" s="6" t="s">
        <v>481</v>
      </c>
      <c r="G666" s="27">
        <v>3</v>
      </c>
    </row>
    <row r="667" spans="1:7" ht="15.75" customHeight="1">
      <c r="A667" s="27">
        <v>217</v>
      </c>
      <c r="B667" s="30">
        <v>45853</v>
      </c>
      <c r="C667" s="27" t="s">
        <v>783</v>
      </c>
      <c r="D667" s="5" t="s">
        <v>586</v>
      </c>
      <c r="E667" s="1">
        <v>1</v>
      </c>
      <c r="F667" s="6" t="s">
        <v>585</v>
      </c>
      <c r="G667" s="27">
        <v>5</v>
      </c>
    </row>
    <row r="668" spans="1:7" ht="15.75" customHeight="1">
      <c r="A668" s="27">
        <v>217</v>
      </c>
      <c r="B668" s="30">
        <v>45853</v>
      </c>
      <c r="C668" s="27" t="s">
        <v>783</v>
      </c>
      <c r="D668" s="11" t="s">
        <v>62</v>
      </c>
      <c r="E668" s="1" t="s">
        <v>63</v>
      </c>
      <c r="F668" s="6" t="s">
        <v>497</v>
      </c>
      <c r="G668" s="27">
        <v>10</v>
      </c>
    </row>
    <row r="669" spans="1:7" ht="15.75" customHeight="1">
      <c r="A669" s="27">
        <v>217</v>
      </c>
      <c r="B669" s="30">
        <v>45853</v>
      </c>
      <c r="C669" s="27" t="s">
        <v>783</v>
      </c>
      <c r="D669" s="5" t="s">
        <v>479</v>
      </c>
      <c r="E669" s="1">
        <v>5</v>
      </c>
      <c r="F669" s="6" t="s">
        <v>495</v>
      </c>
      <c r="G669" s="27">
        <v>5</v>
      </c>
    </row>
    <row r="670" spans="1:7" ht="15.75" customHeight="1">
      <c r="A670" s="27">
        <v>217</v>
      </c>
      <c r="B670" s="30">
        <v>45853</v>
      </c>
      <c r="C670" s="27" t="s">
        <v>783</v>
      </c>
      <c r="D670" s="11" t="s">
        <v>62</v>
      </c>
      <c r="E670" s="1" t="s">
        <v>63</v>
      </c>
      <c r="F670" s="6" t="s">
        <v>598</v>
      </c>
      <c r="G670" s="27">
        <v>1</v>
      </c>
    </row>
    <row r="671" spans="1:7" ht="15.75" customHeight="1">
      <c r="A671" s="27">
        <v>217</v>
      </c>
      <c r="B671" s="30">
        <v>45853</v>
      </c>
      <c r="C671" s="27" t="s">
        <v>783</v>
      </c>
      <c r="D671" s="11" t="s">
        <v>62</v>
      </c>
      <c r="E671" s="1" t="s">
        <v>63</v>
      </c>
      <c r="F671" s="6" t="s">
        <v>557</v>
      </c>
      <c r="G671" s="27">
        <v>3</v>
      </c>
    </row>
    <row r="672" spans="1:7" ht="15.75" customHeight="1">
      <c r="A672" s="27">
        <v>217</v>
      </c>
      <c r="B672" s="30">
        <v>45853</v>
      </c>
      <c r="C672" s="27" t="s">
        <v>783</v>
      </c>
      <c r="D672" s="11" t="s">
        <v>62</v>
      </c>
      <c r="E672" s="1" t="s">
        <v>63</v>
      </c>
      <c r="F672" s="6" t="s">
        <v>514</v>
      </c>
      <c r="G672" s="27">
        <v>2</v>
      </c>
    </row>
    <row r="673" spans="1:7" ht="15.75" customHeight="1">
      <c r="A673" s="27">
        <v>217</v>
      </c>
      <c r="B673" s="30">
        <v>45853</v>
      </c>
      <c r="C673" s="27" t="s">
        <v>783</v>
      </c>
      <c r="D673" s="5" t="s">
        <v>479</v>
      </c>
      <c r="E673" s="1">
        <v>33</v>
      </c>
      <c r="F673" s="6" t="s">
        <v>628</v>
      </c>
      <c r="G673" s="27">
        <v>3</v>
      </c>
    </row>
    <row r="674" spans="1:7" ht="15.75" customHeight="1">
      <c r="A674" s="27">
        <v>217</v>
      </c>
      <c r="B674" s="30">
        <v>45853</v>
      </c>
      <c r="C674" s="27" t="s">
        <v>783</v>
      </c>
      <c r="D674" s="5" t="s">
        <v>489</v>
      </c>
      <c r="E674" s="1">
        <v>29</v>
      </c>
      <c r="F674" s="6" t="s">
        <v>606</v>
      </c>
      <c r="G674" s="27">
        <v>2</v>
      </c>
    </row>
    <row r="675" spans="1:7" ht="15.75" customHeight="1">
      <c r="A675" s="27">
        <v>217</v>
      </c>
      <c r="B675" s="30">
        <v>45853</v>
      </c>
      <c r="C675" s="27" t="s">
        <v>783</v>
      </c>
      <c r="D675" s="5" t="s">
        <v>489</v>
      </c>
      <c r="E675" s="1">
        <v>28</v>
      </c>
      <c r="F675" s="6" t="s">
        <v>604</v>
      </c>
      <c r="G675" s="27">
        <v>2</v>
      </c>
    </row>
    <row r="676" spans="1:7" ht="15.75" customHeight="1">
      <c r="A676" s="27">
        <v>217</v>
      </c>
      <c r="B676" s="30">
        <v>45853</v>
      </c>
      <c r="C676" s="27" t="s">
        <v>783</v>
      </c>
      <c r="D676" s="5" t="s">
        <v>489</v>
      </c>
      <c r="E676" s="1">
        <v>27</v>
      </c>
      <c r="F676" s="6" t="s">
        <v>602</v>
      </c>
      <c r="G676" s="27">
        <v>2</v>
      </c>
    </row>
    <row r="677" spans="1:7" ht="15.75" customHeight="1">
      <c r="A677" s="27">
        <v>217</v>
      </c>
      <c r="B677" s="30">
        <v>45853</v>
      </c>
      <c r="C677" s="27" t="s">
        <v>783</v>
      </c>
      <c r="D677" s="11" t="s">
        <v>62</v>
      </c>
      <c r="E677" s="1" t="s">
        <v>63</v>
      </c>
      <c r="F677" s="6" t="s">
        <v>482</v>
      </c>
      <c r="G677" s="27">
        <v>3</v>
      </c>
    </row>
    <row r="678" spans="1:7" ht="15.75" customHeight="1">
      <c r="A678" s="27">
        <v>217</v>
      </c>
      <c r="B678" s="30">
        <v>45853</v>
      </c>
      <c r="C678" s="27" t="s">
        <v>783</v>
      </c>
      <c r="D678" s="11" t="s">
        <v>62</v>
      </c>
      <c r="E678" s="1" t="s">
        <v>63</v>
      </c>
      <c r="F678" s="6" t="s">
        <v>630</v>
      </c>
      <c r="G678" s="27">
        <v>2</v>
      </c>
    </row>
    <row r="679" spans="1:7" ht="15.75" customHeight="1">
      <c r="A679" s="27">
        <v>217</v>
      </c>
      <c r="B679" s="30">
        <v>45853</v>
      </c>
      <c r="C679" s="27" t="s">
        <v>783</v>
      </c>
      <c r="D679" s="11" t="s">
        <v>62</v>
      </c>
      <c r="E679" s="1" t="s">
        <v>63</v>
      </c>
      <c r="F679" s="6" t="s">
        <v>500</v>
      </c>
      <c r="G679" s="27">
        <v>5</v>
      </c>
    </row>
    <row r="680" spans="1:7" ht="15.75" customHeight="1">
      <c r="A680" s="27">
        <v>217</v>
      </c>
      <c r="B680" s="30">
        <v>45853</v>
      </c>
      <c r="C680" s="27" t="s">
        <v>783</v>
      </c>
      <c r="D680" s="5" t="s">
        <v>489</v>
      </c>
      <c r="E680" s="1">
        <v>2</v>
      </c>
      <c r="F680" s="6" t="s">
        <v>488</v>
      </c>
      <c r="G680" s="27">
        <v>1</v>
      </c>
    </row>
    <row r="681" spans="1:7" ht="15.75" customHeight="1">
      <c r="A681" s="27">
        <v>217</v>
      </c>
      <c r="B681" s="30">
        <v>45853</v>
      </c>
      <c r="C681" s="27" t="s">
        <v>783</v>
      </c>
      <c r="D681" s="5" t="s">
        <v>489</v>
      </c>
      <c r="E681" s="1">
        <v>13</v>
      </c>
      <c r="F681" s="6" t="s">
        <v>536</v>
      </c>
      <c r="G681" s="27">
        <v>3</v>
      </c>
    </row>
    <row r="682" spans="1:7" ht="15.75" customHeight="1">
      <c r="A682" s="27">
        <v>217</v>
      </c>
      <c r="B682" s="30">
        <v>45853</v>
      </c>
      <c r="C682" s="27" t="s">
        <v>783</v>
      </c>
      <c r="D682" s="11" t="s">
        <v>62</v>
      </c>
      <c r="E682" s="1" t="s">
        <v>63</v>
      </c>
      <c r="F682" s="6" t="s">
        <v>501</v>
      </c>
      <c r="G682" s="27">
        <v>5</v>
      </c>
    </row>
  </sheetData>
  <autoFilter ref="F1:F680"/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'Stock y Compras'!$C:$C</xm:f>
          </x14:formula1>
          <xm:sqref>D2:D140 F312 D142:D359 D361:D426 D428:D483 D485:D497 D499:D537 D539:D622 D624:D672 D674:D682</xm:sqref>
        </x14:dataValidation>
        <x14:dataValidation type="list" allowBlank="1" showErrorMessage="1">
          <x14:formula1>
            <xm:f>'Stock y Compras'!$E:$E</xm:f>
          </x14:formula1>
          <xm:sqref>E2:E682</xm:sqref>
        </x14:dataValidation>
        <x14:dataValidation type="list" allowBlank="1" showErrorMessage="1">
          <x14:formula1>
            <xm:f>'Stock y Compras'!$B:$B</xm:f>
          </x14:formula1>
          <xm:sqref>F2:F311 F313:F682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1"/>
  <sheetViews>
    <sheetView workbookViewId="0">
      <selection sqref="A1:F2"/>
    </sheetView>
  </sheetViews>
  <sheetFormatPr baseColWidth="10" defaultColWidth="12.6328125" defaultRowHeight="15" customHeight="1"/>
  <cols>
    <col min="1" max="1" width="39.7265625" customWidth="1"/>
    <col min="2" max="2" width="16.08984375" customWidth="1"/>
    <col min="3" max="3" width="6.453125" customWidth="1"/>
    <col min="4" max="4" width="6.7265625" customWidth="1"/>
    <col min="5" max="5" width="51.90625" customWidth="1"/>
    <col min="6" max="6" width="8.90625" customWidth="1"/>
    <col min="7" max="7" width="9.36328125" customWidth="1"/>
  </cols>
  <sheetData>
    <row r="1" spans="1:7" ht="15" customHeight="1">
      <c r="A1" s="40" t="s">
        <v>784</v>
      </c>
      <c r="B1" s="41"/>
      <c r="C1" s="41"/>
      <c r="D1" s="41"/>
      <c r="E1" s="41"/>
      <c r="F1" s="41"/>
    </row>
    <row r="2" spans="1:7" ht="15" customHeight="1">
      <c r="A2" s="49" t="s">
        <v>2</v>
      </c>
      <c r="B2" s="50" t="s">
        <v>789</v>
      </c>
      <c r="C2" s="41"/>
      <c r="D2" s="41"/>
      <c r="E2" s="41"/>
      <c r="F2" s="41"/>
    </row>
    <row r="3" spans="1:7" ht="14.5">
      <c r="A3" s="49" t="s">
        <v>7</v>
      </c>
      <c r="B3" s="51">
        <v>11792300</v>
      </c>
      <c r="C3" s="31"/>
      <c r="D3" s="31"/>
      <c r="E3" s="49" t="s">
        <v>2</v>
      </c>
      <c r="F3" s="50" t="s">
        <v>789</v>
      </c>
    </row>
    <row r="4" spans="1:7" ht="18.5">
      <c r="A4" s="33"/>
      <c r="B4" s="34"/>
      <c r="C4" s="33"/>
      <c r="D4" s="33"/>
      <c r="E4" s="33"/>
      <c r="F4" s="33"/>
      <c r="G4" s="35"/>
    </row>
    <row r="5" spans="1:7" ht="14.5">
      <c r="A5" s="42"/>
      <c r="B5" s="44" t="s">
        <v>786</v>
      </c>
      <c r="D5" s="31"/>
      <c r="E5" s="42" t="s">
        <v>475</v>
      </c>
      <c r="F5" s="42" t="s">
        <v>785</v>
      </c>
      <c r="G5" s="45">
        <v>67</v>
      </c>
    </row>
    <row r="6" spans="1:7" ht="14.5">
      <c r="A6" s="42" t="s">
        <v>11</v>
      </c>
      <c r="B6" s="45">
        <v>11792300</v>
      </c>
      <c r="D6" s="31"/>
      <c r="E6" s="52"/>
      <c r="F6" s="53" t="s">
        <v>787</v>
      </c>
      <c r="G6" s="54">
        <v>58</v>
      </c>
    </row>
    <row r="7" spans="1:7" ht="14.5">
      <c r="A7" s="46" t="s">
        <v>788</v>
      </c>
      <c r="B7" s="48">
        <v>11792300</v>
      </c>
      <c r="C7" s="31"/>
      <c r="D7" s="31"/>
      <c r="E7" s="42" t="s">
        <v>474</v>
      </c>
      <c r="F7" s="42" t="s">
        <v>785</v>
      </c>
      <c r="G7" s="45">
        <v>64</v>
      </c>
    </row>
    <row r="8" spans="1:7" ht="14.5">
      <c r="A8" s="36"/>
      <c r="B8" s="32"/>
      <c r="C8" s="31"/>
      <c r="D8" s="31"/>
      <c r="E8" s="52"/>
      <c r="F8" s="53" t="s">
        <v>787</v>
      </c>
      <c r="G8" s="54">
        <v>59</v>
      </c>
    </row>
    <row r="9" spans="1:7" ht="14.5">
      <c r="A9" s="36"/>
      <c r="B9" s="32"/>
      <c r="C9" s="31"/>
      <c r="D9" s="31"/>
      <c r="E9" s="42" t="s">
        <v>477</v>
      </c>
      <c r="F9" s="42" t="s">
        <v>785</v>
      </c>
      <c r="G9" s="45">
        <v>74</v>
      </c>
    </row>
    <row r="10" spans="1:7" ht="14.5">
      <c r="A10" s="36"/>
      <c r="B10" s="32"/>
      <c r="C10" s="31"/>
      <c r="D10" s="31"/>
      <c r="E10" s="52"/>
      <c r="F10" s="53" t="s">
        <v>787</v>
      </c>
      <c r="G10" s="54">
        <v>60</v>
      </c>
    </row>
    <row r="11" spans="1:7" ht="14.5">
      <c r="A11" s="36"/>
      <c r="B11" s="32"/>
      <c r="C11" s="31"/>
      <c r="D11" s="31"/>
      <c r="E11" s="42" t="s">
        <v>476</v>
      </c>
      <c r="F11" s="42" t="s">
        <v>785</v>
      </c>
      <c r="G11" s="45">
        <v>4</v>
      </c>
    </row>
    <row r="12" spans="1:7" ht="14.5">
      <c r="A12" s="36"/>
      <c r="B12" s="32"/>
      <c r="C12" s="31"/>
      <c r="D12" s="31"/>
      <c r="E12" s="52"/>
      <c r="F12" s="53" t="s">
        <v>787</v>
      </c>
      <c r="G12" s="54">
        <v>4</v>
      </c>
    </row>
    <row r="13" spans="1:7" ht="14.5">
      <c r="A13" s="36"/>
      <c r="B13" s="32"/>
      <c r="C13" s="31"/>
      <c r="D13" s="31"/>
      <c r="E13" s="42" t="s">
        <v>637</v>
      </c>
      <c r="F13" s="42" t="s">
        <v>785</v>
      </c>
      <c r="G13" s="45">
        <v>96</v>
      </c>
    </row>
    <row r="14" spans="1:7" ht="14.5">
      <c r="A14" s="36"/>
      <c r="B14" s="32"/>
      <c r="C14" s="31"/>
      <c r="D14" s="31"/>
      <c r="E14" s="52"/>
      <c r="F14" s="53" t="s">
        <v>787</v>
      </c>
      <c r="G14" s="54">
        <v>96</v>
      </c>
    </row>
    <row r="15" spans="1:7" ht="14.5">
      <c r="A15" s="36"/>
      <c r="B15" s="32"/>
      <c r="C15" s="31"/>
      <c r="D15" s="31"/>
      <c r="E15" s="42" t="s">
        <v>638</v>
      </c>
      <c r="F15" s="42" t="s">
        <v>785</v>
      </c>
      <c r="G15" s="45">
        <v>93</v>
      </c>
    </row>
    <row r="16" spans="1:7" ht="14.5">
      <c r="A16" s="36"/>
      <c r="B16" s="32"/>
      <c r="C16" s="31"/>
      <c r="D16" s="31"/>
      <c r="E16" s="52"/>
      <c r="F16" s="53" t="s">
        <v>787</v>
      </c>
      <c r="G16" s="54">
        <v>93</v>
      </c>
    </row>
    <row r="17" spans="1:7" ht="14.5">
      <c r="A17" s="36"/>
      <c r="B17" s="32"/>
      <c r="C17" s="31"/>
      <c r="D17" s="31"/>
      <c r="E17" s="42" t="s">
        <v>291</v>
      </c>
      <c r="F17" s="42" t="s">
        <v>785</v>
      </c>
      <c r="G17" s="45">
        <v>15</v>
      </c>
    </row>
    <row r="18" spans="1:7" ht="14.5">
      <c r="A18" s="36"/>
      <c r="B18" s="32"/>
      <c r="C18" s="31"/>
      <c r="D18" s="31"/>
      <c r="E18" s="52"/>
      <c r="F18" s="53" t="s">
        <v>787</v>
      </c>
      <c r="G18" s="54">
        <v>15</v>
      </c>
    </row>
    <row r="19" spans="1:7" ht="14.5">
      <c r="A19" s="36"/>
      <c r="B19" s="32"/>
      <c r="C19" s="31"/>
      <c r="D19" s="31"/>
      <c r="E19" s="42" t="s">
        <v>292</v>
      </c>
      <c r="F19" s="42" t="s">
        <v>785</v>
      </c>
      <c r="G19" s="45">
        <v>29</v>
      </c>
    </row>
    <row r="20" spans="1:7" ht="14.5">
      <c r="A20" s="36"/>
      <c r="B20" s="32"/>
      <c r="C20" s="31"/>
      <c r="D20" s="31"/>
      <c r="E20" s="52"/>
      <c r="F20" s="53" t="s">
        <v>787</v>
      </c>
      <c r="G20" s="54">
        <v>29</v>
      </c>
    </row>
    <row r="21" spans="1:7" ht="15.75" customHeight="1">
      <c r="A21" s="36"/>
      <c r="B21" s="32"/>
      <c r="C21" s="31"/>
      <c r="D21" s="31"/>
      <c r="E21" s="42" t="s">
        <v>58</v>
      </c>
      <c r="F21" s="42" t="s">
        <v>785</v>
      </c>
      <c r="G21" s="45">
        <v>10</v>
      </c>
    </row>
    <row r="22" spans="1:7" ht="15.75" customHeight="1">
      <c r="A22" s="36"/>
      <c r="B22" s="32"/>
      <c r="C22" s="31"/>
      <c r="D22" s="31"/>
      <c r="E22" s="52"/>
      <c r="F22" s="53" t="s">
        <v>787</v>
      </c>
      <c r="G22" s="54">
        <v>6</v>
      </c>
    </row>
    <row r="23" spans="1:7" ht="15.75" customHeight="1">
      <c r="A23" s="36"/>
      <c r="B23" s="32"/>
      <c r="C23" s="31"/>
      <c r="D23" s="31"/>
      <c r="E23" s="42" t="s">
        <v>483</v>
      </c>
      <c r="F23" s="42" t="s">
        <v>785</v>
      </c>
      <c r="G23" s="45">
        <v>325</v>
      </c>
    </row>
    <row r="24" spans="1:7" ht="15.75" customHeight="1">
      <c r="A24" s="36"/>
      <c r="B24" s="32"/>
      <c r="C24" s="31"/>
      <c r="D24" s="31"/>
      <c r="E24" s="52"/>
      <c r="F24" s="53" t="s">
        <v>787</v>
      </c>
      <c r="G24" s="54">
        <v>304</v>
      </c>
    </row>
    <row r="25" spans="1:7" ht="15.75" customHeight="1">
      <c r="A25" s="36"/>
      <c r="B25" s="32"/>
      <c r="C25" s="31"/>
      <c r="D25" s="31"/>
      <c r="E25" s="42" t="s">
        <v>61</v>
      </c>
      <c r="F25" s="42" t="s">
        <v>785</v>
      </c>
      <c r="G25" s="45">
        <v>1</v>
      </c>
    </row>
    <row r="26" spans="1:7" ht="15.75" customHeight="1">
      <c r="A26" s="36"/>
      <c r="B26" s="32"/>
      <c r="C26" s="31"/>
      <c r="D26" s="31"/>
      <c r="E26" s="52"/>
      <c r="F26" s="53" t="s">
        <v>787</v>
      </c>
      <c r="G26" s="54">
        <v>1</v>
      </c>
    </row>
    <row r="27" spans="1:7" ht="15.75" customHeight="1">
      <c r="A27" s="36"/>
      <c r="B27" s="32"/>
      <c r="C27" s="31"/>
      <c r="D27" s="31"/>
      <c r="E27" s="42" t="s">
        <v>478</v>
      </c>
      <c r="F27" s="42" t="s">
        <v>785</v>
      </c>
      <c r="G27" s="45">
        <v>100</v>
      </c>
    </row>
    <row r="28" spans="1:7" ht="15.75" customHeight="1">
      <c r="A28" s="36"/>
      <c r="B28" s="32"/>
      <c r="C28" s="31"/>
      <c r="D28" s="31"/>
      <c r="E28" s="52"/>
      <c r="F28" s="53" t="s">
        <v>787</v>
      </c>
      <c r="G28" s="54">
        <v>100</v>
      </c>
    </row>
    <row r="29" spans="1:7" ht="15.75" customHeight="1">
      <c r="A29" s="36"/>
      <c r="B29" s="32"/>
      <c r="C29" s="31"/>
      <c r="D29" s="31"/>
      <c r="E29" s="42" t="s">
        <v>484</v>
      </c>
      <c r="F29" s="42" t="s">
        <v>785</v>
      </c>
      <c r="G29" s="45">
        <v>94</v>
      </c>
    </row>
    <row r="30" spans="1:7" ht="15.75" customHeight="1">
      <c r="A30" s="36"/>
      <c r="B30" s="32"/>
      <c r="C30" s="31"/>
      <c r="D30" s="31"/>
      <c r="E30" s="52"/>
      <c r="F30" s="53" t="s">
        <v>787</v>
      </c>
      <c r="G30" s="54">
        <v>70</v>
      </c>
    </row>
    <row r="31" spans="1:7" ht="15.75" customHeight="1">
      <c r="A31" s="36"/>
      <c r="B31" s="32"/>
      <c r="C31" s="31"/>
      <c r="D31" s="31"/>
      <c r="E31" s="42" t="s">
        <v>481</v>
      </c>
      <c r="F31" s="42" t="s">
        <v>785</v>
      </c>
      <c r="G31" s="45">
        <v>117</v>
      </c>
    </row>
    <row r="32" spans="1:7" ht="15.75" customHeight="1">
      <c r="A32" s="36"/>
      <c r="B32" s="32"/>
      <c r="C32" s="31"/>
      <c r="D32" s="31"/>
      <c r="E32" s="52"/>
      <c r="F32" s="53" t="s">
        <v>787</v>
      </c>
      <c r="G32" s="54">
        <v>94</v>
      </c>
    </row>
    <row r="33" spans="1:7" ht="15.75" customHeight="1">
      <c r="A33" s="36"/>
      <c r="B33" s="32"/>
      <c r="C33" s="31"/>
      <c r="D33" s="31"/>
      <c r="E33" s="42" t="s">
        <v>482</v>
      </c>
      <c r="F33" s="42" t="s">
        <v>785</v>
      </c>
      <c r="G33" s="45">
        <v>281</v>
      </c>
    </row>
    <row r="34" spans="1:7" ht="15.75" customHeight="1">
      <c r="A34" s="36"/>
      <c r="B34" s="32"/>
      <c r="C34" s="31"/>
      <c r="D34" s="31"/>
      <c r="E34" s="52"/>
      <c r="F34" s="53" t="s">
        <v>787</v>
      </c>
      <c r="G34" s="54">
        <v>238</v>
      </c>
    </row>
    <row r="35" spans="1:7" ht="15.75" customHeight="1">
      <c r="A35" s="36"/>
      <c r="B35" s="32"/>
      <c r="C35" s="31"/>
      <c r="D35" s="31"/>
      <c r="E35" s="42" t="s">
        <v>487</v>
      </c>
      <c r="F35" s="42" t="s">
        <v>785</v>
      </c>
      <c r="G35" s="45">
        <v>41</v>
      </c>
    </row>
    <row r="36" spans="1:7" ht="15.75" customHeight="1">
      <c r="A36" s="36"/>
      <c r="B36" s="32"/>
      <c r="C36" s="31"/>
      <c r="D36" s="31"/>
      <c r="E36" s="52"/>
      <c r="F36" s="53" t="s">
        <v>787</v>
      </c>
      <c r="G36" s="54">
        <v>41</v>
      </c>
    </row>
    <row r="37" spans="1:7" ht="15.75" customHeight="1">
      <c r="A37" s="36"/>
      <c r="B37" s="32"/>
      <c r="C37" s="31"/>
      <c r="D37" s="31"/>
      <c r="E37" s="42" t="s">
        <v>715</v>
      </c>
      <c r="F37" s="42" t="s">
        <v>785</v>
      </c>
      <c r="G37" s="45">
        <v>2</v>
      </c>
    </row>
    <row r="38" spans="1:7" ht="15.75" customHeight="1">
      <c r="A38" s="36"/>
      <c r="B38" s="32"/>
      <c r="C38" s="31"/>
      <c r="D38" s="31"/>
      <c r="E38" s="52"/>
      <c r="F38" s="53" t="s">
        <v>787</v>
      </c>
      <c r="G38" s="54">
        <v>2</v>
      </c>
    </row>
    <row r="39" spans="1:7" ht="15.75" customHeight="1">
      <c r="A39" s="36"/>
      <c r="B39" s="32"/>
      <c r="C39" s="31"/>
      <c r="D39" s="31"/>
      <c r="E39" s="42" t="s">
        <v>64</v>
      </c>
      <c r="F39" s="42" t="s">
        <v>785</v>
      </c>
      <c r="G39" s="45">
        <v>27</v>
      </c>
    </row>
    <row r="40" spans="1:7" ht="15.75" customHeight="1">
      <c r="A40" s="36"/>
      <c r="B40" s="32"/>
      <c r="C40" s="31"/>
      <c r="D40" s="31"/>
      <c r="E40" s="52"/>
      <c r="F40" s="53" t="s">
        <v>787</v>
      </c>
      <c r="G40" s="54">
        <v>27</v>
      </c>
    </row>
    <row r="41" spans="1:7" ht="15.75" customHeight="1">
      <c r="A41" s="36"/>
      <c r="B41" s="32"/>
      <c r="C41" s="31"/>
      <c r="D41" s="31"/>
      <c r="E41" s="42" t="s">
        <v>66</v>
      </c>
      <c r="F41" s="42" t="s">
        <v>785</v>
      </c>
      <c r="G41" s="45">
        <v>61</v>
      </c>
    </row>
    <row r="42" spans="1:7" ht="15.75" customHeight="1">
      <c r="A42" s="36"/>
      <c r="B42" s="32"/>
      <c r="C42" s="31"/>
      <c r="D42" s="31"/>
      <c r="E42" s="52"/>
      <c r="F42" s="53" t="s">
        <v>787</v>
      </c>
      <c r="G42" s="54">
        <v>61</v>
      </c>
    </row>
    <row r="43" spans="1:7" ht="15.75" customHeight="1">
      <c r="A43" s="36"/>
      <c r="B43" s="32"/>
      <c r="C43" s="31"/>
      <c r="D43" s="31"/>
      <c r="E43" s="42" t="s">
        <v>485</v>
      </c>
      <c r="F43" s="42" t="s">
        <v>785</v>
      </c>
      <c r="G43" s="45">
        <v>53</v>
      </c>
    </row>
    <row r="44" spans="1:7" ht="15.75" customHeight="1">
      <c r="A44" s="36"/>
      <c r="B44" s="32"/>
      <c r="C44" s="31"/>
      <c r="D44" s="31"/>
      <c r="E44" s="52"/>
      <c r="F44" s="53" t="s">
        <v>787</v>
      </c>
      <c r="G44" s="54">
        <v>53</v>
      </c>
    </row>
    <row r="45" spans="1:7" ht="15.75" customHeight="1">
      <c r="A45" s="36"/>
      <c r="B45" s="32"/>
      <c r="C45" s="31"/>
      <c r="D45" s="31"/>
      <c r="E45" s="42" t="s">
        <v>486</v>
      </c>
      <c r="F45" s="42" t="s">
        <v>785</v>
      </c>
      <c r="G45" s="45">
        <v>423</v>
      </c>
    </row>
    <row r="46" spans="1:7" ht="15.75" customHeight="1">
      <c r="A46" s="36"/>
      <c r="B46" s="32"/>
      <c r="C46" s="31"/>
      <c r="D46" s="31"/>
      <c r="E46" s="52"/>
      <c r="F46" s="53" t="s">
        <v>787</v>
      </c>
      <c r="G46" s="54">
        <v>330</v>
      </c>
    </row>
    <row r="47" spans="1:7" ht="15.75" customHeight="1">
      <c r="A47" s="36"/>
      <c r="B47" s="32"/>
      <c r="C47" s="31"/>
      <c r="D47" s="31"/>
      <c r="E47" s="42" t="s">
        <v>69</v>
      </c>
      <c r="F47" s="42" t="s">
        <v>785</v>
      </c>
      <c r="G47" s="45">
        <v>100</v>
      </c>
    </row>
    <row r="48" spans="1:7" ht="15.75" customHeight="1">
      <c r="A48" s="36"/>
      <c r="B48" s="32"/>
      <c r="C48" s="31"/>
      <c r="D48" s="31"/>
      <c r="E48" s="52"/>
      <c r="F48" s="53" t="s">
        <v>787</v>
      </c>
      <c r="G48" s="54">
        <v>100</v>
      </c>
    </row>
    <row r="49" spans="1:7" ht="15.75" customHeight="1">
      <c r="A49" s="36"/>
      <c r="B49" s="32"/>
      <c r="C49" s="31"/>
      <c r="D49" s="31"/>
      <c r="E49" s="42" t="s">
        <v>488</v>
      </c>
      <c r="F49" s="42" t="s">
        <v>785</v>
      </c>
      <c r="G49" s="45">
        <v>100</v>
      </c>
    </row>
    <row r="50" spans="1:7" ht="15.75" customHeight="1">
      <c r="A50" s="36"/>
      <c r="B50" s="32"/>
      <c r="C50" s="31"/>
      <c r="D50" s="31"/>
      <c r="E50" s="52"/>
      <c r="F50" s="53" t="s">
        <v>787</v>
      </c>
      <c r="G50" s="54">
        <v>67</v>
      </c>
    </row>
    <row r="51" spans="1:7" ht="15.75" customHeight="1">
      <c r="A51" s="36"/>
      <c r="B51" s="32"/>
      <c r="C51" s="31"/>
      <c r="D51" s="31"/>
      <c r="E51" s="42" t="s">
        <v>293</v>
      </c>
      <c r="F51" s="42" t="s">
        <v>785</v>
      </c>
      <c r="G51" s="45">
        <v>2</v>
      </c>
    </row>
    <row r="52" spans="1:7" ht="15.75" customHeight="1">
      <c r="A52" s="36"/>
      <c r="B52" s="32"/>
      <c r="C52" s="31"/>
      <c r="D52" s="31"/>
      <c r="E52" s="52"/>
      <c r="F52" s="53" t="s">
        <v>787</v>
      </c>
      <c r="G52" s="54">
        <v>2</v>
      </c>
    </row>
    <row r="53" spans="1:7" ht="15.75" customHeight="1">
      <c r="A53" s="36"/>
      <c r="B53" s="32"/>
      <c r="C53" s="31"/>
      <c r="D53" s="31"/>
      <c r="E53" s="42" t="s">
        <v>716</v>
      </c>
      <c r="F53" s="42" t="s">
        <v>785</v>
      </c>
      <c r="G53" s="45">
        <v>8</v>
      </c>
    </row>
    <row r="54" spans="1:7" ht="15.75" customHeight="1">
      <c r="A54" s="36"/>
      <c r="B54" s="32"/>
      <c r="C54" s="31"/>
      <c r="D54" s="31"/>
      <c r="E54" s="52"/>
      <c r="F54" s="53" t="s">
        <v>787</v>
      </c>
      <c r="G54" s="54">
        <v>8</v>
      </c>
    </row>
    <row r="55" spans="1:7" ht="15.75" customHeight="1">
      <c r="A55" s="36"/>
      <c r="B55" s="32"/>
      <c r="C55" s="31"/>
      <c r="D55" s="31"/>
      <c r="E55" s="42" t="s">
        <v>295</v>
      </c>
      <c r="F55" s="42" t="s">
        <v>785</v>
      </c>
      <c r="G55" s="45">
        <v>300</v>
      </c>
    </row>
    <row r="56" spans="1:7" ht="15.75" customHeight="1">
      <c r="A56" s="36"/>
      <c r="B56" s="32"/>
      <c r="C56" s="31"/>
      <c r="D56" s="31"/>
      <c r="E56" s="52"/>
      <c r="F56" s="53" t="s">
        <v>787</v>
      </c>
      <c r="G56" s="54">
        <v>189</v>
      </c>
    </row>
    <row r="57" spans="1:7" ht="15.75" customHeight="1">
      <c r="A57" s="36"/>
      <c r="B57" s="32"/>
      <c r="C57" s="31"/>
      <c r="D57" s="31"/>
      <c r="E57" s="42" t="s">
        <v>294</v>
      </c>
      <c r="F57" s="42" t="s">
        <v>785</v>
      </c>
      <c r="G57" s="45">
        <v>153</v>
      </c>
    </row>
    <row r="58" spans="1:7" ht="15.75" customHeight="1">
      <c r="A58" s="36"/>
      <c r="B58" s="32"/>
      <c r="C58" s="31"/>
      <c r="D58" s="31"/>
      <c r="E58" s="52"/>
      <c r="F58" s="53" t="s">
        <v>787</v>
      </c>
      <c r="G58" s="54">
        <v>153</v>
      </c>
    </row>
    <row r="59" spans="1:7" ht="15.75" customHeight="1">
      <c r="A59" s="36"/>
      <c r="B59" s="32"/>
      <c r="C59" s="31"/>
      <c r="D59" s="31"/>
      <c r="E59" s="42" t="s">
        <v>298</v>
      </c>
      <c r="F59" s="42" t="s">
        <v>785</v>
      </c>
      <c r="G59" s="45">
        <v>90</v>
      </c>
    </row>
    <row r="60" spans="1:7" ht="15.75" customHeight="1">
      <c r="A60" s="36"/>
      <c r="B60" s="32"/>
      <c r="C60" s="31"/>
      <c r="D60" s="31"/>
      <c r="E60" s="52"/>
      <c r="F60" s="53" t="s">
        <v>787</v>
      </c>
      <c r="G60" s="54">
        <v>90</v>
      </c>
    </row>
    <row r="61" spans="1:7" ht="15.75" customHeight="1">
      <c r="A61" s="36"/>
      <c r="B61" s="32"/>
      <c r="C61" s="31"/>
      <c r="D61" s="31"/>
      <c r="E61" s="42" t="s">
        <v>491</v>
      </c>
      <c r="F61" s="42" t="s">
        <v>785</v>
      </c>
      <c r="G61" s="45">
        <v>100</v>
      </c>
    </row>
    <row r="62" spans="1:7" ht="15.75" customHeight="1">
      <c r="A62" s="36"/>
      <c r="B62" s="32"/>
      <c r="C62" s="31"/>
      <c r="D62" s="31"/>
      <c r="E62" s="52"/>
      <c r="F62" s="53" t="s">
        <v>787</v>
      </c>
      <c r="G62" s="54">
        <v>76</v>
      </c>
    </row>
    <row r="63" spans="1:7" ht="15.75" customHeight="1">
      <c r="A63" s="36"/>
      <c r="B63" s="32"/>
      <c r="C63" s="31"/>
      <c r="D63" s="31"/>
      <c r="E63" s="42" t="s">
        <v>493</v>
      </c>
      <c r="F63" s="42" t="s">
        <v>785</v>
      </c>
      <c r="G63" s="45">
        <v>100</v>
      </c>
    </row>
    <row r="64" spans="1:7" ht="15.75" customHeight="1">
      <c r="A64" s="36"/>
      <c r="B64" s="32"/>
      <c r="C64" s="31"/>
      <c r="D64" s="31"/>
      <c r="E64" s="52"/>
      <c r="F64" s="53" t="s">
        <v>787</v>
      </c>
      <c r="G64" s="54">
        <v>76</v>
      </c>
    </row>
    <row r="65" spans="1:7" ht="15.75" customHeight="1">
      <c r="A65" s="36"/>
      <c r="B65" s="32"/>
      <c r="C65" s="31"/>
      <c r="D65" s="31"/>
      <c r="E65" s="42" t="s">
        <v>495</v>
      </c>
      <c r="F65" s="42" t="s">
        <v>785</v>
      </c>
      <c r="G65" s="45">
        <v>1000</v>
      </c>
    </row>
    <row r="66" spans="1:7" ht="15.75" customHeight="1">
      <c r="A66" s="36"/>
      <c r="B66" s="32"/>
      <c r="C66" s="31"/>
      <c r="D66" s="31"/>
      <c r="E66" s="52"/>
      <c r="F66" s="53" t="s">
        <v>787</v>
      </c>
      <c r="G66" s="54">
        <v>330</v>
      </c>
    </row>
    <row r="67" spans="1:7" ht="15.75" customHeight="1">
      <c r="A67" s="36"/>
      <c r="B67" s="32"/>
      <c r="C67" s="31"/>
      <c r="D67" s="31"/>
      <c r="E67" s="42" t="s">
        <v>497</v>
      </c>
      <c r="F67" s="42" t="s">
        <v>785</v>
      </c>
      <c r="G67" s="45">
        <v>1569</v>
      </c>
    </row>
    <row r="68" spans="1:7" ht="15.75" customHeight="1">
      <c r="A68" s="36"/>
      <c r="B68" s="32"/>
      <c r="C68" s="31"/>
      <c r="D68" s="31"/>
      <c r="E68" s="52"/>
      <c r="F68" s="53" t="s">
        <v>787</v>
      </c>
      <c r="G68" s="54">
        <v>1160</v>
      </c>
    </row>
    <row r="69" spans="1:7" ht="15.75" customHeight="1">
      <c r="A69" s="36"/>
      <c r="B69" s="32"/>
      <c r="C69" s="31"/>
      <c r="D69" s="31"/>
      <c r="E69" s="42" t="s">
        <v>498</v>
      </c>
      <c r="F69" s="42" t="s">
        <v>785</v>
      </c>
      <c r="G69" s="45">
        <v>998</v>
      </c>
    </row>
    <row r="70" spans="1:7" ht="15.75" customHeight="1">
      <c r="A70" s="36"/>
      <c r="B70" s="32"/>
      <c r="C70" s="31"/>
      <c r="D70" s="31"/>
      <c r="E70" s="52"/>
      <c r="F70" s="53" t="s">
        <v>787</v>
      </c>
      <c r="G70" s="54">
        <v>884</v>
      </c>
    </row>
    <row r="71" spans="1:7" ht="15.75" customHeight="1">
      <c r="A71" s="36"/>
      <c r="B71" s="32"/>
      <c r="C71" s="31"/>
      <c r="D71" s="31"/>
      <c r="E71" s="42" t="s">
        <v>499</v>
      </c>
      <c r="F71" s="42" t="s">
        <v>785</v>
      </c>
      <c r="G71" s="45">
        <v>1179</v>
      </c>
    </row>
    <row r="72" spans="1:7" ht="15.75" customHeight="1">
      <c r="A72" s="36"/>
      <c r="B72" s="32"/>
      <c r="C72" s="31"/>
      <c r="D72" s="31"/>
      <c r="E72" s="52"/>
      <c r="F72" s="53" t="s">
        <v>787</v>
      </c>
      <c r="G72" s="54">
        <v>1099</v>
      </c>
    </row>
    <row r="73" spans="1:7" ht="15.75" customHeight="1">
      <c r="A73" s="36"/>
      <c r="B73" s="32"/>
      <c r="C73" s="31"/>
      <c r="D73" s="31"/>
      <c r="E73" s="42" t="s">
        <v>647</v>
      </c>
      <c r="F73" s="42" t="s">
        <v>785</v>
      </c>
      <c r="G73" s="45">
        <v>18</v>
      </c>
    </row>
    <row r="74" spans="1:7" ht="15.75" customHeight="1">
      <c r="A74" s="36"/>
      <c r="B74" s="32"/>
      <c r="C74" s="31"/>
      <c r="D74" s="31"/>
      <c r="E74" s="52"/>
      <c r="F74" s="53" t="s">
        <v>787</v>
      </c>
      <c r="G74" s="54">
        <v>18</v>
      </c>
    </row>
    <row r="75" spans="1:7" ht="15.75" customHeight="1">
      <c r="A75" s="36"/>
      <c r="B75" s="32"/>
      <c r="C75" s="31"/>
      <c r="D75" s="31"/>
      <c r="E75" s="42" t="s">
        <v>77</v>
      </c>
      <c r="F75" s="42" t="s">
        <v>785</v>
      </c>
      <c r="G75" s="45">
        <v>12</v>
      </c>
    </row>
    <row r="76" spans="1:7" ht="15.75" customHeight="1">
      <c r="A76" s="36"/>
      <c r="B76" s="32"/>
      <c r="C76" s="31"/>
      <c r="D76" s="31"/>
      <c r="E76" s="52"/>
      <c r="F76" s="53" t="s">
        <v>787</v>
      </c>
      <c r="G76" s="54">
        <v>12</v>
      </c>
    </row>
    <row r="77" spans="1:7" ht="15.75" customHeight="1">
      <c r="A77" s="36"/>
      <c r="B77" s="32"/>
      <c r="C77" s="31"/>
      <c r="D77" s="31"/>
      <c r="E77" s="42" t="s">
        <v>76</v>
      </c>
      <c r="F77" s="42" t="s">
        <v>785</v>
      </c>
      <c r="G77" s="45">
        <v>11</v>
      </c>
    </row>
    <row r="78" spans="1:7" ht="15.75" customHeight="1">
      <c r="A78" s="36"/>
      <c r="B78" s="32"/>
      <c r="C78" s="31"/>
      <c r="D78" s="31"/>
      <c r="E78" s="52"/>
      <c r="F78" s="53" t="s">
        <v>787</v>
      </c>
      <c r="G78" s="54">
        <v>11</v>
      </c>
    </row>
    <row r="79" spans="1:7" ht="15.75" customHeight="1">
      <c r="A79" s="36"/>
      <c r="B79" s="32"/>
      <c r="C79" s="31"/>
      <c r="D79" s="31"/>
      <c r="E79" s="42" t="s">
        <v>78</v>
      </c>
      <c r="F79" s="42" t="s">
        <v>785</v>
      </c>
      <c r="G79" s="45">
        <v>9</v>
      </c>
    </row>
    <row r="80" spans="1:7" ht="15.75" customHeight="1">
      <c r="A80" s="36"/>
      <c r="B80" s="32"/>
      <c r="C80" s="31"/>
      <c r="D80" s="31"/>
      <c r="E80" s="52"/>
      <c r="F80" s="53" t="s">
        <v>787</v>
      </c>
      <c r="G80" s="54">
        <v>9</v>
      </c>
    </row>
    <row r="81" spans="1:7" ht="15.75" customHeight="1">
      <c r="A81" s="36"/>
      <c r="B81" s="32"/>
      <c r="C81" s="31"/>
      <c r="D81" s="31"/>
      <c r="E81" s="42" t="s">
        <v>72</v>
      </c>
      <c r="F81" s="42" t="s">
        <v>785</v>
      </c>
      <c r="G81" s="45">
        <v>50</v>
      </c>
    </row>
    <row r="82" spans="1:7" ht="15.75" customHeight="1">
      <c r="A82" s="36"/>
      <c r="B82" s="32"/>
      <c r="C82" s="31"/>
      <c r="D82" s="31"/>
      <c r="E82" s="52"/>
      <c r="F82" s="53" t="s">
        <v>787</v>
      </c>
      <c r="G82" s="54">
        <v>46</v>
      </c>
    </row>
    <row r="83" spans="1:7" ht="15.75" customHeight="1">
      <c r="A83" s="36"/>
      <c r="B83" s="32"/>
      <c r="C83" s="31"/>
      <c r="D83" s="31"/>
      <c r="E83" s="42" t="s">
        <v>74</v>
      </c>
      <c r="F83" s="42" t="s">
        <v>785</v>
      </c>
      <c r="G83" s="45">
        <v>19</v>
      </c>
    </row>
    <row r="84" spans="1:7" ht="15.75" customHeight="1">
      <c r="A84" s="36"/>
      <c r="B84" s="32"/>
      <c r="C84" s="31"/>
      <c r="D84" s="31"/>
      <c r="E84" s="52"/>
      <c r="F84" s="53" t="s">
        <v>787</v>
      </c>
      <c r="G84" s="54">
        <v>19</v>
      </c>
    </row>
    <row r="85" spans="1:7" ht="15.75" customHeight="1">
      <c r="A85" s="36"/>
      <c r="B85" s="32"/>
      <c r="C85" s="31"/>
      <c r="D85" s="31"/>
      <c r="E85" s="42" t="s">
        <v>510</v>
      </c>
      <c r="F85" s="42" t="s">
        <v>785</v>
      </c>
      <c r="G85" s="45">
        <v>1193</v>
      </c>
    </row>
    <row r="86" spans="1:7" ht="15.75" customHeight="1">
      <c r="A86" s="36"/>
      <c r="B86" s="32"/>
      <c r="C86" s="31"/>
      <c r="D86" s="31"/>
      <c r="E86" s="52"/>
      <c r="F86" s="53" t="s">
        <v>787</v>
      </c>
      <c r="G86" s="54">
        <v>1193</v>
      </c>
    </row>
    <row r="87" spans="1:7" ht="15.75" customHeight="1">
      <c r="A87" s="36"/>
      <c r="B87" s="32"/>
      <c r="C87" s="31"/>
      <c r="D87" s="31"/>
      <c r="E87" s="42" t="s">
        <v>509</v>
      </c>
      <c r="F87" s="42" t="s">
        <v>785</v>
      </c>
      <c r="G87" s="45">
        <v>1176</v>
      </c>
    </row>
    <row r="88" spans="1:7" ht="15.75" customHeight="1">
      <c r="A88" s="36"/>
      <c r="B88" s="32"/>
      <c r="C88" s="31"/>
      <c r="D88" s="31"/>
      <c r="E88" s="52"/>
      <c r="F88" s="53" t="s">
        <v>787</v>
      </c>
      <c r="G88" s="54">
        <v>1176</v>
      </c>
    </row>
    <row r="89" spans="1:7" ht="15.75" customHeight="1">
      <c r="A89" s="36"/>
      <c r="B89" s="32"/>
      <c r="C89" s="31"/>
      <c r="D89" s="31"/>
      <c r="E89" s="42" t="s">
        <v>508</v>
      </c>
      <c r="F89" s="42" t="s">
        <v>785</v>
      </c>
      <c r="G89" s="45">
        <v>15</v>
      </c>
    </row>
    <row r="90" spans="1:7" ht="15.75" customHeight="1">
      <c r="A90" s="36"/>
      <c r="B90" s="32"/>
      <c r="C90" s="31"/>
      <c r="D90" s="31"/>
      <c r="E90" s="52"/>
      <c r="F90" s="53" t="s">
        <v>787</v>
      </c>
      <c r="G90" s="54">
        <v>15</v>
      </c>
    </row>
    <row r="91" spans="1:7" ht="15.75" customHeight="1">
      <c r="A91" s="36"/>
      <c r="B91" s="32"/>
      <c r="C91" s="31"/>
      <c r="D91" s="31"/>
      <c r="E91" s="42" t="s">
        <v>505</v>
      </c>
      <c r="F91" s="42" t="s">
        <v>785</v>
      </c>
      <c r="G91" s="45">
        <v>20</v>
      </c>
    </row>
    <row r="92" spans="1:7" ht="15.75" customHeight="1">
      <c r="A92" s="36"/>
      <c r="B92" s="32"/>
      <c r="C92" s="31"/>
      <c r="D92" s="31"/>
      <c r="E92" s="52"/>
      <c r="F92" s="53" t="s">
        <v>787</v>
      </c>
      <c r="G92" s="54">
        <v>20</v>
      </c>
    </row>
    <row r="93" spans="1:7" ht="15.75" customHeight="1">
      <c r="A93" s="36"/>
      <c r="B93" s="32"/>
      <c r="C93" s="31"/>
      <c r="D93" s="31"/>
      <c r="E93" s="42" t="s">
        <v>507</v>
      </c>
      <c r="F93" s="42" t="s">
        <v>785</v>
      </c>
      <c r="G93" s="45">
        <v>105</v>
      </c>
    </row>
    <row r="94" spans="1:7" ht="15.75" customHeight="1">
      <c r="A94" s="36"/>
      <c r="B94" s="32"/>
      <c r="C94" s="31"/>
      <c r="D94" s="31"/>
      <c r="E94" s="52"/>
      <c r="F94" s="53" t="s">
        <v>787</v>
      </c>
      <c r="G94" s="54">
        <v>105</v>
      </c>
    </row>
    <row r="95" spans="1:7" ht="15.75" customHeight="1">
      <c r="A95" s="36"/>
      <c r="B95" s="32"/>
      <c r="C95" s="31"/>
      <c r="D95" s="31"/>
      <c r="E95" s="42" t="s">
        <v>506</v>
      </c>
      <c r="F95" s="42" t="s">
        <v>785</v>
      </c>
      <c r="G95" s="45">
        <v>116</v>
      </c>
    </row>
    <row r="96" spans="1:7" ht="15.75" customHeight="1">
      <c r="A96" s="36"/>
      <c r="B96" s="32"/>
      <c r="C96" s="31"/>
      <c r="D96" s="31"/>
      <c r="E96" s="52"/>
      <c r="F96" s="53" t="s">
        <v>787</v>
      </c>
      <c r="G96" s="54">
        <v>116</v>
      </c>
    </row>
    <row r="97" spans="1:7" ht="15.75" customHeight="1">
      <c r="A97" s="36"/>
      <c r="B97" s="32"/>
      <c r="C97" s="31"/>
      <c r="D97" s="31"/>
      <c r="E97" s="42" t="s">
        <v>500</v>
      </c>
      <c r="F97" s="42" t="s">
        <v>785</v>
      </c>
      <c r="G97" s="45">
        <v>808</v>
      </c>
    </row>
    <row r="98" spans="1:7" ht="15.75" customHeight="1">
      <c r="A98" s="36"/>
      <c r="B98" s="32"/>
      <c r="C98" s="31"/>
      <c r="D98" s="31"/>
      <c r="E98" s="52"/>
      <c r="F98" s="53" t="s">
        <v>787</v>
      </c>
      <c r="G98" s="54">
        <v>759</v>
      </c>
    </row>
    <row r="99" spans="1:7" ht="15.75" customHeight="1">
      <c r="A99" s="36"/>
      <c r="B99" s="32"/>
      <c r="C99" s="31"/>
      <c r="D99" s="31"/>
      <c r="E99" s="42" t="s">
        <v>503</v>
      </c>
      <c r="F99" s="42" t="s">
        <v>785</v>
      </c>
      <c r="G99" s="45">
        <v>771</v>
      </c>
    </row>
    <row r="100" spans="1:7" ht="15.75" customHeight="1">
      <c r="A100" s="36"/>
      <c r="B100" s="32"/>
      <c r="C100" s="31"/>
      <c r="D100" s="31"/>
      <c r="E100" s="52"/>
      <c r="F100" s="53" t="s">
        <v>787</v>
      </c>
      <c r="G100" s="54">
        <v>706</v>
      </c>
    </row>
    <row r="101" spans="1:7" ht="15.75" customHeight="1">
      <c r="A101" s="36"/>
      <c r="B101" s="32"/>
      <c r="C101" s="31"/>
      <c r="D101" s="31"/>
      <c r="E101" s="42" t="s">
        <v>504</v>
      </c>
      <c r="F101" s="42" t="s">
        <v>785</v>
      </c>
      <c r="G101" s="45">
        <v>20</v>
      </c>
    </row>
    <row r="102" spans="1:7" ht="15.75" customHeight="1">
      <c r="A102" s="36"/>
      <c r="B102" s="32"/>
      <c r="C102" s="31"/>
      <c r="D102" s="31"/>
      <c r="E102" s="52"/>
      <c r="F102" s="53" t="s">
        <v>787</v>
      </c>
      <c r="G102" s="54">
        <v>20</v>
      </c>
    </row>
    <row r="103" spans="1:7" ht="15.75" customHeight="1">
      <c r="A103" s="36"/>
      <c r="B103" s="32"/>
      <c r="C103" s="31"/>
      <c r="D103" s="31"/>
      <c r="E103" s="42" t="s">
        <v>501</v>
      </c>
      <c r="F103" s="42" t="s">
        <v>785</v>
      </c>
      <c r="G103" s="45">
        <v>301</v>
      </c>
    </row>
    <row r="104" spans="1:7" ht="15.75" customHeight="1">
      <c r="A104" s="36"/>
      <c r="B104" s="32"/>
      <c r="C104" s="31"/>
      <c r="D104" s="31"/>
      <c r="E104" s="52"/>
      <c r="F104" s="53" t="s">
        <v>787</v>
      </c>
      <c r="G104" s="54">
        <v>226</v>
      </c>
    </row>
    <row r="105" spans="1:7" ht="15.75" customHeight="1">
      <c r="A105" s="36"/>
      <c r="B105" s="32"/>
      <c r="C105" s="31"/>
      <c r="D105" s="31"/>
      <c r="E105" s="42" t="s">
        <v>83</v>
      </c>
      <c r="F105" s="42" t="s">
        <v>785</v>
      </c>
      <c r="G105" s="45">
        <v>20</v>
      </c>
    </row>
    <row r="106" spans="1:7" ht="15.75" customHeight="1">
      <c r="A106" s="36"/>
      <c r="B106" s="32"/>
      <c r="C106" s="31"/>
      <c r="D106" s="31"/>
      <c r="E106" s="52"/>
      <c r="F106" s="53" t="s">
        <v>787</v>
      </c>
      <c r="G106" s="54">
        <v>20</v>
      </c>
    </row>
    <row r="107" spans="1:7" ht="15.75" customHeight="1">
      <c r="A107" s="36"/>
      <c r="B107" s="32"/>
      <c r="C107" s="31"/>
      <c r="D107" s="31"/>
      <c r="E107" s="42" t="s">
        <v>79</v>
      </c>
      <c r="F107" s="42" t="s">
        <v>785</v>
      </c>
      <c r="G107" s="45">
        <v>21</v>
      </c>
    </row>
    <row r="108" spans="1:7" ht="15.75" customHeight="1">
      <c r="A108" s="36"/>
      <c r="B108" s="32"/>
      <c r="C108" s="31"/>
      <c r="D108" s="31"/>
      <c r="E108" s="52"/>
      <c r="F108" s="53" t="s">
        <v>787</v>
      </c>
      <c r="G108" s="54">
        <v>21</v>
      </c>
    </row>
    <row r="109" spans="1:7" ht="15.75" customHeight="1">
      <c r="A109" s="36"/>
      <c r="B109" s="32"/>
      <c r="C109" s="31"/>
      <c r="D109" s="31"/>
      <c r="E109" s="42" t="s">
        <v>81</v>
      </c>
      <c r="F109" s="42" t="s">
        <v>785</v>
      </c>
      <c r="G109" s="45">
        <v>22</v>
      </c>
    </row>
    <row r="110" spans="1:7" ht="15.75" customHeight="1">
      <c r="A110" s="36"/>
      <c r="B110" s="32"/>
      <c r="C110" s="31"/>
      <c r="D110" s="31"/>
      <c r="E110" s="52"/>
      <c r="F110" s="53" t="s">
        <v>787</v>
      </c>
      <c r="G110" s="54">
        <v>22</v>
      </c>
    </row>
    <row r="111" spans="1:7" ht="15.75" customHeight="1">
      <c r="A111" s="36"/>
      <c r="B111" s="32"/>
      <c r="C111" s="31"/>
      <c r="D111" s="31"/>
      <c r="E111" s="42" t="s">
        <v>86</v>
      </c>
      <c r="F111" s="42" t="s">
        <v>785</v>
      </c>
      <c r="G111" s="45">
        <v>19</v>
      </c>
    </row>
    <row r="112" spans="1:7" ht="15.75" customHeight="1">
      <c r="A112" s="36"/>
      <c r="B112" s="32"/>
      <c r="C112" s="31"/>
      <c r="D112" s="31"/>
      <c r="E112" s="52"/>
      <c r="F112" s="53" t="s">
        <v>787</v>
      </c>
      <c r="G112" s="54">
        <v>19</v>
      </c>
    </row>
    <row r="113" spans="1:7" ht="15.75" customHeight="1">
      <c r="A113" s="36"/>
      <c r="B113" s="32"/>
      <c r="C113" s="31"/>
      <c r="D113" s="31"/>
      <c r="E113" s="42" t="s">
        <v>84</v>
      </c>
      <c r="F113" s="42" t="s">
        <v>785</v>
      </c>
      <c r="G113" s="45">
        <v>3</v>
      </c>
    </row>
    <row r="114" spans="1:7" ht="15.75" customHeight="1">
      <c r="A114" s="36"/>
      <c r="B114" s="32"/>
      <c r="C114" s="31"/>
      <c r="D114" s="31"/>
      <c r="E114" s="52"/>
      <c r="F114" s="53" t="s">
        <v>787</v>
      </c>
      <c r="G114" s="54">
        <v>3</v>
      </c>
    </row>
    <row r="115" spans="1:7" ht="15.75" customHeight="1">
      <c r="A115" s="36"/>
      <c r="B115" s="32"/>
      <c r="C115" s="31"/>
      <c r="D115" s="31"/>
      <c r="E115" s="42" t="s">
        <v>648</v>
      </c>
      <c r="F115" s="42" t="s">
        <v>785</v>
      </c>
      <c r="G115" s="45">
        <v>26</v>
      </c>
    </row>
    <row r="116" spans="1:7" ht="15.75" customHeight="1">
      <c r="A116" s="36"/>
      <c r="B116" s="32"/>
      <c r="C116" s="31"/>
      <c r="D116" s="31"/>
      <c r="E116" s="52"/>
      <c r="F116" s="53" t="s">
        <v>787</v>
      </c>
      <c r="G116" s="54">
        <v>18</v>
      </c>
    </row>
    <row r="117" spans="1:7" ht="15.75" customHeight="1">
      <c r="A117" s="36"/>
      <c r="B117" s="32"/>
      <c r="C117" s="31"/>
      <c r="D117" s="31"/>
      <c r="E117" s="42" t="s">
        <v>310</v>
      </c>
      <c r="F117" s="42" t="s">
        <v>785</v>
      </c>
      <c r="G117" s="45">
        <v>30</v>
      </c>
    </row>
    <row r="118" spans="1:7" ht="15.75" customHeight="1">
      <c r="A118" s="36"/>
      <c r="B118" s="32"/>
      <c r="C118" s="31"/>
      <c r="D118" s="31"/>
      <c r="E118" s="52"/>
      <c r="F118" s="53" t="s">
        <v>787</v>
      </c>
      <c r="G118" s="54">
        <v>26</v>
      </c>
    </row>
    <row r="119" spans="1:7" ht="15.75" customHeight="1">
      <c r="A119" s="36"/>
      <c r="B119" s="32"/>
      <c r="C119" s="31"/>
      <c r="D119" s="31"/>
      <c r="E119" s="42" t="s">
        <v>313</v>
      </c>
      <c r="F119" s="42" t="s">
        <v>785</v>
      </c>
      <c r="G119" s="45">
        <v>20</v>
      </c>
    </row>
    <row r="120" spans="1:7" ht="15.75" customHeight="1">
      <c r="A120" s="36"/>
      <c r="B120" s="32"/>
      <c r="C120" s="31"/>
      <c r="D120" s="31"/>
      <c r="E120" s="52"/>
      <c r="F120" s="53" t="s">
        <v>787</v>
      </c>
      <c r="G120" s="54">
        <v>10</v>
      </c>
    </row>
    <row r="121" spans="1:7" ht="15.75" customHeight="1">
      <c r="A121" s="36"/>
      <c r="B121" s="32"/>
      <c r="C121" s="31"/>
      <c r="D121" s="31"/>
      <c r="E121" s="42" t="s">
        <v>304</v>
      </c>
      <c r="F121" s="42" t="s">
        <v>785</v>
      </c>
      <c r="G121" s="45">
        <v>200</v>
      </c>
    </row>
    <row r="122" spans="1:7" ht="15.75" customHeight="1">
      <c r="A122" s="36"/>
      <c r="B122" s="32"/>
      <c r="C122" s="31"/>
      <c r="D122" s="31"/>
      <c r="E122" s="52"/>
      <c r="F122" s="53" t="s">
        <v>787</v>
      </c>
      <c r="G122" s="54">
        <v>200</v>
      </c>
    </row>
    <row r="123" spans="1:7" ht="15.75" customHeight="1">
      <c r="A123" s="36"/>
      <c r="B123" s="32"/>
      <c r="C123" s="31"/>
      <c r="D123" s="31"/>
      <c r="E123" s="42" t="s">
        <v>305</v>
      </c>
      <c r="F123" s="42" t="s">
        <v>785</v>
      </c>
      <c r="G123" s="45">
        <v>35</v>
      </c>
    </row>
    <row r="124" spans="1:7" ht="15.75" customHeight="1">
      <c r="A124" s="36"/>
      <c r="B124" s="32"/>
      <c r="C124" s="31"/>
      <c r="D124" s="31"/>
      <c r="E124" s="52"/>
      <c r="F124" s="53" t="s">
        <v>787</v>
      </c>
      <c r="G124" s="54">
        <v>35</v>
      </c>
    </row>
    <row r="125" spans="1:7" ht="15.75" customHeight="1">
      <c r="A125" s="36"/>
      <c r="B125" s="32"/>
      <c r="C125" s="31"/>
      <c r="D125" s="31"/>
      <c r="E125" s="42" t="s">
        <v>322</v>
      </c>
      <c r="F125" s="42" t="s">
        <v>785</v>
      </c>
      <c r="G125" s="45">
        <v>10</v>
      </c>
    </row>
    <row r="126" spans="1:7" ht="15.75" customHeight="1">
      <c r="A126" s="36"/>
      <c r="B126" s="32"/>
      <c r="C126" s="31"/>
      <c r="D126" s="31"/>
      <c r="E126" s="52"/>
      <c r="F126" s="53" t="s">
        <v>787</v>
      </c>
      <c r="G126" s="54">
        <v>10</v>
      </c>
    </row>
    <row r="127" spans="1:7" ht="15.75" customHeight="1">
      <c r="A127" s="36"/>
      <c r="B127" s="32"/>
      <c r="C127" s="31"/>
      <c r="D127" s="31"/>
      <c r="E127" s="42" t="s">
        <v>319</v>
      </c>
      <c r="F127" s="42" t="s">
        <v>785</v>
      </c>
      <c r="G127" s="45">
        <v>2100</v>
      </c>
    </row>
    <row r="128" spans="1:7" ht="15.75" customHeight="1">
      <c r="A128" s="36"/>
      <c r="B128" s="32"/>
      <c r="C128" s="31"/>
      <c r="D128" s="31"/>
      <c r="E128" s="52"/>
      <c r="F128" s="53" t="s">
        <v>787</v>
      </c>
      <c r="G128" s="54">
        <v>2100</v>
      </c>
    </row>
    <row r="129" spans="1:7" ht="15.75" customHeight="1">
      <c r="A129" s="36"/>
      <c r="B129" s="32"/>
      <c r="C129" s="31"/>
      <c r="D129" s="31"/>
      <c r="E129" s="42" t="s">
        <v>303</v>
      </c>
      <c r="F129" s="42" t="s">
        <v>785</v>
      </c>
      <c r="G129" s="45">
        <v>300</v>
      </c>
    </row>
    <row r="130" spans="1:7" ht="15.75" customHeight="1">
      <c r="A130" s="36"/>
      <c r="B130" s="32"/>
      <c r="C130" s="31"/>
      <c r="D130" s="31"/>
      <c r="E130" s="52"/>
      <c r="F130" s="53" t="s">
        <v>787</v>
      </c>
      <c r="G130" s="54">
        <v>300</v>
      </c>
    </row>
    <row r="131" spans="1:7" ht="15.75" customHeight="1">
      <c r="A131" s="36"/>
      <c r="B131" s="32"/>
      <c r="C131" s="31"/>
      <c r="D131" s="31"/>
      <c r="E131" s="42" t="s">
        <v>300</v>
      </c>
      <c r="F131" s="42" t="s">
        <v>785</v>
      </c>
      <c r="G131" s="45">
        <v>200</v>
      </c>
    </row>
    <row r="132" spans="1:7" ht="15.75" customHeight="1">
      <c r="A132" s="36"/>
      <c r="B132" s="32"/>
      <c r="C132" s="31"/>
      <c r="D132" s="31"/>
      <c r="E132" s="52"/>
      <c r="F132" s="53" t="s">
        <v>787</v>
      </c>
      <c r="G132" s="54">
        <v>200</v>
      </c>
    </row>
    <row r="133" spans="1:7" ht="15.75" customHeight="1">
      <c r="A133" s="36"/>
      <c r="B133" s="32"/>
      <c r="C133" s="31"/>
      <c r="D133" s="31"/>
      <c r="E133" s="42" t="s">
        <v>301</v>
      </c>
      <c r="F133" s="42" t="s">
        <v>785</v>
      </c>
      <c r="G133" s="45">
        <v>1400</v>
      </c>
    </row>
    <row r="134" spans="1:7" ht="15.75" customHeight="1">
      <c r="A134" s="36"/>
      <c r="B134" s="32"/>
      <c r="C134" s="31"/>
      <c r="D134" s="31"/>
      <c r="E134" s="52"/>
      <c r="F134" s="53" t="s">
        <v>787</v>
      </c>
      <c r="G134" s="54">
        <v>1400</v>
      </c>
    </row>
    <row r="135" spans="1:7" ht="15.75" customHeight="1">
      <c r="A135" s="36"/>
      <c r="B135" s="32"/>
      <c r="C135" s="31"/>
      <c r="D135" s="31"/>
      <c r="E135" s="42" t="s">
        <v>302</v>
      </c>
      <c r="F135" s="42" t="s">
        <v>785</v>
      </c>
      <c r="G135" s="45">
        <v>4500</v>
      </c>
    </row>
    <row r="136" spans="1:7" ht="15.75" customHeight="1">
      <c r="A136" s="36"/>
      <c r="B136" s="32"/>
      <c r="C136" s="31"/>
      <c r="D136" s="31"/>
      <c r="E136" s="52"/>
      <c r="F136" s="53" t="s">
        <v>787</v>
      </c>
      <c r="G136" s="54">
        <v>4500</v>
      </c>
    </row>
    <row r="137" spans="1:7" ht="15.75" customHeight="1">
      <c r="A137" s="36"/>
      <c r="B137" s="32"/>
      <c r="C137" s="31"/>
      <c r="D137" s="31"/>
      <c r="E137" s="42" t="s">
        <v>299</v>
      </c>
      <c r="F137" s="42" t="s">
        <v>785</v>
      </c>
      <c r="G137" s="45">
        <v>1300</v>
      </c>
    </row>
    <row r="138" spans="1:7" ht="15.75" customHeight="1">
      <c r="A138" s="36"/>
      <c r="B138" s="32"/>
      <c r="C138" s="31"/>
      <c r="D138" s="31"/>
      <c r="E138" s="52"/>
      <c r="F138" s="53" t="s">
        <v>787</v>
      </c>
      <c r="G138" s="54">
        <v>1300</v>
      </c>
    </row>
    <row r="139" spans="1:7" ht="15.75" customHeight="1">
      <c r="A139" s="36"/>
      <c r="B139" s="32"/>
      <c r="C139" s="31"/>
      <c r="D139" s="31"/>
      <c r="E139" s="42" t="s">
        <v>53</v>
      </c>
      <c r="F139" s="42" t="s">
        <v>785</v>
      </c>
      <c r="G139" s="45">
        <v>1400</v>
      </c>
    </row>
    <row r="140" spans="1:7" ht="15.75" customHeight="1">
      <c r="A140" s="36"/>
      <c r="B140" s="32"/>
      <c r="C140" s="31"/>
      <c r="D140" s="31"/>
      <c r="E140" s="52"/>
      <c r="F140" s="53" t="s">
        <v>787</v>
      </c>
      <c r="G140" s="54">
        <v>1224</v>
      </c>
    </row>
    <row r="141" spans="1:7" ht="15.75" customHeight="1">
      <c r="A141" s="36"/>
      <c r="B141" s="32"/>
      <c r="C141" s="31"/>
      <c r="D141" s="31"/>
      <c r="E141" s="42" t="s">
        <v>55</v>
      </c>
      <c r="F141" s="42" t="s">
        <v>785</v>
      </c>
      <c r="G141" s="45">
        <v>1400</v>
      </c>
    </row>
    <row r="142" spans="1:7" ht="15.75" customHeight="1">
      <c r="A142" s="36"/>
      <c r="B142" s="32"/>
      <c r="C142" s="31"/>
      <c r="D142" s="31"/>
      <c r="E142" s="52"/>
      <c r="F142" s="53" t="s">
        <v>787</v>
      </c>
      <c r="G142" s="54">
        <v>1160</v>
      </c>
    </row>
    <row r="143" spans="1:7" ht="15.75" customHeight="1">
      <c r="A143" s="36"/>
      <c r="B143" s="32"/>
      <c r="C143" s="31"/>
      <c r="D143" s="31"/>
      <c r="E143" s="42" t="s">
        <v>48</v>
      </c>
      <c r="F143" s="42" t="s">
        <v>785</v>
      </c>
      <c r="G143" s="45">
        <v>1400</v>
      </c>
    </row>
    <row r="144" spans="1:7" ht="15.75" customHeight="1">
      <c r="A144" s="36"/>
      <c r="B144" s="32"/>
      <c r="C144" s="31"/>
      <c r="D144" s="31"/>
      <c r="E144" s="52"/>
      <c r="F144" s="53" t="s">
        <v>787</v>
      </c>
      <c r="G144" s="54">
        <v>1224</v>
      </c>
    </row>
    <row r="145" spans="1:7" ht="15.75" customHeight="1">
      <c r="A145" s="36"/>
      <c r="B145" s="32"/>
      <c r="C145" s="31"/>
      <c r="D145" s="31"/>
      <c r="E145" s="42" t="s">
        <v>46</v>
      </c>
      <c r="F145" s="42" t="s">
        <v>785</v>
      </c>
      <c r="G145" s="45">
        <v>1400</v>
      </c>
    </row>
    <row r="146" spans="1:7" ht="15.75" customHeight="1">
      <c r="A146" s="36"/>
      <c r="B146" s="32"/>
      <c r="C146" s="31"/>
      <c r="D146" s="31"/>
      <c r="E146" s="52"/>
      <c r="F146" s="53" t="s">
        <v>787</v>
      </c>
      <c r="G146" s="54">
        <v>1160</v>
      </c>
    </row>
    <row r="147" spans="1:7" ht="15.75" customHeight="1">
      <c r="A147" s="36"/>
      <c r="B147" s="32"/>
      <c r="C147" s="31"/>
      <c r="D147" s="31"/>
      <c r="E147" s="42" t="s">
        <v>49</v>
      </c>
      <c r="F147" s="42" t="s">
        <v>785</v>
      </c>
      <c r="G147" s="45">
        <v>1400</v>
      </c>
    </row>
    <row r="148" spans="1:7" ht="15.75" customHeight="1">
      <c r="A148" s="36"/>
      <c r="B148" s="32"/>
      <c r="C148" s="31"/>
      <c r="D148" s="31"/>
      <c r="E148" s="52"/>
      <c r="F148" s="53" t="s">
        <v>787</v>
      </c>
      <c r="G148" s="54">
        <v>1224</v>
      </c>
    </row>
    <row r="149" spans="1:7" ht="15.75" customHeight="1">
      <c r="A149" s="36"/>
      <c r="B149" s="32"/>
      <c r="C149" s="31"/>
      <c r="D149" s="31"/>
      <c r="E149" s="42" t="s">
        <v>51</v>
      </c>
      <c r="F149" s="42" t="s">
        <v>785</v>
      </c>
      <c r="G149" s="45">
        <v>1400</v>
      </c>
    </row>
    <row r="150" spans="1:7" ht="15.75" customHeight="1">
      <c r="A150" s="36"/>
      <c r="B150" s="32"/>
      <c r="C150" s="31"/>
      <c r="D150" s="31"/>
      <c r="E150" s="52"/>
      <c r="F150" s="53" t="s">
        <v>787</v>
      </c>
      <c r="G150" s="54">
        <v>1160</v>
      </c>
    </row>
    <row r="151" spans="1:7" ht="15.75" customHeight="1">
      <c r="A151" s="36"/>
      <c r="B151" s="32"/>
      <c r="C151" s="31"/>
      <c r="D151" s="31"/>
      <c r="E151" s="42" t="s">
        <v>306</v>
      </c>
      <c r="F151" s="42" t="s">
        <v>785</v>
      </c>
      <c r="G151" s="45">
        <v>48</v>
      </c>
    </row>
    <row r="152" spans="1:7" ht="15.75" customHeight="1">
      <c r="A152" s="36"/>
      <c r="B152" s="32"/>
      <c r="C152" s="31"/>
      <c r="D152" s="31"/>
      <c r="E152" s="52"/>
      <c r="F152" s="53" t="s">
        <v>787</v>
      </c>
      <c r="G152" s="54">
        <v>48</v>
      </c>
    </row>
    <row r="153" spans="1:7" ht="15.75" customHeight="1">
      <c r="A153" s="36"/>
      <c r="B153" s="32"/>
      <c r="C153" s="31"/>
      <c r="D153" s="31"/>
      <c r="E153" s="42" t="s">
        <v>511</v>
      </c>
      <c r="F153" s="42" t="s">
        <v>785</v>
      </c>
      <c r="G153" s="45">
        <v>500</v>
      </c>
    </row>
    <row r="154" spans="1:7" ht="15.75" customHeight="1">
      <c r="A154" s="36"/>
      <c r="B154" s="32"/>
      <c r="C154" s="31"/>
      <c r="D154" s="31"/>
      <c r="E154" s="52"/>
      <c r="F154" s="53" t="s">
        <v>787</v>
      </c>
      <c r="G154" s="54">
        <v>500</v>
      </c>
    </row>
    <row r="155" spans="1:7" ht="15.75" customHeight="1">
      <c r="A155" s="36"/>
      <c r="B155" s="32"/>
      <c r="C155" s="31"/>
      <c r="D155" s="31"/>
      <c r="E155" s="42" t="s">
        <v>651</v>
      </c>
      <c r="F155" s="42" t="s">
        <v>785</v>
      </c>
      <c r="G155" s="45">
        <v>23</v>
      </c>
    </row>
    <row r="156" spans="1:7" ht="15.75" customHeight="1">
      <c r="A156" s="36"/>
      <c r="B156" s="32"/>
      <c r="C156" s="31"/>
      <c r="D156" s="31"/>
      <c r="E156" s="52"/>
      <c r="F156" s="53" t="s">
        <v>787</v>
      </c>
      <c r="G156" s="54">
        <v>21</v>
      </c>
    </row>
    <row r="157" spans="1:7" ht="15.75" customHeight="1">
      <c r="A157" s="36"/>
      <c r="B157" s="32"/>
      <c r="C157" s="31"/>
      <c r="D157" s="31"/>
      <c r="E157" s="42" t="s">
        <v>650</v>
      </c>
      <c r="F157" s="42" t="s">
        <v>785</v>
      </c>
      <c r="G157" s="45">
        <v>10</v>
      </c>
    </row>
    <row r="158" spans="1:7" ht="15.75" customHeight="1">
      <c r="A158" s="36"/>
      <c r="B158" s="32"/>
      <c r="C158" s="31"/>
      <c r="D158" s="31"/>
      <c r="E158" s="52"/>
      <c r="F158" s="53" t="s">
        <v>787</v>
      </c>
      <c r="G158" s="54">
        <v>10</v>
      </c>
    </row>
    <row r="159" spans="1:7" ht="15.75" customHeight="1">
      <c r="A159" s="36"/>
      <c r="B159" s="32"/>
      <c r="C159" s="31"/>
      <c r="D159" s="31"/>
      <c r="E159" s="42" t="s">
        <v>649</v>
      </c>
      <c r="F159" s="42" t="s">
        <v>785</v>
      </c>
      <c r="G159" s="45">
        <v>12</v>
      </c>
    </row>
    <row r="160" spans="1:7" ht="15.75" customHeight="1">
      <c r="A160" s="36"/>
      <c r="B160" s="32"/>
      <c r="C160" s="31"/>
      <c r="D160" s="31"/>
      <c r="E160" s="52"/>
      <c r="F160" s="53" t="s">
        <v>787</v>
      </c>
      <c r="G160" s="54">
        <v>12</v>
      </c>
    </row>
    <row r="161" spans="1:7" ht="15.75" customHeight="1">
      <c r="A161" s="36"/>
      <c r="B161" s="32"/>
      <c r="C161" s="31"/>
      <c r="D161" s="31"/>
      <c r="E161" s="42" t="s">
        <v>653</v>
      </c>
      <c r="F161" s="42" t="s">
        <v>785</v>
      </c>
      <c r="G161" s="45">
        <v>27</v>
      </c>
    </row>
    <row r="162" spans="1:7" ht="15.75" customHeight="1">
      <c r="A162" s="36"/>
      <c r="B162" s="32"/>
      <c r="C162" s="31"/>
      <c r="D162" s="31"/>
      <c r="E162" s="52"/>
      <c r="F162" s="53" t="s">
        <v>787</v>
      </c>
      <c r="G162" s="54">
        <v>27</v>
      </c>
    </row>
    <row r="163" spans="1:7" ht="15.75" customHeight="1">
      <c r="A163" s="36"/>
      <c r="B163" s="32"/>
      <c r="C163" s="31"/>
      <c r="D163" s="31"/>
      <c r="E163" s="42" t="s">
        <v>655</v>
      </c>
      <c r="F163" s="42" t="s">
        <v>785</v>
      </c>
      <c r="G163" s="45">
        <v>48</v>
      </c>
    </row>
    <row r="164" spans="1:7" ht="15.75" customHeight="1">
      <c r="A164" s="36"/>
      <c r="B164" s="32"/>
      <c r="C164" s="31"/>
      <c r="D164" s="31"/>
      <c r="E164" s="52"/>
      <c r="F164" s="53" t="s">
        <v>787</v>
      </c>
      <c r="G164" s="54">
        <v>48</v>
      </c>
    </row>
    <row r="165" spans="1:7" ht="15.75" customHeight="1">
      <c r="A165" s="36"/>
      <c r="B165" s="32"/>
      <c r="C165" s="31"/>
      <c r="D165" s="31"/>
      <c r="E165" s="42" t="s">
        <v>660</v>
      </c>
      <c r="F165" s="42" t="s">
        <v>785</v>
      </c>
      <c r="G165" s="45">
        <v>76</v>
      </c>
    </row>
    <row r="166" spans="1:7" ht="15.75" customHeight="1">
      <c r="A166" s="36"/>
      <c r="B166" s="32"/>
      <c r="C166" s="31"/>
      <c r="D166" s="31"/>
      <c r="E166" s="52"/>
      <c r="F166" s="53" t="s">
        <v>787</v>
      </c>
      <c r="G166" s="54">
        <v>76</v>
      </c>
    </row>
    <row r="167" spans="1:7" ht="15.75" customHeight="1">
      <c r="A167" s="36"/>
      <c r="B167" s="32"/>
      <c r="C167" s="31"/>
      <c r="D167" s="31"/>
      <c r="E167" s="42" t="s">
        <v>661</v>
      </c>
      <c r="F167" s="42" t="s">
        <v>785</v>
      </c>
      <c r="G167" s="45">
        <v>64</v>
      </c>
    </row>
    <row r="168" spans="1:7" ht="15.75" customHeight="1">
      <c r="A168" s="36"/>
      <c r="B168" s="32"/>
      <c r="C168" s="31"/>
      <c r="D168" s="31"/>
      <c r="E168" s="52"/>
      <c r="F168" s="53" t="s">
        <v>787</v>
      </c>
      <c r="G168" s="54">
        <v>57</v>
      </c>
    </row>
    <row r="169" spans="1:7" ht="15.75" customHeight="1">
      <c r="A169" s="36"/>
      <c r="B169" s="32"/>
      <c r="C169" s="31"/>
      <c r="D169" s="31"/>
      <c r="E169" s="42" t="s">
        <v>652</v>
      </c>
      <c r="F169" s="42" t="s">
        <v>785</v>
      </c>
      <c r="G169" s="45">
        <v>22</v>
      </c>
    </row>
    <row r="170" spans="1:7" ht="15.75" customHeight="1">
      <c r="A170" s="36"/>
      <c r="B170" s="32"/>
      <c r="C170" s="31"/>
      <c r="D170" s="31"/>
      <c r="E170" s="52"/>
      <c r="F170" s="53" t="s">
        <v>787</v>
      </c>
      <c r="G170" s="54">
        <v>22</v>
      </c>
    </row>
    <row r="171" spans="1:7" ht="15.75" customHeight="1">
      <c r="A171" s="36"/>
      <c r="B171" s="32"/>
      <c r="C171" s="31"/>
      <c r="D171" s="31"/>
      <c r="E171" s="42" t="s">
        <v>654</v>
      </c>
      <c r="F171" s="42" t="s">
        <v>785</v>
      </c>
      <c r="G171" s="45">
        <v>6</v>
      </c>
    </row>
    <row r="172" spans="1:7" ht="15.75" customHeight="1">
      <c r="A172" s="36"/>
      <c r="B172" s="32"/>
      <c r="C172" s="31"/>
      <c r="D172" s="31"/>
      <c r="E172" s="52"/>
      <c r="F172" s="53" t="s">
        <v>787</v>
      </c>
      <c r="G172" s="54">
        <v>6</v>
      </c>
    </row>
    <row r="173" spans="1:7" ht="15.75" customHeight="1">
      <c r="A173" s="36"/>
      <c r="B173" s="32"/>
      <c r="C173" s="31"/>
      <c r="D173" s="31"/>
      <c r="E173" s="42" t="s">
        <v>656</v>
      </c>
      <c r="F173" s="42" t="s">
        <v>785</v>
      </c>
      <c r="G173" s="45">
        <v>10</v>
      </c>
    </row>
    <row r="174" spans="1:7" ht="15.75" customHeight="1">
      <c r="A174" s="36"/>
      <c r="B174" s="32"/>
      <c r="C174" s="31"/>
      <c r="D174" s="31"/>
      <c r="E174" s="52"/>
      <c r="F174" s="53" t="s">
        <v>787</v>
      </c>
      <c r="G174" s="54">
        <v>10</v>
      </c>
    </row>
    <row r="175" spans="1:7" ht="15.75" customHeight="1">
      <c r="A175" s="36"/>
      <c r="B175" s="32"/>
      <c r="C175" s="31"/>
      <c r="D175" s="31"/>
      <c r="E175" s="42" t="s">
        <v>657</v>
      </c>
      <c r="F175" s="42" t="s">
        <v>785</v>
      </c>
      <c r="G175" s="45">
        <v>41</v>
      </c>
    </row>
    <row r="176" spans="1:7" ht="15.75" customHeight="1">
      <c r="A176" s="36"/>
      <c r="B176" s="32"/>
      <c r="C176" s="31"/>
      <c r="D176" s="31"/>
      <c r="E176" s="52"/>
      <c r="F176" s="53" t="s">
        <v>787</v>
      </c>
      <c r="G176" s="54">
        <v>41</v>
      </c>
    </row>
    <row r="177" spans="1:7" ht="15.75" customHeight="1">
      <c r="A177" s="36"/>
      <c r="B177" s="32"/>
      <c r="C177" s="31"/>
      <c r="D177" s="31"/>
      <c r="E177" s="42" t="s">
        <v>658</v>
      </c>
      <c r="F177" s="42" t="s">
        <v>785</v>
      </c>
      <c r="G177" s="45">
        <v>107</v>
      </c>
    </row>
    <row r="178" spans="1:7" ht="15.75" customHeight="1">
      <c r="A178" s="36"/>
      <c r="B178" s="32"/>
      <c r="C178" s="31"/>
      <c r="D178" s="31"/>
      <c r="E178" s="52"/>
      <c r="F178" s="53" t="s">
        <v>787</v>
      </c>
      <c r="G178" s="54">
        <v>107</v>
      </c>
    </row>
    <row r="179" spans="1:7" ht="15.75" customHeight="1">
      <c r="A179" s="36"/>
      <c r="B179" s="32"/>
      <c r="C179" s="31"/>
      <c r="D179" s="31"/>
      <c r="E179" s="42" t="s">
        <v>659</v>
      </c>
      <c r="F179" s="42" t="s">
        <v>785</v>
      </c>
      <c r="G179" s="45">
        <v>23</v>
      </c>
    </row>
    <row r="180" spans="1:7" ht="15.75" customHeight="1">
      <c r="A180" s="36"/>
      <c r="B180" s="32"/>
      <c r="C180" s="31"/>
      <c r="D180" s="31"/>
      <c r="E180" s="52"/>
      <c r="F180" s="53" t="s">
        <v>787</v>
      </c>
      <c r="G180" s="54">
        <v>23</v>
      </c>
    </row>
    <row r="181" spans="1:7" ht="15.75" customHeight="1">
      <c r="A181" s="36"/>
      <c r="B181" s="32"/>
      <c r="C181" s="31"/>
      <c r="D181" s="31"/>
      <c r="E181" s="42" t="s">
        <v>307</v>
      </c>
      <c r="F181" s="42" t="s">
        <v>785</v>
      </c>
      <c r="G181" s="45">
        <v>2</v>
      </c>
    </row>
    <row r="182" spans="1:7" ht="15.75" customHeight="1">
      <c r="A182" s="36"/>
      <c r="B182" s="32"/>
      <c r="C182" s="31"/>
      <c r="D182" s="31"/>
      <c r="E182" s="52"/>
      <c r="F182" s="53" t="s">
        <v>787</v>
      </c>
      <c r="G182" s="54">
        <v>2</v>
      </c>
    </row>
    <row r="183" spans="1:7" ht="15.75" customHeight="1">
      <c r="A183" s="36"/>
      <c r="B183" s="32"/>
      <c r="C183" s="31"/>
      <c r="D183" s="31"/>
      <c r="E183" s="42" t="s">
        <v>662</v>
      </c>
      <c r="F183" s="42" t="s">
        <v>785</v>
      </c>
      <c r="G183" s="45">
        <v>19</v>
      </c>
    </row>
    <row r="184" spans="1:7" ht="15.75" customHeight="1">
      <c r="A184" s="36"/>
      <c r="B184" s="32"/>
      <c r="C184" s="31"/>
      <c r="D184" s="31"/>
      <c r="E184" s="52"/>
      <c r="F184" s="53" t="s">
        <v>787</v>
      </c>
      <c r="G184" s="54">
        <v>13</v>
      </c>
    </row>
    <row r="185" spans="1:7" ht="15.75" customHeight="1">
      <c r="A185" s="36"/>
      <c r="B185" s="32"/>
      <c r="C185" s="31"/>
      <c r="D185" s="31"/>
      <c r="E185" s="42" t="s">
        <v>663</v>
      </c>
      <c r="F185" s="42" t="s">
        <v>785</v>
      </c>
      <c r="G185" s="45">
        <v>35</v>
      </c>
    </row>
    <row r="186" spans="1:7" ht="15.75" customHeight="1">
      <c r="A186" s="36"/>
      <c r="B186" s="32"/>
      <c r="C186" s="31"/>
      <c r="D186" s="31"/>
      <c r="E186" s="52"/>
      <c r="F186" s="53" t="s">
        <v>787</v>
      </c>
      <c r="G186" s="54">
        <v>20</v>
      </c>
    </row>
    <row r="187" spans="1:7" ht="15.75" customHeight="1">
      <c r="A187" s="36"/>
      <c r="B187" s="32"/>
      <c r="C187" s="31"/>
      <c r="D187" s="31"/>
      <c r="E187" s="42" t="s">
        <v>111</v>
      </c>
      <c r="F187" s="42" t="s">
        <v>785</v>
      </c>
      <c r="G187" s="45">
        <v>20</v>
      </c>
    </row>
    <row r="188" spans="1:7" ht="15.75" customHeight="1">
      <c r="A188" s="36"/>
      <c r="B188" s="32"/>
      <c r="C188" s="31"/>
      <c r="D188" s="31"/>
      <c r="E188" s="52"/>
      <c r="F188" s="53" t="s">
        <v>787</v>
      </c>
      <c r="G188" s="54">
        <v>10</v>
      </c>
    </row>
    <row r="189" spans="1:7" ht="15.75" customHeight="1">
      <c r="A189" s="36"/>
      <c r="B189" s="32"/>
      <c r="C189" s="31"/>
      <c r="D189" s="31"/>
      <c r="E189" s="42" t="s">
        <v>97</v>
      </c>
      <c r="F189" s="42" t="s">
        <v>785</v>
      </c>
      <c r="G189" s="45">
        <v>11</v>
      </c>
    </row>
    <row r="190" spans="1:7" ht="15.75" customHeight="1">
      <c r="A190" s="36"/>
      <c r="B190" s="32"/>
      <c r="C190" s="31"/>
      <c r="D190" s="31"/>
      <c r="E190" s="52"/>
      <c r="F190" s="53" t="s">
        <v>787</v>
      </c>
      <c r="G190" s="54">
        <v>10</v>
      </c>
    </row>
    <row r="191" spans="1:7" ht="15.75" customHeight="1">
      <c r="A191" s="36"/>
      <c r="B191" s="32"/>
      <c r="C191" s="31"/>
      <c r="D191" s="31"/>
      <c r="E191" s="42" t="s">
        <v>89</v>
      </c>
      <c r="F191" s="42" t="s">
        <v>785</v>
      </c>
      <c r="G191" s="45">
        <v>4</v>
      </c>
    </row>
    <row r="192" spans="1:7" ht="15.75" customHeight="1">
      <c r="A192" s="36"/>
      <c r="B192" s="32"/>
      <c r="C192" s="31"/>
      <c r="D192" s="31"/>
      <c r="E192" s="52"/>
      <c r="F192" s="53" t="s">
        <v>787</v>
      </c>
      <c r="G192" s="54">
        <v>4</v>
      </c>
    </row>
    <row r="193" spans="1:7" ht="15.75" customHeight="1">
      <c r="A193" s="36"/>
      <c r="B193" s="32"/>
      <c r="C193" s="31"/>
      <c r="D193" s="31"/>
      <c r="E193" s="42" t="s">
        <v>88</v>
      </c>
      <c r="F193" s="42" t="s">
        <v>785</v>
      </c>
      <c r="G193" s="45">
        <v>10</v>
      </c>
    </row>
    <row r="194" spans="1:7" ht="15.75" customHeight="1">
      <c r="A194" s="36"/>
      <c r="B194" s="32"/>
      <c r="C194" s="31"/>
      <c r="D194" s="31"/>
      <c r="E194" s="52"/>
      <c r="F194" s="53" t="s">
        <v>787</v>
      </c>
      <c r="G194" s="54">
        <v>10</v>
      </c>
    </row>
    <row r="195" spans="1:7" ht="15.75" customHeight="1">
      <c r="A195" s="36"/>
      <c r="B195" s="32"/>
      <c r="C195" s="31"/>
      <c r="D195" s="31"/>
      <c r="E195" s="42" t="s">
        <v>90</v>
      </c>
      <c r="F195" s="42" t="s">
        <v>785</v>
      </c>
      <c r="G195" s="45">
        <v>1</v>
      </c>
    </row>
    <row r="196" spans="1:7" ht="15.75" customHeight="1">
      <c r="A196" s="36"/>
      <c r="B196" s="32"/>
      <c r="C196" s="31"/>
      <c r="D196" s="31"/>
      <c r="E196" s="52"/>
      <c r="F196" s="53" t="s">
        <v>787</v>
      </c>
      <c r="G196" s="54">
        <v>1</v>
      </c>
    </row>
    <row r="197" spans="1:7" ht="15.75" customHeight="1">
      <c r="A197" s="36"/>
      <c r="B197" s="32"/>
      <c r="C197" s="31"/>
      <c r="D197" s="31"/>
      <c r="E197" s="42" t="s">
        <v>682</v>
      </c>
      <c r="F197" s="42" t="s">
        <v>785</v>
      </c>
      <c r="G197" s="45">
        <v>7</v>
      </c>
    </row>
    <row r="198" spans="1:7" ht="15.75" customHeight="1">
      <c r="A198" s="36"/>
      <c r="B198" s="32"/>
      <c r="C198" s="31"/>
      <c r="D198" s="31"/>
      <c r="E198" s="52"/>
      <c r="F198" s="53" t="s">
        <v>787</v>
      </c>
      <c r="G198" s="54">
        <v>7</v>
      </c>
    </row>
    <row r="199" spans="1:7" ht="15.75" customHeight="1">
      <c r="A199" s="36"/>
      <c r="B199" s="32"/>
      <c r="C199" s="31"/>
      <c r="D199" s="31"/>
      <c r="E199" s="42" t="s">
        <v>683</v>
      </c>
      <c r="F199" s="42" t="s">
        <v>785</v>
      </c>
      <c r="G199" s="45">
        <v>13</v>
      </c>
    </row>
    <row r="200" spans="1:7" ht="15.75" customHeight="1">
      <c r="A200" s="36"/>
      <c r="B200" s="32"/>
      <c r="C200" s="31"/>
      <c r="D200" s="31"/>
      <c r="E200" s="52"/>
      <c r="F200" s="53" t="s">
        <v>787</v>
      </c>
      <c r="G200" s="54">
        <v>13</v>
      </c>
    </row>
    <row r="201" spans="1:7" ht="15.75" customHeight="1">
      <c r="A201" s="36"/>
      <c r="B201" s="32"/>
      <c r="C201" s="31"/>
      <c r="D201" s="31"/>
      <c r="E201" s="42" t="s">
        <v>684</v>
      </c>
      <c r="F201" s="42" t="s">
        <v>785</v>
      </c>
      <c r="G201" s="45">
        <v>16</v>
      </c>
    </row>
    <row r="202" spans="1:7" ht="15.75" customHeight="1">
      <c r="A202" s="36"/>
      <c r="B202" s="32"/>
      <c r="C202" s="31"/>
      <c r="D202" s="31"/>
      <c r="E202" s="52"/>
      <c r="F202" s="53" t="s">
        <v>787</v>
      </c>
      <c r="G202" s="54">
        <v>16</v>
      </c>
    </row>
    <row r="203" spans="1:7" ht="15.75" customHeight="1">
      <c r="A203" s="36"/>
      <c r="B203" s="32"/>
      <c r="C203" s="31"/>
      <c r="D203" s="31"/>
      <c r="E203" s="42" t="s">
        <v>95</v>
      </c>
      <c r="F203" s="42" t="s">
        <v>785</v>
      </c>
      <c r="G203" s="45">
        <v>5</v>
      </c>
    </row>
    <row r="204" spans="1:7" ht="15.75" customHeight="1">
      <c r="A204" s="36"/>
      <c r="B204" s="32"/>
      <c r="C204" s="31"/>
      <c r="D204" s="31"/>
      <c r="E204" s="52"/>
      <c r="F204" s="53" t="s">
        <v>787</v>
      </c>
      <c r="G204" s="54">
        <v>5</v>
      </c>
    </row>
    <row r="205" spans="1:7" ht="15.75" customHeight="1">
      <c r="A205" s="36"/>
      <c r="B205" s="32"/>
      <c r="C205" s="31"/>
      <c r="D205" s="31"/>
      <c r="E205" s="42" t="s">
        <v>91</v>
      </c>
      <c r="F205" s="42" t="s">
        <v>785</v>
      </c>
      <c r="G205" s="45">
        <v>20</v>
      </c>
    </row>
    <row r="206" spans="1:7" ht="15.75" customHeight="1">
      <c r="A206" s="36"/>
      <c r="B206" s="32"/>
      <c r="C206" s="31"/>
      <c r="D206" s="31"/>
      <c r="E206" s="52"/>
      <c r="F206" s="53" t="s">
        <v>787</v>
      </c>
      <c r="G206" s="54">
        <v>20</v>
      </c>
    </row>
    <row r="207" spans="1:7" ht="15.75" customHeight="1">
      <c r="A207" s="36"/>
      <c r="B207" s="32"/>
      <c r="C207" s="31"/>
      <c r="D207" s="31"/>
      <c r="E207" s="42" t="s">
        <v>93</v>
      </c>
      <c r="F207" s="42" t="s">
        <v>785</v>
      </c>
      <c r="G207" s="45">
        <v>10</v>
      </c>
    </row>
    <row r="208" spans="1:7" ht="15.75" customHeight="1">
      <c r="A208" s="36"/>
      <c r="B208" s="32"/>
      <c r="C208" s="31"/>
      <c r="D208" s="31"/>
      <c r="E208" s="52"/>
      <c r="F208" s="53" t="s">
        <v>787</v>
      </c>
      <c r="G208" s="54">
        <v>10</v>
      </c>
    </row>
    <row r="209" spans="1:7" ht="15.75" customHeight="1">
      <c r="A209" s="36"/>
      <c r="B209" s="32"/>
      <c r="C209" s="31"/>
      <c r="D209" s="31"/>
      <c r="E209" s="42" t="s">
        <v>99</v>
      </c>
      <c r="F209" s="42" t="s">
        <v>785</v>
      </c>
      <c r="G209" s="45">
        <v>9</v>
      </c>
    </row>
    <row r="210" spans="1:7" ht="15.75" customHeight="1">
      <c r="A210" s="36"/>
      <c r="B210" s="32"/>
      <c r="C210" s="31"/>
      <c r="D210" s="31"/>
      <c r="E210" s="52"/>
      <c r="F210" s="53" t="s">
        <v>787</v>
      </c>
      <c r="G210" s="54">
        <v>9</v>
      </c>
    </row>
    <row r="211" spans="1:7" ht="15.75" customHeight="1">
      <c r="A211" s="36"/>
      <c r="B211" s="32"/>
      <c r="C211" s="31"/>
      <c r="D211" s="31"/>
      <c r="E211" s="42" t="s">
        <v>103</v>
      </c>
      <c r="F211" s="42" t="s">
        <v>785</v>
      </c>
      <c r="G211" s="45">
        <v>6</v>
      </c>
    </row>
    <row r="212" spans="1:7" ht="15.75" customHeight="1">
      <c r="A212" s="36"/>
      <c r="B212" s="32"/>
      <c r="C212" s="31"/>
      <c r="D212" s="31"/>
      <c r="E212" s="52"/>
      <c r="F212" s="53" t="s">
        <v>787</v>
      </c>
      <c r="G212" s="54">
        <v>6</v>
      </c>
    </row>
    <row r="213" spans="1:7" ht="15.75" customHeight="1">
      <c r="A213" s="36"/>
      <c r="B213" s="32"/>
      <c r="C213" s="31"/>
      <c r="D213" s="31"/>
      <c r="E213" s="42" t="s">
        <v>101</v>
      </c>
      <c r="F213" s="42" t="s">
        <v>785</v>
      </c>
      <c r="G213" s="45">
        <v>1</v>
      </c>
    </row>
    <row r="214" spans="1:7" ht="15.75" customHeight="1">
      <c r="A214" s="36"/>
      <c r="B214" s="32"/>
      <c r="C214" s="31"/>
      <c r="D214" s="31"/>
      <c r="E214" s="52"/>
      <c r="F214" s="53" t="s">
        <v>787</v>
      </c>
      <c r="G214" s="54">
        <v>1</v>
      </c>
    </row>
    <row r="215" spans="1:7" ht="15.75" customHeight="1">
      <c r="A215" s="36"/>
      <c r="B215" s="32"/>
      <c r="C215" s="31"/>
      <c r="D215" s="31"/>
      <c r="E215" s="42" t="s">
        <v>308</v>
      </c>
      <c r="F215" s="42" t="s">
        <v>785</v>
      </c>
      <c r="G215" s="45">
        <v>2</v>
      </c>
    </row>
    <row r="216" spans="1:7" ht="15.75" customHeight="1">
      <c r="A216" s="36"/>
      <c r="B216" s="32"/>
      <c r="C216" s="31"/>
      <c r="D216" s="31"/>
      <c r="E216" s="52"/>
      <c r="F216" s="53" t="s">
        <v>787</v>
      </c>
      <c r="G216" s="54">
        <v>0</v>
      </c>
    </row>
    <row r="217" spans="1:7" ht="15.75" customHeight="1">
      <c r="A217" s="36"/>
      <c r="B217" s="32"/>
      <c r="C217" s="31"/>
      <c r="D217" s="31"/>
      <c r="E217" s="42" t="s">
        <v>309</v>
      </c>
      <c r="F217" s="42" t="s">
        <v>785</v>
      </c>
      <c r="G217" s="45">
        <v>3</v>
      </c>
    </row>
    <row r="218" spans="1:7" ht="15.75" customHeight="1">
      <c r="A218" s="36"/>
      <c r="B218" s="32"/>
      <c r="C218" s="31"/>
      <c r="D218" s="31"/>
      <c r="E218" s="52"/>
      <c r="F218" s="53" t="s">
        <v>787</v>
      </c>
      <c r="G218" s="54">
        <v>3</v>
      </c>
    </row>
    <row r="219" spans="1:7" ht="15.75" customHeight="1">
      <c r="A219" s="36"/>
      <c r="B219" s="32"/>
      <c r="C219" s="31"/>
      <c r="D219" s="31"/>
      <c r="E219" s="42" t="s">
        <v>664</v>
      </c>
      <c r="F219" s="42" t="s">
        <v>785</v>
      </c>
      <c r="G219" s="45">
        <v>23</v>
      </c>
    </row>
    <row r="220" spans="1:7" ht="15.75" customHeight="1">
      <c r="A220" s="36"/>
      <c r="B220" s="32"/>
      <c r="C220" s="31"/>
      <c r="D220" s="31"/>
      <c r="E220" s="52"/>
      <c r="F220" s="53" t="s">
        <v>787</v>
      </c>
      <c r="G220" s="54">
        <v>23</v>
      </c>
    </row>
    <row r="221" spans="1:7" ht="15.75" customHeight="1">
      <c r="A221" s="36"/>
      <c r="B221" s="32"/>
      <c r="C221" s="31"/>
      <c r="D221" s="31"/>
      <c r="E221" s="42" t="s">
        <v>105</v>
      </c>
      <c r="F221" s="42" t="s">
        <v>785</v>
      </c>
      <c r="G221" s="45">
        <v>50</v>
      </c>
    </row>
    <row r="222" spans="1:7" ht="15.75" customHeight="1">
      <c r="A222" s="36"/>
      <c r="B222" s="32"/>
      <c r="C222" s="31"/>
      <c r="D222" s="31"/>
      <c r="E222" s="52"/>
      <c r="F222" s="53" t="s">
        <v>787</v>
      </c>
      <c r="G222" s="54">
        <v>47</v>
      </c>
    </row>
    <row r="223" spans="1:7" ht="15.75" customHeight="1">
      <c r="A223" s="36"/>
      <c r="B223" s="32"/>
      <c r="C223" s="31"/>
      <c r="D223" s="31"/>
      <c r="E223" s="42" t="s">
        <v>523</v>
      </c>
      <c r="F223" s="42" t="s">
        <v>785</v>
      </c>
      <c r="G223" s="45">
        <v>60</v>
      </c>
    </row>
    <row r="224" spans="1:7" ht="15.75" customHeight="1">
      <c r="A224" s="36"/>
      <c r="B224" s="32"/>
      <c r="C224" s="31"/>
      <c r="D224" s="31"/>
      <c r="E224" s="52"/>
      <c r="F224" s="53" t="s">
        <v>787</v>
      </c>
      <c r="G224" s="54">
        <v>30</v>
      </c>
    </row>
    <row r="225" spans="1:7" ht="15.75" customHeight="1">
      <c r="A225" s="36"/>
      <c r="B225" s="32"/>
      <c r="C225" s="31"/>
      <c r="D225" s="31"/>
      <c r="E225" s="42" t="s">
        <v>526</v>
      </c>
      <c r="F225" s="42" t="s">
        <v>785</v>
      </c>
      <c r="G225" s="45">
        <v>195</v>
      </c>
    </row>
    <row r="226" spans="1:7" ht="15.75" customHeight="1">
      <c r="A226" s="36"/>
      <c r="B226" s="32"/>
      <c r="C226" s="31"/>
      <c r="D226" s="31"/>
      <c r="E226" s="52"/>
      <c r="F226" s="53" t="s">
        <v>787</v>
      </c>
      <c r="G226" s="54">
        <v>195</v>
      </c>
    </row>
    <row r="227" spans="1:7" ht="15.75" customHeight="1">
      <c r="A227" s="36"/>
      <c r="B227" s="32"/>
      <c r="C227" s="31"/>
      <c r="D227" s="31"/>
      <c r="E227" s="42" t="s">
        <v>528</v>
      </c>
      <c r="F227" s="42" t="s">
        <v>785</v>
      </c>
      <c r="G227" s="45">
        <v>7766</v>
      </c>
    </row>
    <row r="228" spans="1:7" ht="15.75" customHeight="1">
      <c r="A228" s="36"/>
      <c r="B228" s="32"/>
      <c r="C228" s="31"/>
      <c r="D228" s="31"/>
      <c r="E228" s="52"/>
      <c r="F228" s="53" t="s">
        <v>787</v>
      </c>
      <c r="G228" s="54">
        <v>7766</v>
      </c>
    </row>
    <row r="229" spans="1:7" ht="15.75" customHeight="1">
      <c r="A229" s="36"/>
      <c r="B229" s="32"/>
      <c r="C229" s="31"/>
      <c r="D229" s="31"/>
      <c r="E229" s="42" t="s">
        <v>515</v>
      </c>
      <c r="F229" s="42" t="s">
        <v>785</v>
      </c>
      <c r="G229" s="45">
        <v>1570</v>
      </c>
    </row>
    <row r="230" spans="1:7" ht="15.75" customHeight="1">
      <c r="A230" s="36"/>
      <c r="B230" s="32"/>
      <c r="C230" s="31"/>
      <c r="D230" s="31"/>
      <c r="E230" s="52"/>
      <c r="F230" s="53" t="s">
        <v>787</v>
      </c>
      <c r="G230" s="54">
        <v>1570</v>
      </c>
    </row>
    <row r="231" spans="1:7" ht="15.75" customHeight="1">
      <c r="A231" s="36"/>
      <c r="B231" s="32"/>
      <c r="C231" s="31"/>
      <c r="D231" s="31"/>
      <c r="E231" s="42" t="s">
        <v>516</v>
      </c>
      <c r="F231" s="42" t="s">
        <v>785</v>
      </c>
      <c r="G231" s="45">
        <v>1495</v>
      </c>
    </row>
    <row r="232" spans="1:7" ht="15.75" customHeight="1">
      <c r="A232" s="36"/>
      <c r="B232" s="32"/>
      <c r="C232" s="31"/>
      <c r="D232" s="31"/>
      <c r="E232" s="52"/>
      <c r="F232" s="53" t="s">
        <v>787</v>
      </c>
      <c r="G232" s="54">
        <v>1360</v>
      </c>
    </row>
    <row r="233" spans="1:7" ht="15.75" customHeight="1">
      <c r="A233" s="36"/>
      <c r="B233" s="32"/>
      <c r="C233" s="31"/>
      <c r="D233" s="31"/>
      <c r="E233" s="42" t="s">
        <v>529</v>
      </c>
      <c r="F233" s="42" t="s">
        <v>785</v>
      </c>
      <c r="G233" s="45">
        <v>272</v>
      </c>
    </row>
    <row r="234" spans="1:7" ht="15.75" customHeight="1">
      <c r="A234" s="36"/>
      <c r="B234" s="32"/>
      <c r="C234" s="31"/>
      <c r="D234" s="31"/>
      <c r="E234" s="52"/>
      <c r="F234" s="53" t="s">
        <v>787</v>
      </c>
      <c r="G234" s="54">
        <v>272</v>
      </c>
    </row>
    <row r="235" spans="1:7" ht="15.75" customHeight="1">
      <c r="A235" s="36"/>
      <c r="B235" s="32"/>
      <c r="C235" s="31"/>
      <c r="D235" s="31"/>
      <c r="E235" s="42" t="s">
        <v>525</v>
      </c>
      <c r="F235" s="42" t="s">
        <v>785</v>
      </c>
      <c r="G235" s="45">
        <v>520</v>
      </c>
    </row>
    <row r="236" spans="1:7" ht="15.75" customHeight="1">
      <c r="A236" s="36"/>
      <c r="B236" s="32"/>
      <c r="C236" s="31"/>
      <c r="D236" s="31"/>
      <c r="E236" s="52"/>
      <c r="F236" s="53" t="s">
        <v>787</v>
      </c>
      <c r="G236" s="54">
        <v>520</v>
      </c>
    </row>
    <row r="237" spans="1:7" ht="15.75" customHeight="1">
      <c r="A237" s="36"/>
      <c r="B237" s="32"/>
      <c r="C237" s="31"/>
      <c r="D237" s="31"/>
      <c r="E237" s="42" t="s">
        <v>524</v>
      </c>
      <c r="F237" s="42" t="s">
        <v>785</v>
      </c>
      <c r="G237" s="45">
        <v>6566</v>
      </c>
    </row>
    <row r="238" spans="1:7" ht="15.75" customHeight="1">
      <c r="A238" s="36"/>
      <c r="B238" s="32"/>
      <c r="C238" s="31"/>
      <c r="D238" s="31"/>
      <c r="E238" s="52"/>
      <c r="F238" s="53" t="s">
        <v>787</v>
      </c>
      <c r="G238" s="54">
        <v>6566</v>
      </c>
    </row>
    <row r="239" spans="1:7" ht="15.75" customHeight="1">
      <c r="A239" s="36"/>
      <c r="B239" s="32"/>
      <c r="C239" s="31"/>
      <c r="D239" s="31"/>
      <c r="E239" s="42" t="s">
        <v>517</v>
      </c>
      <c r="F239" s="42" t="s">
        <v>785</v>
      </c>
      <c r="G239" s="45">
        <v>500</v>
      </c>
    </row>
    <row r="240" spans="1:7" ht="15.75" customHeight="1">
      <c r="A240" s="36"/>
      <c r="B240" s="32"/>
      <c r="C240" s="31"/>
      <c r="D240" s="31"/>
      <c r="E240" s="52"/>
      <c r="F240" s="53" t="s">
        <v>787</v>
      </c>
      <c r="G240" s="54">
        <v>69</v>
      </c>
    </row>
    <row r="241" spans="1:7" ht="15.75" customHeight="1">
      <c r="A241" s="36"/>
      <c r="B241" s="32"/>
      <c r="C241" s="31"/>
      <c r="D241" s="31"/>
      <c r="E241" s="42" t="s">
        <v>522</v>
      </c>
      <c r="F241" s="42" t="s">
        <v>785</v>
      </c>
      <c r="G241" s="45">
        <v>2217</v>
      </c>
    </row>
    <row r="242" spans="1:7" ht="15.75" customHeight="1">
      <c r="A242" s="36"/>
      <c r="B242" s="32"/>
      <c r="C242" s="31"/>
      <c r="D242" s="31"/>
      <c r="E242" s="52"/>
      <c r="F242" s="53" t="s">
        <v>787</v>
      </c>
      <c r="G242" s="54">
        <v>2172</v>
      </c>
    </row>
    <row r="243" spans="1:7" ht="15.75" customHeight="1">
      <c r="A243" s="36"/>
      <c r="B243" s="32"/>
      <c r="C243" s="31"/>
      <c r="D243" s="31"/>
      <c r="E243" s="42" t="s">
        <v>519</v>
      </c>
      <c r="F243" s="42" t="s">
        <v>785</v>
      </c>
      <c r="G243" s="45">
        <v>1000</v>
      </c>
    </row>
    <row r="244" spans="1:7" ht="15.75" customHeight="1">
      <c r="A244" s="36"/>
      <c r="B244" s="32"/>
      <c r="C244" s="31"/>
      <c r="D244" s="31"/>
      <c r="E244" s="52"/>
      <c r="F244" s="53" t="s">
        <v>787</v>
      </c>
      <c r="G244" s="54">
        <v>745</v>
      </c>
    </row>
    <row r="245" spans="1:7" ht="15.75" customHeight="1">
      <c r="A245" s="36"/>
      <c r="B245" s="32"/>
      <c r="C245" s="31"/>
      <c r="D245" s="31"/>
      <c r="E245" s="42" t="s">
        <v>108</v>
      </c>
      <c r="F245" s="42" t="s">
        <v>785</v>
      </c>
      <c r="G245" s="45">
        <v>10</v>
      </c>
    </row>
    <row r="246" spans="1:7" ht="15.75" customHeight="1">
      <c r="A246" s="36"/>
      <c r="B246" s="32"/>
      <c r="C246" s="31"/>
      <c r="D246" s="31"/>
      <c r="E246" s="52"/>
      <c r="F246" s="53" t="s">
        <v>787</v>
      </c>
      <c r="G246" s="54">
        <v>10</v>
      </c>
    </row>
    <row r="247" spans="1:7" ht="15.75" customHeight="1">
      <c r="A247" s="36"/>
      <c r="B247" s="32"/>
      <c r="C247" s="31"/>
      <c r="D247" s="31"/>
      <c r="E247" s="42" t="s">
        <v>665</v>
      </c>
      <c r="F247" s="42" t="s">
        <v>785</v>
      </c>
      <c r="G247" s="45">
        <v>9</v>
      </c>
    </row>
    <row r="248" spans="1:7" ht="15.75" customHeight="1">
      <c r="A248" s="36"/>
      <c r="B248" s="32"/>
      <c r="C248" s="31"/>
      <c r="D248" s="31"/>
      <c r="E248" s="52"/>
      <c r="F248" s="53" t="s">
        <v>787</v>
      </c>
      <c r="G248" s="54">
        <v>9</v>
      </c>
    </row>
    <row r="249" spans="1:7" ht="15.75" customHeight="1">
      <c r="A249" s="36"/>
      <c r="B249" s="32"/>
      <c r="C249" s="31"/>
      <c r="D249" s="31"/>
      <c r="E249" s="42" t="s">
        <v>421</v>
      </c>
      <c r="F249" s="42" t="s">
        <v>785</v>
      </c>
      <c r="G249" s="45">
        <v>97</v>
      </c>
    </row>
    <row r="250" spans="1:7" ht="15.75" customHeight="1">
      <c r="A250" s="36"/>
      <c r="B250" s="32"/>
      <c r="C250" s="31"/>
      <c r="D250" s="31"/>
      <c r="E250" s="52"/>
      <c r="F250" s="53" t="s">
        <v>787</v>
      </c>
      <c r="G250" s="54">
        <v>0</v>
      </c>
    </row>
    <row r="251" spans="1:7" ht="15.75" customHeight="1">
      <c r="A251" s="36"/>
      <c r="B251" s="32"/>
      <c r="C251" s="31"/>
      <c r="D251" s="31"/>
      <c r="E251" s="42" t="s">
        <v>666</v>
      </c>
      <c r="F251" s="42" t="s">
        <v>785</v>
      </c>
      <c r="G251" s="45">
        <v>176</v>
      </c>
    </row>
    <row r="252" spans="1:7" ht="15.75" customHeight="1">
      <c r="A252" s="36"/>
      <c r="B252" s="32"/>
      <c r="C252" s="31"/>
      <c r="D252" s="31"/>
      <c r="E252" s="52"/>
      <c r="F252" s="53" t="s">
        <v>787</v>
      </c>
      <c r="G252" s="54">
        <v>176</v>
      </c>
    </row>
    <row r="253" spans="1:7" ht="15.75" customHeight="1">
      <c r="A253" s="36"/>
      <c r="B253" s="32"/>
      <c r="C253" s="31"/>
      <c r="D253" s="31"/>
      <c r="E253" s="42" t="s">
        <v>719</v>
      </c>
      <c r="F253" s="42" t="s">
        <v>785</v>
      </c>
      <c r="G253" s="45">
        <v>4</v>
      </c>
    </row>
    <row r="254" spans="1:7" ht="15.75" customHeight="1">
      <c r="A254" s="36"/>
      <c r="B254" s="32"/>
      <c r="C254" s="31"/>
      <c r="D254" s="31"/>
      <c r="E254" s="52"/>
      <c r="F254" s="53" t="s">
        <v>787</v>
      </c>
      <c r="G254" s="54">
        <v>4</v>
      </c>
    </row>
    <row r="255" spans="1:7" ht="15.75" customHeight="1">
      <c r="A255" s="36"/>
      <c r="B255" s="32"/>
      <c r="C255" s="31"/>
      <c r="D255" s="31"/>
      <c r="E255" s="42" t="s">
        <v>667</v>
      </c>
      <c r="F255" s="42" t="s">
        <v>785</v>
      </c>
      <c r="G255" s="45">
        <v>20</v>
      </c>
    </row>
    <row r="256" spans="1:7" ht="15.75" customHeight="1">
      <c r="A256" s="36"/>
      <c r="B256" s="32"/>
      <c r="C256" s="31"/>
      <c r="D256" s="31"/>
      <c r="E256" s="52"/>
      <c r="F256" s="53" t="s">
        <v>787</v>
      </c>
      <c r="G256" s="54">
        <v>20</v>
      </c>
    </row>
    <row r="257" spans="1:7" ht="15.75" customHeight="1">
      <c r="A257" s="36"/>
      <c r="B257" s="32"/>
      <c r="C257" s="31"/>
      <c r="D257" s="31"/>
      <c r="E257" s="42" t="s">
        <v>668</v>
      </c>
      <c r="F257" s="42" t="s">
        <v>785</v>
      </c>
      <c r="G257" s="45">
        <v>14</v>
      </c>
    </row>
    <row r="258" spans="1:7" ht="15.75" customHeight="1">
      <c r="A258" s="36"/>
      <c r="B258" s="32"/>
      <c r="C258" s="31"/>
      <c r="D258" s="31"/>
      <c r="E258" s="52"/>
      <c r="F258" s="53" t="s">
        <v>787</v>
      </c>
      <c r="G258" s="54">
        <v>14</v>
      </c>
    </row>
    <row r="259" spans="1:7" ht="15.75" customHeight="1">
      <c r="A259" s="36"/>
      <c r="B259" s="32"/>
      <c r="C259" s="31"/>
      <c r="D259" s="31"/>
      <c r="E259" s="42" t="s">
        <v>315</v>
      </c>
      <c r="F259" s="42" t="s">
        <v>785</v>
      </c>
      <c r="G259" s="45">
        <v>500</v>
      </c>
    </row>
    <row r="260" spans="1:7" ht="15.75" customHeight="1">
      <c r="A260" s="36"/>
      <c r="B260" s="32"/>
      <c r="C260" s="31"/>
      <c r="D260" s="31"/>
      <c r="E260" s="52"/>
      <c r="F260" s="53" t="s">
        <v>787</v>
      </c>
      <c r="G260" s="54">
        <v>461</v>
      </c>
    </row>
    <row r="261" spans="1:7" ht="15.75" customHeight="1">
      <c r="A261" s="36"/>
      <c r="B261" s="32"/>
      <c r="C261" s="31"/>
      <c r="D261" s="31"/>
      <c r="E261" s="42" t="s">
        <v>318</v>
      </c>
      <c r="F261" s="42" t="s">
        <v>785</v>
      </c>
      <c r="G261" s="45">
        <v>5</v>
      </c>
    </row>
    <row r="262" spans="1:7" ht="15.75" customHeight="1">
      <c r="A262" s="36"/>
      <c r="B262" s="32"/>
      <c r="C262" s="31"/>
      <c r="D262" s="31"/>
      <c r="E262" s="52"/>
      <c r="F262" s="53" t="s">
        <v>787</v>
      </c>
      <c r="G262" s="54">
        <v>5</v>
      </c>
    </row>
    <row r="263" spans="1:7" ht="15.75" customHeight="1">
      <c r="A263" s="36"/>
      <c r="B263" s="32"/>
      <c r="C263" s="31"/>
      <c r="D263" s="31"/>
      <c r="E263" s="42" t="s">
        <v>317</v>
      </c>
      <c r="F263" s="42" t="s">
        <v>785</v>
      </c>
      <c r="G263" s="45">
        <v>118</v>
      </c>
    </row>
    <row r="264" spans="1:7" ht="15.75" customHeight="1">
      <c r="A264" s="36"/>
      <c r="B264" s="32"/>
      <c r="C264" s="31"/>
      <c r="D264" s="31"/>
      <c r="E264" s="52"/>
      <c r="F264" s="53" t="s">
        <v>787</v>
      </c>
      <c r="G264" s="54">
        <v>118</v>
      </c>
    </row>
    <row r="265" spans="1:7" ht="15.75" customHeight="1">
      <c r="A265" s="36"/>
      <c r="B265" s="32"/>
      <c r="C265" s="31"/>
      <c r="D265" s="31"/>
      <c r="E265" s="42" t="s">
        <v>535</v>
      </c>
      <c r="F265" s="42" t="s">
        <v>785</v>
      </c>
      <c r="G265" s="45">
        <v>38</v>
      </c>
    </row>
    <row r="266" spans="1:7" ht="15.75" customHeight="1">
      <c r="A266" s="36"/>
      <c r="B266" s="32"/>
      <c r="C266" s="31"/>
      <c r="D266" s="31"/>
      <c r="E266" s="52"/>
      <c r="F266" s="53" t="s">
        <v>787</v>
      </c>
      <c r="G266" s="54">
        <v>38</v>
      </c>
    </row>
    <row r="267" spans="1:7" ht="15.75" customHeight="1">
      <c r="A267" s="36"/>
      <c r="B267" s="32"/>
      <c r="C267" s="31"/>
      <c r="D267" s="31"/>
      <c r="E267" s="42" t="s">
        <v>34</v>
      </c>
      <c r="F267" s="42" t="s">
        <v>785</v>
      </c>
      <c r="G267" s="45">
        <v>24</v>
      </c>
    </row>
    <row r="268" spans="1:7" ht="15.75" customHeight="1">
      <c r="A268" s="36"/>
      <c r="B268" s="32"/>
      <c r="C268" s="31"/>
      <c r="D268" s="31"/>
      <c r="E268" s="52"/>
      <c r="F268" s="53" t="s">
        <v>787</v>
      </c>
      <c r="G268" s="54">
        <v>5</v>
      </c>
    </row>
    <row r="269" spans="1:7" ht="15.75" customHeight="1">
      <c r="A269" s="36"/>
      <c r="B269" s="32"/>
      <c r="C269" s="31"/>
      <c r="D269" s="31"/>
      <c r="E269" s="42" t="s">
        <v>147</v>
      </c>
      <c r="F269" s="42" t="s">
        <v>785</v>
      </c>
      <c r="G269" s="45">
        <v>79</v>
      </c>
    </row>
    <row r="270" spans="1:7" ht="15.75" customHeight="1">
      <c r="A270" s="36"/>
      <c r="B270" s="32"/>
      <c r="C270" s="31"/>
      <c r="D270" s="31"/>
      <c r="E270" s="52"/>
      <c r="F270" s="53" t="s">
        <v>787</v>
      </c>
      <c r="G270" s="54">
        <v>79</v>
      </c>
    </row>
    <row r="271" spans="1:7" ht="15.75" customHeight="1">
      <c r="A271" s="36"/>
      <c r="B271" s="32"/>
      <c r="C271" s="31"/>
      <c r="D271" s="31"/>
      <c r="E271" s="42" t="s">
        <v>718</v>
      </c>
      <c r="F271" s="42" t="s">
        <v>785</v>
      </c>
      <c r="G271" s="45">
        <v>1</v>
      </c>
    </row>
    <row r="272" spans="1:7" ht="15.75" customHeight="1">
      <c r="A272" s="36"/>
      <c r="B272" s="32"/>
      <c r="C272" s="31"/>
      <c r="D272" s="31"/>
      <c r="E272" s="52"/>
      <c r="F272" s="53" t="s">
        <v>787</v>
      </c>
      <c r="G272" s="54">
        <v>1</v>
      </c>
    </row>
    <row r="273" spans="1:7" ht="15.75" customHeight="1">
      <c r="A273" s="36"/>
      <c r="B273" s="32"/>
      <c r="C273" s="31"/>
      <c r="D273" s="31"/>
      <c r="E273" s="42" t="s">
        <v>717</v>
      </c>
      <c r="F273" s="42" t="s">
        <v>785</v>
      </c>
      <c r="G273" s="45">
        <v>4</v>
      </c>
    </row>
    <row r="274" spans="1:7" ht="15.75" customHeight="1">
      <c r="A274" s="36"/>
      <c r="B274" s="32"/>
      <c r="C274" s="31"/>
      <c r="D274" s="31"/>
      <c r="E274" s="52"/>
      <c r="F274" s="53" t="s">
        <v>787</v>
      </c>
      <c r="G274" s="54">
        <v>4</v>
      </c>
    </row>
    <row r="275" spans="1:7" ht="15.75" customHeight="1">
      <c r="A275" s="36"/>
      <c r="B275" s="32"/>
      <c r="C275" s="31"/>
      <c r="D275" s="31"/>
      <c r="E275" s="42" t="s">
        <v>422</v>
      </c>
      <c r="F275" s="42" t="s">
        <v>785</v>
      </c>
      <c r="G275" s="45">
        <v>53</v>
      </c>
    </row>
    <row r="276" spans="1:7" ht="15.75" customHeight="1">
      <c r="A276" s="36"/>
      <c r="B276" s="32"/>
      <c r="C276" s="31"/>
      <c r="D276" s="31"/>
      <c r="E276" s="52"/>
      <c r="F276" s="53" t="s">
        <v>787</v>
      </c>
      <c r="G276" s="54">
        <v>48</v>
      </c>
    </row>
    <row r="277" spans="1:7" ht="15.75" customHeight="1">
      <c r="A277" s="36"/>
      <c r="B277" s="32"/>
      <c r="C277" s="31"/>
      <c r="D277" s="31"/>
      <c r="E277" s="42" t="s">
        <v>530</v>
      </c>
      <c r="F277" s="42" t="s">
        <v>785</v>
      </c>
      <c r="G277" s="45">
        <v>168</v>
      </c>
    </row>
    <row r="278" spans="1:7" ht="15.75" customHeight="1">
      <c r="A278" s="36"/>
      <c r="B278" s="32"/>
      <c r="C278" s="31"/>
      <c r="D278" s="31"/>
      <c r="E278" s="52"/>
      <c r="F278" s="53" t="s">
        <v>787</v>
      </c>
      <c r="G278" s="54">
        <v>168</v>
      </c>
    </row>
    <row r="279" spans="1:7" ht="15.75" customHeight="1">
      <c r="A279" s="36"/>
      <c r="B279" s="32"/>
      <c r="C279" s="31"/>
      <c r="D279" s="31"/>
      <c r="E279" s="42" t="s">
        <v>533</v>
      </c>
      <c r="F279" s="42" t="s">
        <v>785</v>
      </c>
      <c r="G279" s="45">
        <v>276</v>
      </c>
    </row>
    <row r="280" spans="1:7" ht="15.75" customHeight="1">
      <c r="A280" s="36"/>
      <c r="B280" s="32"/>
      <c r="C280" s="31"/>
      <c r="D280" s="31"/>
      <c r="E280" s="52"/>
      <c r="F280" s="53" t="s">
        <v>787</v>
      </c>
      <c r="G280" s="54">
        <v>201</v>
      </c>
    </row>
    <row r="281" spans="1:7" ht="15.75" customHeight="1">
      <c r="A281" s="36"/>
      <c r="B281" s="32"/>
      <c r="C281" s="31"/>
      <c r="D281" s="31"/>
      <c r="E281" s="42" t="s">
        <v>145</v>
      </c>
      <c r="F281" s="42" t="s">
        <v>785</v>
      </c>
      <c r="G281" s="45">
        <v>2</v>
      </c>
    </row>
    <row r="282" spans="1:7" ht="15.75" customHeight="1">
      <c r="A282" s="36"/>
      <c r="B282" s="32"/>
      <c r="C282" s="31"/>
      <c r="D282" s="31"/>
      <c r="E282" s="52"/>
      <c r="F282" s="53" t="s">
        <v>787</v>
      </c>
      <c r="G282" s="54">
        <v>2</v>
      </c>
    </row>
    <row r="283" spans="1:7" ht="15.75" customHeight="1">
      <c r="A283" s="36"/>
      <c r="B283" s="32"/>
      <c r="C283" s="31"/>
      <c r="D283" s="31"/>
      <c r="E283" s="42" t="s">
        <v>536</v>
      </c>
      <c r="F283" s="42" t="s">
        <v>785</v>
      </c>
      <c r="G283" s="45">
        <v>300</v>
      </c>
    </row>
    <row r="284" spans="1:7" ht="15.75" customHeight="1">
      <c r="A284" s="36"/>
      <c r="B284" s="32"/>
      <c r="C284" s="31"/>
      <c r="D284" s="31"/>
      <c r="E284" s="52"/>
      <c r="F284" s="53" t="s">
        <v>787</v>
      </c>
      <c r="G284" s="54">
        <v>288</v>
      </c>
    </row>
    <row r="285" spans="1:7" ht="15.75" customHeight="1">
      <c r="A285" s="36"/>
      <c r="B285" s="32"/>
      <c r="C285" s="31"/>
      <c r="D285" s="31"/>
      <c r="E285" s="42" t="s">
        <v>689</v>
      </c>
      <c r="F285" s="42" t="s">
        <v>785</v>
      </c>
      <c r="G285" s="45">
        <v>21</v>
      </c>
    </row>
    <row r="286" spans="1:7" ht="15.75" customHeight="1">
      <c r="A286" s="36"/>
      <c r="B286" s="32"/>
      <c r="C286" s="31"/>
      <c r="D286" s="31"/>
      <c r="E286" s="52"/>
      <c r="F286" s="53" t="s">
        <v>787</v>
      </c>
      <c r="G286" s="54">
        <v>21</v>
      </c>
    </row>
    <row r="287" spans="1:7" ht="15.75" customHeight="1">
      <c r="A287" s="36"/>
      <c r="B287" s="32"/>
      <c r="C287" s="31"/>
      <c r="D287" s="31"/>
      <c r="E287" s="42" t="s">
        <v>690</v>
      </c>
      <c r="F287" s="42" t="s">
        <v>785</v>
      </c>
      <c r="G287" s="45">
        <v>33</v>
      </c>
    </row>
    <row r="288" spans="1:7" ht="15.75" customHeight="1">
      <c r="A288" s="36"/>
      <c r="B288" s="32"/>
      <c r="C288" s="31"/>
      <c r="D288" s="31"/>
      <c r="E288" s="52"/>
      <c r="F288" s="53" t="s">
        <v>787</v>
      </c>
      <c r="G288" s="54">
        <v>33</v>
      </c>
    </row>
    <row r="289" spans="1:7" ht="15.75" customHeight="1">
      <c r="A289" s="36"/>
      <c r="B289" s="32"/>
      <c r="C289" s="31"/>
      <c r="D289" s="31"/>
      <c r="E289" s="42" t="s">
        <v>691</v>
      </c>
      <c r="F289" s="42" t="s">
        <v>785</v>
      </c>
      <c r="G289" s="45">
        <v>42</v>
      </c>
    </row>
    <row r="290" spans="1:7" ht="15.75" customHeight="1">
      <c r="A290" s="36"/>
      <c r="B290" s="32"/>
      <c r="C290" s="31"/>
      <c r="D290" s="31"/>
      <c r="E290" s="52"/>
      <c r="F290" s="53" t="s">
        <v>787</v>
      </c>
      <c r="G290" s="54">
        <v>42</v>
      </c>
    </row>
    <row r="291" spans="1:7" ht="15.75" customHeight="1">
      <c r="A291" s="36"/>
      <c r="B291" s="32"/>
      <c r="C291" s="31"/>
      <c r="D291" s="31"/>
      <c r="E291" s="42" t="s">
        <v>685</v>
      </c>
      <c r="F291" s="42" t="s">
        <v>785</v>
      </c>
      <c r="G291" s="45">
        <v>1</v>
      </c>
    </row>
    <row r="292" spans="1:7" ht="15.75" customHeight="1">
      <c r="A292" s="36"/>
      <c r="B292" s="32"/>
      <c r="C292" s="31"/>
      <c r="D292" s="31"/>
      <c r="E292" s="52"/>
      <c r="F292" s="53" t="s">
        <v>787</v>
      </c>
      <c r="G292" s="54">
        <v>1</v>
      </c>
    </row>
    <row r="293" spans="1:7" ht="15.75" customHeight="1">
      <c r="A293" s="36"/>
      <c r="B293" s="32"/>
      <c r="C293" s="31"/>
      <c r="D293" s="31"/>
      <c r="E293" s="42" t="s">
        <v>687</v>
      </c>
      <c r="F293" s="42" t="s">
        <v>785</v>
      </c>
      <c r="G293" s="45">
        <v>37</v>
      </c>
    </row>
    <row r="294" spans="1:7" ht="15.75" customHeight="1">
      <c r="A294" s="36"/>
      <c r="B294" s="32"/>
      <c r="C294" s="31"/>
      <c r="D294" s="31"/>
      <c r="E294" s="52"/>
      <c r="F294" s="53" t="s">
        <v>787</v>
      </c>
      <c r="G294" s="54">
        <v>37</v>
      </c>
    </row>
    <row r="295" spans="1:7" ht="15.75" customHeight="1">
      <c r="A295" s="36"/>
      <c r="B295" s="32"/>
      <c r="C295" s="31"/>
      <c r="D295" s="31"/>
      <c r="E295" s="42" t="s">
        <v>688</v>
      </c>
      <c r="F295" s="42" t="s">
        <v>785</v>
      </c>
      <c r="G295" s="45">
        <v>13</v>
      </c>
    </row>
    <row r="296" spans="1:7" ht="15.75" customHeight="1">
      <c r="A296" s="36"/>
      <c r="B296" s="32"/>
      <c r="C296" s="31"/>
      <c r="D296" s="31"/>
      <c r="E296" s="52"/>
      <c r="F296" s="53" t="s">
        <v>787</v>
      </c>
      <c r="G296" s="54">
        <v>13</v>
      </c>
    </row>
    <row r="297" spans="1:7" ht="15.75" customHeight="1">
      <c r="A297" s="36"/>
      <c r="B297" s="32"/>
      <c r="C297" s="31"/>
      <c r="D297" s="31"/>
      <c r="E297" s="42" t="s">
        <v>686</v>
      </c>
      <c r="F297" s="42" t="s">
        <v>785</v>
      </c>
      <c r="G297" s="45">
        <v>40</v>
      </c>
    </row>
    <row r="298" spans="1:7" ht="15.75" customHeight="1">
      <c r="A298" s="36"/>
      <c r="B298" s="32"/>
      <c r="C298" s="31"/>
      <c r="D298" s="31"/>
      <c r="E298" s="52"/>
      <c r="F298" s="53" t="s">
        <v>787</v>
      </c>
      <c r="G298" s="54">
        <v>40</v>
      </c>
    </row>
    <row r="299" spans="1:7" ht="15.75" customHeight="1">
      <c r="A299" s="36"/>
      <c r="B299" s="32"/>
      <c r="C299" s="31"/>
      <c r="D299" s="31"/>
      <c r="E299" s="42" t="s">
        <v>116</v>
      </c>
      <c r="F299" s="42" t="s">
        <v>785</v>
      </c>
      <c r="G299" s="45">
        <v>2</v>
      </c>
    </row>
    <row r="300" spans="1:7" ht="15.75" customHeight="1">
      <c r="A300" s="36"/>
      <c r="B300" s="32"/>
      <c r="C300" s="31"/>
      <c r="D300" s="31"/>
      <c r="E300" s="52"/>
      <c r="F300" s="53" t="s">
        <v>787</v>
      </c>
      <c r="G300" s="54">
        <v>2</v>
      </c>
    </row>
    <row r="301" spans="1:7" ht="15.75" customHeight="1">
      <c r="A301" s="36"/>
      <c r="B301" s="32"/>
      <c r="C301" s="31"/>
      <c r="D301" s="31"/>
      <c r="E301" s="42" t="s">
        <v>113</v>
      </c>
      <c r="F301" s="42" t="s">
        <v>785</v>
      </c>
      <c r="G301" s="45">
        <v>3</v>
      </c>
    </row>
    <row r="302" spans="1:7" ht="15.75" customHeight="1">
      <c r="A302" s="36"/>
      <c r="B302" s="32"/>
      <c r="C302" s="31"/>
      <c r="D302" s="31"/>
      <c r="E302" s="52"/>
      <c r="F302" s="53" t="s">
        <v>787</v>
      </c>
      <c r="G302" s="54">
        <v>3</v>
      </c>
    </row>
    <row r="303" spans="1:7" ht="15.75" customHeight="1">
      <c r="A303" s="36"/>
      <c r="B303" s="32"/>
      <c r="C303" s="31"/>
      <c r="D303" s="31"/>
      <c r="E303" s="42" t="s">
        <v>115</v>
      </c>
      <c r="F303" s="42" t="s">
        <v>785</v>
      </c>
      <c r="G303" s="45">
        <v>3</v>
      </c>
    </row>
    <row r="304" spans="1:7" ht="15.75" customHeight="1">
      <c r="A304" s="36"/>
      <c r="B304" s="32"/>
      <c r="C304" s="31"/>
      <c r="D304" s="31"/>
      <c r="E304" s="52"/>
      <c r="F304" s="53" t="s">
        <v>787</v>
      </c>
      <c r="G304" s="54">
        <v>3</v>
      </c>
    </row>
    <row r="305" spans="1:7" ht="15.75" customHeight="1">
      <c r="A305" s="36"/>
      <c r="B305" s="32"/>
      <c r="C305" s="31"/>
      <c r="D305" s="31"/>
      <c r="E305" s="42" t="s">
        <v>639</v>
      </c>
      <c r="F305" s="42" t="s">
        <v>785</v>
      </c>
      <c r="G305" s="45">
        <v>144</v>
      </c>
    </row>
    <row r="306" spans="1:7" ht="15.75" customHeight="1">
      <c r="A306" s="36"/>
      <c r="B306" s="32"/>
      <c r="C306" s="31"/>
      <c r="D306" s="31"/>
      <c r="E306" s="52"/>
      <c r="F306" s="53" t="s">
        <v>787</v>
      </c>
      <c r="G306" s="54">
        <v>144</v>
      </c>
    </row>
    <row r="307" spans="1:7" ht="15.75" customHeight="1">
      <c r="A307" s="36"/>
      <c r="B307" s="32"/>
      <c r="C307" s="31"/>
      <c r="D307" s="31"/>
      <c r="E307" s="42" t="s">
        <v>132</v>
      </c>
      <c r="F307" s="42" t="s">
        <v>785</v>
      </c>
      <c r="G307" s="45">
        <v>3</v>
      </c>
    </row>
    <row r="308" spans="1:7" ht="15.75" customHeight="1">
      <c r="A308" s="36"/>
      <c r="B308" s="32"/>
      <c r="C308" s="31"/>
      <c r="D308" s="31"/>
      <c r="E308" s="52"/>
      <c r="F308" s="53" t="s">
        <v>787</v>
      </c>
      <c r="G308" s="54">
        <v>3</v>
      </c>
    </row>
    <row r="309" spans="1:7" ht="15.75" customHeight="1">
      <c r="A309" s="36"/>
      <c r="B309" s="32"/>
      <c r="C309" s="31"/>
      <c r="D309" s="31"/>
      <c r="E309" s="42" t="s">
        <v>128</v>
      </c>
      <c r="F309" s="42" t="s">
        <v>785</v>
      </c>
      <c r="G309" s="45">
        <v>10</v>
      </c>
    </row>
    <row r="310" spans="1:7" ht="15.75" customHeight="1">
      <c r="A310" s="36"/>
      <c r="B310" s="32"/>
      <c r="C310" s="31"/>
      <c r="D310" s="31"/>
      <c r="E310" s="52"/>
      <c r="F310" s="53" t="s">
        <v>787</v>
      </c>
      <c r="G310" s="54">
        <v>10</v>
      </c>
    </row>
    <row r="311" spans="1:7" ht="15.75" customHeight="1">
      <c r="A311" s="36"/>
      <c r="B311" s="32"/>
      <c r="C311" s="31"/>
      <c r="D311" s="31"/>
      <c r="E311" s="42" t="s">
        <v>126</v>
      </c>
      <c r="F311" s="42" t="s">
        <v>785</v>
      </c>
      <c r="G311" s="45">
        <v>12</v>
      </c>
    </row>
    <row r="312" spans="1:7" ht="15.75" customHeight="1">
      <c r="A312" s="36"/>
      <c r="B312" s="32"/>
      <c r="C312" s="31"/>
      <c r="D312" s="31"/>
      <c r="E312" s="52"/>
      <c r="F312" s="53" t="s">
        <v>787</v>
      </c>
      <c r="G312" s="54">
        <v>12</v>
      </c>
    </row>
    <row r="313" spans="1:7" ht="15.75" customHeight="1">
      <c r="A313" s="36"/>
      <c r="B313" s="32"/>
      <c r="C313" s="31"/>
      <c r="D313" s="31"/>
      <c r="E313" s="42" t="s">
        <v>134</v>
      </c>
      <c r="F313" s="42" t="s">
        <v>785</v>
      </c>
      <c r="G313" s="45">
        <v>4</v>
      </c>
    </row>
    <row r="314" spans="1:7" ht="15.75" customHeight="1">
      <c r="A314" s="36"/>
      <c r="B314" s="32"/>
      <c r="C314" s="31"/>
      <c r="D314" s="31"/>
      <c r="E314" s="52"/>
      <c r="F314" s="53" t="s">
        <v>787</v>
      </c>
      <c r="G314" s="54">
        <v>4</v>
      </c>
    </row>
    <row r="315" spans="1:7" ht="15.75" customHeight="1">
      <c r="A315" s="36"/>
      <c r="B315" s="32"/>
      <c r="C315" s="31"/>
      <c r="D315" s="31"/>
      <c r="E315" s="42" t="s">
        <v>130</v>
      </c>
      <c r="F315" s="42" t="s">
        <v>785</v>
      </c>
      <c r="G315" s="45">
        <v>18</v>
      </c>
    </row>
    <row r="316" spans="1:7" ht="15.75" customHeight="1">
      <c r="A316" s="36"/>
      <c r="B316" s="32"/>
      <c r="C316" s="31"/>
      <c r="D316" s="31"/>
      <c r="E316" s="52"/>
      <c r="F316" s="53" t="s">
        <v>787</v>
      </c>
      <c r="G316" s="54">
        <v>18</v>
      </c>
    </row>
    <row r="317" spans="1:7" ht="15.75" customHeight="1">
      <c r="A317" s="36"/>
      <c r="B317" s="32"/>
      <c r="C317" s="31"/>
      <c r="D317" s="31"/>
      <c r="E317" s="42" t="s">
        <v>119</v>
      </c>
      <c r="F317" s="42" t="s">
        <v>785</v>
      </c>
      <c r="G317" s="45">
        <v>145</v>
      </c>
    </row>
    <row r="318" spans="1:7" ht="15.75" customHeight="1">
      <c r="A318" s="36"/>
      <c r="B318" s="32"/>
      <c r="C318" s="31"/>
      <c r="D318" s="31"/>
      <c r="E318" s="52"/>
      <c r="F318" s="53" t="s">
        <v>787</v>
      </c>
      <c r="G318" s="54">
        <v>145</v>
      </c>
    </row>
    <row r="319" spans="1:7" ht="15.75" customHeight="1">
      <c r="A319" s="36"/>
      <c r="B319" s="32"/>
      <c r="C319" s="31"/>
      <c r="D319" s="31"/>
      <c r="E319" s="42" t="s">
        <v>123</v>
      </c>
      <c r="F319" s="42" t="s">
        <v>785</v>
      </c>
      <c r="G319" s="45">
        <v>20</v>
      </c>
    </row>
    <row r="320" spans="1:7" ht="15.75" customHeight="1">
      <c r="A320" s="36"/>
      <c r="B320" s="32"/>
      <c r="C320" s="31"/>
      <c r="D320" s="31"/>
      <c r="E320" s="52"/>
      <c r="F320" s="53" t="s">
        <v>787</v>
      </c>
      <c r="G320" s="54">
        <v>20</v>
      </c>
    </row>
    <row r="321" spans="1:7" ht="15.75" customHeight="1">
      <c r="A321" s="36"/>
      <c r="B321" s="32"/>
      <c r="C321" s="31"/>
      <c r="D321" s="31"/>
      <c r="E321" s="42" t="s">
        <v>121</v>
      </c>
      <c r="F321" s="42" t="s">
        <v>785</v>
      </c>
      <c r="G321" s="45">
        <v>145</v>
      </c>
    </row>
    <row r="322" spans="1:7" ht="15.75" customHeight="1">
      <c r="A322" s="36"/>
      <c r="B322" s="32"/>
      <c r="C322" s="31"/>
      <c r="D322" s="31"/>
      <c r="E322" s="52"/>
      <c r="F322" s="53" t="s">
        <v>787</v>
      </c>
      <c r="G322" s="54">
        <v>145</v>
      </c>
    </row>
    <row r="323" spans="1:7" ht="15.75" customHeight="1">
      <c r="A323" s="36"/>
      <c r="B323" s="32"/>
      <c r="C323" s="31"/>
      <c r="D323" s="31"/>
      <c r="E323" s="42" t="s">
        <v>124</v>
      </c>
      <c r="F323" s="42" t="s">
        <v>785</v>
      </c>
      <c r="G323" s="45">
        <v>38</v>
      </c>
    </row>
    <row r="324" spans="1:7" ht="15.75" customHeight="1">
      <c r="A324" s="36"/>
      <c r="B324" s="32"/>
      <c r="C324" s="31"/>
      <c r="D324" s="31"/>
      <c r="E324" s="52"/>
      <c r="F324" s="53" t="s">
        <v>787</v>
      </c>
      <c r="G324" s="54">
        <v>38</v>
      </c>
    </row>
    <row r="325" spans="1:7" ht="15.75" customHeight="1">
      <c r="A325" s="36"/>
      <c r="B325" s="32"/>
      <c r="C325" s="31"/>
      <c r="D325" s="31"/>
      <c r="E325" s="42" t="s">
        <v>117</v>
      </c>
      <c r="F325" s="42" t="s">
        <v>785</v>
      </c>
      <c r="G325" s="45">
        <v>23</v>
      </c>
    </row>
    <row r="326" spans="1:7" ht="15.75" customHeight="1">
      <c r="A326" s="36"/>
      <c r="B326" s="32"/>
      <c r="C326" s="31"/>
      <c r="D326" s="31"/>
      <c r="E326" s="52"/>
      <c r="F326" s="53" t="s">
        <v>787</v>
      </c>
      <c r="G326" s="54">
        <v>23</v>
      </c>
    </row>
    <row r="327" spans="1:7" ht="15.75" customHeight="1">
      <c r="A327" s="36"/>
      <c r="B327" s="32"/>
      <c r="C327" s="31"/>
      <c r="D327" s="31"/>
      <c r="E327" s="42" t="s">
        <v>135</v>
      </c>
      <c r="F327" s="42" t="s">
        <v>785</v>
      </c>
      <c r="G327" s="45">
        <v>2</v>
      </c>
    </row>
    <row r="328" spans="1:7" ht="15.75" customHeight="1">
      <c r="A328" s="36"/>
      <c r="B328" s="32"/>
      <c r="C328" s="31"/>
      <c r="D328" s="31"/>
      <c r="E328" s="52"/>
      <c r="F328" s="53" t="s">
        <v>787</v>
      </c>
      <c r="G328" s="54">
        <v>2</v>
      </c>
    </row>
    <row r="329" spans="1:7" ht="15.75" customHeight="1">
      <c r="A329" s="36"/>
      <c r="B329" s="32"/>
      <c r="C329" s="31"/>
      <c r="D329" s="31"/>
      <c r="E329" s="42" t="s">
        <v>137</v>
      </c>
      <c r="F329" s="42" t="s">
        <v>785</v>
      </c>
      <c r="G329" s="45">
        <v>4</v>
      </c>
    </row>
    <row r="330" spans="1:7" ht="15.75" customHeight="1">
      <c r="A330" s="36"/>
      <c r="B330" s="32"/>
      <c r="C330" s="31"/>
      <c r="D330" s="31"/>
      <c r="E330" s="52"/>
      <c r="F330" s="53" t="s">
        <v>787</v>
      </c>
      <c r="G330" s="54">
        <v>4</v>
      </c>
    </row>
    <row r="331" spans="1:7" ht="15.75" customHeight="1">
      <c r="A331" s="36"/>
      <c r="B331" s="32"/>
      <c r="C331" s="31"/>
      <c r="D331" s="31"/>
      <c r="E331" s="42" t="s">
        <v>139</v>
      </c>
      <c r="F331" s="42" t="s">
        <v>785</v>
      </c>
      <c r="G331" s="45">
        <v>2</v>
      </c>
    </row>
    <row r="332" spans="1:7" ht="15.75" customHeight="1">
      <c r="A332" s="36"/>
      <c r="B332" s="32"/>
      <c r="C332" s="31"/>
      <c r="D332" s="31"/>
      <c r="E332" s="52"/>
      <c r="F332" s="53" t="s">
        <v>787</v>
      </c>
      <c r="G332" s="54">
        <v>2</v>
      </c>
    </row>
    <row r="333" spans="1:7" ht="15.75" customHeight="1">
      <c r="A333" s="36"/>
      <c r="B333" s="32"/>
      <c r="C333" s="31"/>
      <c r="D333" s="31"/>
      <c r="E333" s="42" t="s">
        <v>323</v>
      </c>
      <c r="F333" s="42" t="s">
        <v>785</v>
      </c>
      <c r="G333" s="45">
        <v>500</v>
      </c>
    </row>
    <row r="334" spans="1:7" ht="15.75" customHeight="1">
      <c r="A334" s="36"/>
      <c r="B334" s="32"/>
      <c r="C334" s="31"/>
      <c r="D334" s="31"/>
      <c r="E334" s="52"/>
      <c r="F334" s="53" t="s">
        <v>787</v>
      </c>
      <c r="G334" s="54">
        <v>100</v>
      </c>
    </row>
    <row r="335" spans="1:7" ht="15.75" customHeight="1">
      <c r="A335" s="36"/>
      <c r="B335" s="32"/>
      <c r="C335" s="31"/>
      <c r="D335" s="31"/>
      <c r="E335" s="42" t="s">
        <v>150</v>
      </c>
      <c r="F335" s="42" t="s">
        <v>785</v>
      </c>
      <c r="G335" s="45">
        <v>19</v>
      </c>
    </row>
    <row r="336" spans="1:7" ht="15.75" customHeight="1">
      <c r="A336" s="36"/>
      <c r="B336" s="32"/>
      <c r="C336" s="31"/>
      <c r="D336" s="31"/>
      <c r="E336" s="52"/>
      <c r="F336" s="53" t="s">
        <v>787</v>
      </c>
      <c r="G336" s="54">
        <v>19</v>
      </c>
    </row>
    <row r="337" spans="1:7" ht="15.75" customHeight="1">
      <c r="A337" s="36"/>
      <c r="B337" s="32"/>
      <c r="C337" s="31"/>
      <c r="D337" s="31"/>
      <c r="E337" s="42" t="s">
        <v>143</v>
      </c>
      <c r="F337" s="42" t="s">
        <v>785</v>
      </c>
      <c r="G337" s="45">
        <v>50</v>
      </c>
    </row>
    <row r="338" spans="1:7" ht="15.75" customHeight="1">
      <c r="A338" s="36"/>
      <c r="B338" s="32"/>
      <c r="C338" s="31"/>
      <c r="D338" s="31"/>
      <c r="E338" s="52"/>
      <c r="F338" s="53" t="s">
        <v>787</v>
      </c>
      <c r="G338" s="54">
        <v>45</v>
      </c>
    </row>
    <row r="339" spans="1:7" ht="15.75" customHeight="1">
      <c r="A339" s="36"/>
      <c r="B339" s="32"/>
      <c r="C339" s="31"/>
      <c r="D339" s="31"/>
      <c r="E339" s="42" t="s">
        <v>141</v>
      </c>
      <c r="F339" s="42" t="s">
        <v>785</v>
      </c>
      <c r="G339" s="45">
        <v>50</v>
      </c>
    </row>
    <row r="340" spans="1:7" ht="15.75" customHeight="1">
      <c r="A340" s="36"/>
      <c r="B340" s="32"/>
      <c r="C340" s="31"/>
      <c r="D340" s="31"/>
      <c r="E340" s="52"/>
      <c r="F340" s="53" t="s">
        <v>787</v>
      </c>
      <c r="G340" s="54">
        <v>22</v>
      </c>
    </row>
    <row r="341" spans="1:7" ht="15.75" customHeight="1">
      <c r="A341" s="36"/>
      <c r="B341" s="32"/>
      <c r="C341" s="31"/>
      <c r="D341" s="31"/>
      <c r="E341" s="42" t="s">
        <v>325</v>
      </c>
      <c r="F341" s="42" t="s">
        <v>785</v>
      </c>
      <c r="G341" s="45">
        <v>1</v>
      </c>
    </row>
    <row r="342" spans="1:7" ht="15.75" customHeight="1">
      <c r="A342" s="36"/>
      <c r="B342" s="32"/>
      <c r="C342" s="31"/>
      <c r="D342" s="31"/>
      <c r="E342" s="52"/>
      <c r="F342" s="53" t="s">
        <v>787</v>
      </c>
      <c r="G342" s="54">
        <v>1</v>
      </c>
    </row>
    <row r="343" spans="1:7" ht="15.75" customHeight="1">
      <c r="A343" s="36"/>
      <c r="B343" s="32"/>
      <c r="C343" s="31"/>
      <c r="D343" s="31"/>
      <c r="E343" s="42" t="s">
        <v>326</v>
      </c>
      <c r="F343" s="42" t="s">
        <v>785</v>
      </c>
      <c r="G343" s="45">
        <v>2</v>
      </c>
    </row>
    <row r="344" spans="1:7" ht="15.75" customHeight="1">
      <c r="A344" s="36"/>
      <c r="B344" s="32"/>
      <c r="C344" s="31"/>
      <c r="D344" s="31"/>
      <c r="E344" s="52"/>
      <c r="F344" s="53" t="s">
        <v>787</v>
      </c>
      <c r="G344" s="54">
        <v>2</v>
      </c>
    </row>
    <row r="345" spans="1:7" ht="15.75" customHeight="1">
      <c r="A345" s="36"/>
      <c r="B345" s="32"/>
      <c r="C345" s="31"/>
      <c r="D345" s="31"/>
      <c r="E345" s="42" t="s">
        <v>327</v>
      </c>
      <c r="F345" s="42" t="s">
        <v>785</v>
      </c>
      <c r="G345" s="45">
        <v>3</v>
      </c>
    </row>
    <row r="346" spans="1:7" ht="15.75" customHeight="1">
      <c r="A346" s="36"/>
      <c r="B346" s="32"/>
      <c r="C346" s="31"/>
      <c r="D346" s="31"/>
      <c r="E346" s="52"/>
      <c r="F346" s="53" t="s">
        <v>787</v>
      </c>
      <c r="G346" s="54">
        <v>3</v>
      </c>
    </row>
    <row r="347" spans="1:7" ht="15.75" customHeight="1">
      <c r="A347" s="36"/>
      <c r="B347" s="32"/>
      <c r="C347" s="31"/>
      <c r="D347" s="31"/>
      <c r="E347" s="42" t="s">
        <v>328</v>
      </c>
      <c r="F347" s="42" t="s">
        <v>785</v>
      </c>
      <c r="G347" s="45">
        <v>7</v>
      </c>
    </row>
    <row r="348" spans="1:7" ht="15.75" customHeight="1">
      <c r="A348" s="36"/>
      <c r="B348" s="32"/>
      <c r="C348" s="31"/>
      <c r="D348" s="31"/>
      <c r="E348" s="52"/>
      <c r="F348" s="53" t="s">
        <v>787</v>
      </c>
      <c r="G348" s="54">
        <v>7</v>
      </c>
    </row>
    <row r="349" spans="1:7" ht="15.75" customHeight="1">
      <c r="A349" s="36"/>
      <c r="B349" s="32"/>
      <c r="C349" s="31"/>
      <c r="D349" s="31"/>
      <c r="E349" s="42" t="s">
        <v>669</v>
      </c>
      <c r="F349" s="42" t="s">
        <v>785</v>
      </c>
      <c r="G349" s="45">
        <v>4</v>
      </c>
    </row>
    <row r="350" spans="1:7" ht="15.75" customHeight="1">
      <c r="A350" s="36"/>
      <c r="B350" s="32"/>
      <c r="C350" s="31"/>
      <c r="D350" s="31"/>
      <c r="E350" s="52"/>
      <c r="F350" s="53" t="s">
        <v>787</v>
      </c>
      <c r="G350" s="54">
        <v>4</v>
      </c>
    </row>
    <row r="351" spans="1:7" ht="15.75" customHeight="1">
      <c r="A351" s="36"/>
      <c r="B351" s="32"/>
      <c r="C351" s="31"/>
      <c r="D351" s="31"/>
      <c r="E351" s="42" t="s">
        <v>514</v>
      </c>
      <c r="F351" s="42" t="s">
        <v>785</v>
      </c>
      <c r="G351" s="45">
        <v>540</v>
      </c>
    </row>
    <row r="352" spans="1:7" ht="15.75" customHeight="1">
      <c r="A352" s="36"/>
      <c r="B352" s="32"/>
      <c r="C352" s="31"/>
      <c r="D352" s="31"/>
      <c r="E352" s="52"/>
      <c r="F352" s="53" t="s">
        <v>787</v>
      </c>
      <c r="G352" s="54">
        <v>71</v>
      </c>
    </row>
    <row r="353" spans="1:7" ht="15.75" customHeight="1">
      <c r="A353" s="36"/>
      <c r="B353" s="32"/>
      <c r="C353" s="31"/>
      <c r="D353" s="31"/>
      <c r="E353" s="42" t="s">
        <v>538</v>
      </c>
      <c r="F353" s="42" t="s">
        <v>785</v>
      </c>
      <c r="G353" s="45">
        <v>10</v>
      </c>
    </row>
    <row r="354" spans="1:7" ht="15.75" customHeight="1">
      <c r="A354" s="36"/>
      <c r="B354" s="32"/>
      <c r="C354" s="31"/>
      <c r="D354" s="31"/>
      <c r="E354" s="52"/>
      <c r="F354" s="53" t="s">
        <v>787</v>
      </c>
      <c r="G354" s="54">
        <v>10</v>
      </c>
    </row>
    <row r="355" spans="1:7" ht="15.75" customHeight="1">
      <c r="A355" s="36"/>
      <c r="B355" s="32"/>
      <c r="C355" s="31"/>
      <c r="D355" s="31"/>
      <c r="E355" s="42" t="s">
        <v>539</v>
      </c>
      <c r="F355" s="42" t="s">
        <v>785</v>
      </c>
      <c r="G355" s="45">
        <v>13</v>
      </c>
    </row>
    <row r="356" spans="1:7" ht="15.75" customHeight="1">
      <c r="A356" s="36"/>
      <c r="B356" s="32"/>
      <c r="C356" s="31"/>
      <c r="D356" s="31"/>
      <c r="E356" s="52"/>
      <c r="F356" s="53" t="s">
        <v>787</v>
      </c>
      <c r="G356" s="54">
        <v>13</v>
      </c>
    </row>
    <row r="357" spans="1:7" ht="15.75" customHeight="1">
      <c r="A357" s="36"/>
      <c r="B357" s="32"/>
      <c r="C357" s="31"/>
      <c r="D357" s="31"/>
      <c r="E357" s="42" t="s">
        <v>540</v>
      </c>
      <c r="F357" s="42" t="s">
        <v>785</v>
      </c>
      <c r="G357" s="45">
        <v>200</v>
      </c>
    </row>
    <row r="358" spans="1:7" ht="15.75" customHeight="1">
      <c r="A358" s="36"/>
      <c r="B358" s="32"/>
      <c r="C358" s="31"/>
      <c r="D358" s="31"/>
      <c r="E358" s="52"/>
      <c r="F358" s="53" t="s">
        <v>787</v>
      </c>
      <c r="G358" s="54">
        <v>110</v>
      </c>
    </row>
    <row r="359" spans="1:7" ht="15.75" customHeight="1">
      <c r="A359" s="36"/>
      <c r="B359" s="32"/>
      <c r="C359" s="31"/>
      <c r="D359" s="31"/>
      <c r="E359" s="42" t="s">
        <v>544</v>
      </c>
      <c r="F359" s="42" t="s">
        <v>785</v>
      </c>
      <c r="G359" s="45">
        <v>250</v>
      </c>
    </row>
    <row r="360" spans="1:7" ht="15.75" customHeight="1">
      <c r="A360" s="36"/>
      <c r="B360" s="32"/>
      <c r="C360" s="31"/>
      <c r="D360" s="31"/>
      <c r="E360" s="52"/>
      <c r="F360" s="53" t="s">
        <v>787</v>
      </c>
      <c r="G360" s="54">
        <v>72</v>
      </c>
    </row>
    <row r="361" spans="1:7" ht="15.75" customHeight="1">
      <c r="A361" s="36"/>
      <c r="B361" s="32"/>
      <c r="C361" s="31"/>
      <c r="D361" s="31"/>
      <c r="E361" s="42" t="s">
        <v>542</v>
      </c>
      <c r="F361" s="42" t="s">
        <v>785</v>
      </c>
      <c r="G361" s="45">
        <v>100</v>
      </c>
    </row>
    <row r="362" spans="1:7" ht="15.75" customHeight="1">
      <c r="A362" s="36"/>
      <c r="B362" s="32"/>
      <c r="C362" s="31"/>
      <c r="D362" s="31"/>
      <c r="E362" s="52"/>
      <c r="F362" s="53" t="s">
        <v>787</v>
      </c>
      <c r="G362" s="54">
        <v>19</v>
      </c>
    </row>
    <row r="363" spans="1:7" ht="15.75" customHeight="1">
      <c r="A363" s="36"/>
      <c r="B363" s="32"/>
      <c r="C363" s="31"/>
      <c r="D363" s="31"/>
      <c r="E363" s="42" t="s">
        <v>692</v>
      </c>
      <c r="F363" s="42" t="s">
        <v>785</v>
      </c>
      <c r="G363" s="45">
        <v>13</v>
      </c>
    </row>
    <row r="364" spans="1:7" ht="15.75" customHeight="1">
      <c r="A364" s="36"/>
      <c r="B364" s="32"/>
      <c r="C364" s="31"/>
      <c r="D364" s="31"/>
      <c r="E364" s="52"/>
      <c r="F364" s="53" t="s">
        <v>787</v>
      </c>
      <c r="G364" s="54">
        <v>13</v>
      </c>
    </row>
    <row r="365" spans="1:7" ht="15.75" customHeight="1">
      <c r="A365" s="36"/>
      <c r="B365" s="32"/>
      <c r="C365" s="31"/>
      <c r="D365" s="31"/>
      <c r="E365" s="42" t="s">
        <v>693</v>
      </c>
      <c r="F365" s="42" t="s">
        <v>785</v>
      </c>
      <c r="G365" s="45">
        <v>30</v>
      </c>
    </row>
    <row r="366" spans="1:7" ht="15.75" customHeight="1">
      <c r="A366" s="36"/>
      <c r="B366" s="32"/>
      <c r="C366" s="31"/>
      <c r="D366" s="31"/>
      <c r="E366" s="52"/>
      <c r="F366" s="53" t="s">
        <v>787</v>
      </c>
      <c r="G366" s="54">
        <v>30</v>
      </c>
    </row>
    <row r="367" spans="1:7" ht="15.75" customHeight="1">
      <c r="A367" s="36"/>
      <c r="B367" s="32"/>
      <c r="C367" s="31"/>
      <c r="D367" s="31"/>
      <c r="E367" s="42" t="s">
        <v>694</v>
      </c>
      <c r="F367" s="42" t="s">
        <v>785</v>
      </c>
      <c r="G367" s="45">
        <v>37</v>
      </c>
    </row>
    <row r="368" spans="1:7" ht="15.75" customHeight="1">
      <c r="A368" s="36"/>
      <c r="B368" s="32"/>
      <c r="C368" s="31"/>
      <c r="D368" s="31"/>
      <c r="E368" s="52"/>
      <c r="F368" s="53" t="s">
        <v>787</v>
      </c>
      <c r="G368" s="54">
        <v>37</v>
      </c>
    </row>
    <row r="369" spans="1:7" ht="15.75" customHeight="1">
      <c r="A369" s="36"/>
      <c r="B369" s="32"/>
      <c r="C369" s="31"/>
      <c r="D369" s="31"/>
      <c r="E369" s="42" t="s">
        <v>151</v>
      </c>
      <c r="F369" s="42" t="s">
        <v>785</v>
      </c>
      <c r="G369" s="45">
        <v>7</v>
      </c>
    </row>
    <row r="370" spans="1:7" ht="15.75" customHeight="1">
      <c r="A370" s="36"/>
      <c r="B370" s="32"/>
      <c r="C370" s="31"/>
      <c r="D370" s="31"/>
      <c r="E370" s="52"/>
      <c r="F370" s="53" t="s">
        <v>787</v>
      </c>
      <c r="G370" s="54">
        <v>7</v>
      </c>
    </row>
    <row r="371" spans="1:7" ht="15.75" customHeight="1">
      <c r="A371" s="36"/>
      <c r="B371" s="32"/>
      <c r="C371" s="31"/>
      <c r="D371" s="31"/>
      <c r="E371" s="42" t="s">
        <v>152</v>
      </c>
      <c r="F371" s="42" t="s">
        <v>785</v>
      </c>
      <c r="G371" s="45">
        <v>13</v>
      </c>
    </row>
    <row r="372" spans="1:7" ht="15.75" customHeight="1">
      <c r="A372" s="36"/>
      <c r="B372" s="32"/>
      <c r="C372" s="31"/>
      <c r="D372" s="31"/>
      <c r="E372" s="52"/>
      <c r="F372" s="53" t="s">
        <v>787</v>
      </c>
      <c r="G372" s="54">
        <v>13</v>
      </c>
    </row>
    <row r="373" spans="1:7" ht="15.75" customHeight="1">
      <c r="A373" s="36"/>
      <c r="B373" s="32"/>
      <c r="C373" s="31"/>
      <c r="D373" s="31"/>
      <c r="E373" s="42" t="s">
        <v>163</v>
      </c>
      <c r="F373" s="42" t="s">
        <v>785</v>
      </c>
      <c r="G373" s="45">
        <v>18</v>
      </c>
    </row>
    <row r="374" spans="1:7" ht="15.75" customHeight="1">
      <c r="A374" s="36"/>
      <c r="B374" s="32"/>
      <c r="C374" s="31"/>
      <c r="D374" s="31"/>
      <c r="E374" s="52"/>
      <c r="F374" s="53" t="s">
        <v>787</v>
      </c>
      <c r="G374" s="54">
        <v>18</v>
      </c>
    </row>
    <row r="375" spans="1:7" ht="15.75" customHeight="1">
      <c r="A375" s="36"/>
      <c r="B375" s="32"/>
      <c r="C375" s="31"/>
      <c r="D375" s="31"/>
      <c r="E375" s="42" t="s">
        <v>161</v>
      </c>
      <c r="F375" s="42" t="s">
        <v>785</v>
      </c>
      <c r="G375" s="45">
        <v>1</v>
      </c>
    </row>
    <row r="376" spans="1:7" ht="15.75" customHeight="1">
      <c r="A376" s="36"/>
      <c r="B376" s="32"/>
      <c r="C376" s="31"/>
      <c r="D376" s="31"/>
      <c r="E376" s="52"/>
      <c r="F376" s="53" t="s">
        <v>787</v>
      </c>
      <c r="G376" s="54">
        <v>1</v>
      </c>
    </row>
    <row r="377" spans="1:7" ht="15.75" customHeight="1">
      <c r="A377" s="36"/>
      <c r="B377" s="32"/>
      <c r="C377" s="31"/>
      <c r="D377" s="31"/>
      <c r="E377" s="42" t="s">
        <v>164</v>
      </c>
      <c r="F377" s="42" t="s">
        <v>785</v>
      </c>
      <c r="G377" s="45">
        <v>19</v>
      </c>
    </row>
    <row r="378" spans="1:7" ht="15.75" customHeight="1">
      <c r="A378" s="36"/>
      <c r="B378" s="32"/>
      <c r="C378" s="31"/>
      <c r="D378" s="31"/>
      <c r="E378" s="52"/>
      <c r="F378" s="53" t="s">
        <v>787</v>
      </c>
      <c r="G378" s="54">
        <v>19</v>
      </c>
    </row>
    <row r="379" spans="1:7" ht="15.75" customHeight="1">
      <c r="A379" s="36"/>
      <c r="B379" s="32"/>
      <c r="C379" s="31"/>
      <c r="D379" s="31"/>
      <c r="E379" s="42" t="s">
        <v>162</v>
      </c>
      <c r="F379" s="42" t="s">
        <v>785</v>
      </c>
      <c r="G379" s="45">
        <v>17</v>
      </c>
    </row>
    <row r="380" spans="1:7" ht="15.75" customHeight="1">
      <c r="A380" s="36"/>
      <c r="B380" s="32"/>
      <c r="C380" s="31"/>
      <c r="D380" s="31"/>
      <c r="E380" s="52"/>
      <c r="F380" s="53" t="s">
        <v>787</v>
      </c>
      <c r="G380" s="54">
        <v>17</v>
      </c>
    </row>
    <row r="381" spans="1:7" ht="15.75" customHeight="1">
      <c r="A381" s="36"/>
      <c r="B381" s="32"/>
      <c r="C381" s="31"/>
      <c r="D381" s="31"/>
      <c r="E381" s="42" t="s">
        <v>153</v>
      </c>
      <c r="F381" s="42" t="s">
        <v>785</v>
      </c>
      <c r="G381" s="45">
        <v>33</v>
      </c>
    </row>
    <row r="382" spans="1:7" ht="15.75" customHeight="1">
      <c r="A382" s="36"/>
      <c r="B382" s="32"/>
      <c r="C382" s="31"/>
      <c r="D382" s="31"/>
      <c r="E382" s="52"/>
      <c r="F382" s="53" t="s">
        <v>787</v>
      </c>
      <c r="G382" s="54">
        <v>33</v>
      </c>
    </row>
    <row r="383" spans="1:7" ht="15.75" customHeight="1">
      <c r="A383" s="36"/>
      <c r="B383" s="32"/>
      <c r="C383" s="31"/>
      <c r="D383" s="31"/>
      <c r="E383" s="42" t="s">
        <v>155</v>
      </c>
      <c r="F383" s="42" t="s">
        <v>785</v>
      </c>
      <c r="G383" s="45">
        <v>39</v>
      </c>
    </row>
    <row r="384" spans="1:7" ht="15.75" customHeight="1">
      <c r="A384" s="36"/>
      <c r="B384" s="32"/>
      <c r="C384" s="31"/>
      <c r="D384" s="31"/>
      <c r="E384" s="52"/>
      <c r="F384" s="53" t="s">
        <v>787</v>
      </c>
      <c r="G384" s="54">
        <v>39</v>
      </c>
    </row>
    <row r="385" spans="1:7" ht="15.75" customHeight="1">
      <c r="A385" s="36"/>
      <c r="B385" s="32"/>
      <c r="C385" s="31"/>
      <c r="D385" s="31"/>
      <c r="E385" s="42" t="s">
        <v>159</v>
      </c>
      <c r="F385" s="42" t="s">
        <v>785</v>
      </c>
      <c r="G385" s="45">
        <v>10</v>
      </c>
    </row>
    <row r="386" spans="1:7" ht="15.75" customHeight="1">
      <c r="A386" s="36"/>
      <c r="B386" s="32"/>
      <c r="C386" s="31"/>
      <c r="D386" s="31"/>
      <c r="E386" s="52"/>
      <c r="F386" s="53" t="s">
        <v>787</v>
      </c>
      <c r="G386" s="54">
        <v>10</v>
      </c>
    </row>
    <row r="387" spans="1:7" ht="15.75" customHeight="1">
      <c r="A387" s="36"/>
      <c r="B387" s="32"/>
      <c r="C387" s="31"/>
      <c r="D387" s="31"/>
      <c r="E387" s="42" t="s">
        <v>154</v>
      </c>
      <c r="F387" s="42" t="s">
        <v>785</v>
      </c>
      <c r="G387" s="45">
        <v>20</v>
      </c>
    </row>
    <row r="388" spans="1:7" ht="15.75" customHeight="1">
      <c r="A388" s="36"/>
      <c r="B388" s="32"/>
      <c r="C388" s="31"/>
      <c r="D388" s="31"/>
      <c r="E388" s="52"/>
      <c r="F388" s="53" t="s">
        <v>787</v>
      </c>
      <c r="G388" s="54">
        <v>20</v>
      </c>
    </row>
    <row r="389" spans="1:7" ht="15.75" customHeight="1">
      <c r="A389" s="36"/>
      <c r="B389" s="32"/>
      <c r="C389" s="31"/>
      <c r="D389" s="31"/>
      <c r="E389" s="42" t="s">
        <v>156</v>
      </c>
      <c r="F389" s="42" t="s">
        <v>785</v>
      </c>
      <c r="G389" s="45">
        <v>30</v>
      </c>
    </row>
    <row r="390" spans="1:7" ht="15.75" customHeight="1">
      <c r="A390" s="36"/>
      <c r="B390" s="32"/>
      <c r="C390" s="31"/>
      <c r="D390" s="31"/>
      <c r="E390" s="52"/>
      <c r="F390" s="53" t="s">
        <v>787</v>
      </c>
      <c r="G390" s="54">
        <v>30</v>
      </c>
    </row>
    <row r="391" spans="1:7" ht="15.75" customHeight="1">
      <c r="A391" s="36"/>
      <c r="B391" s="32"/>
      <c r="C391" s="31"/>
      <c r="D391" s="31"/>
      <c r="E391" s="42" t="s">
        <v>160</v>
      </c>
      <c r="F391" s="42" t="s">
        <v>785</v>
      </c>
      <c r="G391" s="45">
        <v>10</v>
      </c>
    </row>
    <row r="392" spans="1:7" ht="15.75" customHeight="1">
      <c r="A392" s="36"/>
      <c r="B392" s="32"/>
      <c r="C392" s="31"/>
      <c r="D392" s="31"/>
      <c r="E392" s="52"/>
      <c r="F392" s="53" t="s">
        <v>787</v>
      </c>
      <c r="G392" s="54">
        <v>10</v>
      </c>
    </row>
    <row r="393" spans="1:7" ht="15.75" customHeight="1">
      <c r="A393" s="36"/>
      <c r="B393" s="32"/>
      <c r="C393" s="31"/>
      <c r="D393" s="31"/>
      <c r="E393" s="42" t="s">
        <v>168</v>
      </c>
      <c r="F393" s="42" t="s">
        <v>785</v>
      </c>
      <c r="G393" s="45">
        <v>3</v>
      </c>
    </row>
    <row r="394" spans="1:7" ht="15.75" customHeight="1">
      <c r="A394" s="36"/>
      <c r="B394" s="32"/>
      <c r="C394" s="31"/>
      <c r="D394" s="31"/>
      <c r="E394" s="52"/>
      <c r="F394" s="53" t="s">
        <v>787</v>
      </c>
      <c r="G394" s="54">
        <v>3</v>
      </c>
    </row>
    <row r="395" spans="1:7" ht="15.75" customHeight="1">
      <c r="A395" s="36"/>
      <c r="B395" s="32"/>
      <c r="C395" s="31"/>
      <c r="D395" s="31"/>
      <c r="E395" s="42" t="s">
        <v>169</v>
      </c>
      <c r="F395" s="42" t="s">
        <v>785</v>
      </c>
      <c r="G395" s="45">
        <v>8</v>
      </c>
    </row>
    <row r="396" spans="1:7" ht="15.75" customHeight="1">
      <c r="A396" s="36"/>
      <c r="B396" s="32"/>
      <c r="C396" s="31"/>
      <c r="D396" s="31"/>
      <c r="E396" s="52"/>
      <c r="F396" s="53" t="s">
        <v>787</v>
      </c>
      <c r="G396" s="54">
        <v>8</v>
      </c>
    </row>
    <row r="397" spans="1:7" ht="15.75" customHeight="1">
      <c r="A397" s="36"/>
      <c r="B397" s="32"/>
      <c r="C397" s="31"/>
      <c r="D397" s="31"/>
      <c r="E397" s="42" t="s">
        <v>166</v>
      </c>
      <c r="F397" s="42" t="s">
        <v>785</v>
      </c>
      <c r="G397" s="45">
        <v>2</v>
      </c>
    </row>
    <row r="398" spans="1:7" ht="15.75" customHeight="1">
      <c r="A398" s="36"/>
      <c r="B398" s="32"/>
      <c r="C398" s="31"/>
      <c r="D398" s="31"/>
      <c r="E398" s="52"/>
      <c r="F398" s="53" t="s">
        <v>787</v>
      </c>
      <c r="G398" s="54">
        <v>2</v>
      </c>
    </row>
    <row r="399" spans="1:7" ht="15.75" customHeight="1">
      <c r="A399" s="36"/>
      <c r="B399" s="32"/>
      <c r="C399" s="31"/>
      <c r="D399" s="31"/>
      <c r="E399" s="42" t="s">
        <v>167</v>
      </c>
      <c r="F399" s="42" t="s">
        <v>785</v>
      </c>
      <c r="G399" s="45">
        <v>6</v>
      </c>
    </row>
    <row r="400" spans="1:7" ht="15.75" customHeight="1">
      <c r="A400" s="36"/>
      <c r="B400" s="32"/>
      <c r="C400" s="31"/>
      <c r="D400" s="31"/>
      <c r="E400" s="52"/>
      <c r="F400" s="53" t="s">
        <v>787</v>
      </c>
      <c r="G400" s="54">
        <v>6</v>
      </c>
    </row>
    <row r="401" spans="1:7" ht="15.75" customHeight="1">
      <c r="A401" s="36"/>
      <c r="B401" s="32"/>
      <c r="C401" s="31"/>
      <c r="D401" s="31"/>
      <c r="E401" s="42" t="s">
        <v>165</v>
      </c>
      <c r="F401" s="42" t="s">
        <v>785</v>
      </c>
      <c r="G401" s="45">
        <v>11</v>
      </c>
    </row>
    <row r="402" spans="1:7" ht="15.75" customHeight="1">
      <c r="A402" s="36"/>
      <c r="B402" s="32"/>
      <c r="C402" s="31"/>
      <c r="D402" s="31"/>
      <c r="E402" s="52"/>
      <c r="F402" s="53" t="s">
        <v>787</v>
      </c>
      <c r="G402" s="54">
        <v>11</v>
      </c>
    </row>
    <row r="403" spans="1:7" ht="15.75" customHeight="1">
      <c r="A403" s="36"/>
      <c r="B403" s="32"/>
      <c r="C403" s="31"/>
      <c r="D403" s="31"/>
      <c r="E403" s="42" t="s">
        <v>158</v>
      </c>
      <c r="F403" s="42" t="s">
        <v>785</v>
      </c>
      <c r="G403" s="45">
        <v>24</v>
      </c>
    </row>
    <row r="404" spans="1:7" ht="15.75" customHeight="1">
      <c r="A404" s="36"/>
      <c r="B404" s="32"/>
      <c r="C404" s="31"/>
      <c r="D404" s="31"/>
      <c r="E404" s="52"/>
      <c r="F404" s="53" t="s">
        <v>787</v>
      </c>
      <c r="G404" s="54">
        <v>24</v>
      </c>
    </row>
    <row r="405" spans="1:7" ht="15.75" customHeight="1">
      <c r="A405" s="36"/>
      <c r="B405" s="32"/>
      <c r="C405" s="31"/>
      <c r="D405" s="31"/>
      <c r="E405" s="42" t="s">
        <v>157</v>
      </c>
      <c r="F405" s="42" t="s">
        <v>785</v>
      </c>
      <c r="G405" s="45">
        <v>72</v>
      </c>
    </row>
    <row r="406" spans="1:7" ht="15.75" customHeight="1">
      <c r="A406" s="36"/>
      <c r="B406" s="32"/>
      <c r="C406" s="31"/>
      <c r="D406" s="31"/>
      <c r="E406" s="52"/>
      <c r="F406" s="53" t="s">
        <v>787</v>
      </c>
      <c r="G406" s="54">
        <v>72</v>
      </c>
    </row>
    <row r="407" spans="1:7" ht="15.75" customHeight="1">
      <c r="A407" s="36"/>
      <c r="B407" s="32"/>
      <c r="C407" s="31"/>
      <c r="D407" s="31"/>
      <c r="E407" s="42" t="s">
        <v>171</v>
      </c>
      <c r="F407" s="42" t="s">
        <v>785</v>
      </c>
      <c r="G407" s="45">
        <v>4</v>
      </c>
    </row>
    <row r="408" spans="1:7" ht="15.75" customHeight="1">
      <c r="A408" s="36"/>
      <c r="B408" s="32"/>
      <c r="C408" s="31"/>
      <c r="D408" s="31"/>
      <c r="E408" s="52"/>
      <c r="F408" s="53" t="s">
        <v>787</v>
      </c>
      <c r="G408" s="54">
        <v>4</v>
      </c>
    </row>
    <row r="409" spans="1:7" ht="15.75" customHeight="1">
      <c r="A409" s="36"/>
      <c r="B409" s="32"/>
      <c r="C409" s="31"/>
      <c r="D409" s="31"/>
      <c r="E409" s="42" t="s">
        <v>170</v>
      </c>
      <c r="F409" s="42" t="s">
        <v>785</v>
      </c>
      <c r="G409" s="45">
        <v>4</v>
      </c>
    </row>
    <row r="410" spans="1:7" ht="15.75" customHeight="1">
      <c r="A410" s="36"/>
      <c r="B410" s="32"/>
      <c r="C410" s="31"/>
      <c r="D410" s="31"/>
      <c r="E410" s="52"/>
      <c r="F410" s="53" t="s">
        <v>787</v>
      </c>
      <c r="G410" s="54">
        <v>4</v>
      </c>
    </row>
    <row r="411" spans="1:7" ht="15.75" customHeight="1">
      <c r="A411" s="36"/>
      <c r="B411" s="32"/>
      <c r="C411" s="31"/>
      <c r="D411" s="31"/>
      <c r="E411" s="42" t="s">
        <v>172</v>
      </c>
      <c r="F411" s="42" t="s">
        <v>785</v>
      </c>
      <c r="G411" s="45">
        <v>4</v>
      </c>
    </row>
    <row r="412" spans="1:7" ht="15.75" customHeight="1">
      <c r="A412" s="36"/>
      <c r="B412" s="32"/>
      <c r="C412" s="31"/>
      <c r="D412" s="31"/>
      <c r="E412" s="52"/>
      <c r="F412" s="53" t="s">
        <v>787</v>
      </c>
      <c r="G412" s="54">
        <v>4</v>
      </c>
    </row>
    <row r="413" spans="1:7" ht="15.75" customHeight="1">
      <c r="A413" s="36"/>
      <c r="B413" s="32"/>
      <c r="C413" s="31"/>
      <c r="D413" s="31"/>
      <c r="E413" s="42" t="s">
        <v>546</v>
      </c>
      <c r="F413" s="42" t="s">
        <v>785</v>
      </c>
      <c r="G413" s="45">
        <v>138</v>
      </c>
    </row>
    <row r="414" spans="1:7" ht="15.75" customHeight="1">
      <c r="A414" s="36"/>
      <c r="B414" s="32"/>
      <c r="C414" s="31"/>
      <c r="D414" s="31"/>
      <c r="E414" s="52"/>
      <c r="F414" s="53" t="s">
        <v>787</v>
      </c>
      <c r="G414" s="54">
        <v>107</v>
      </c>
    </row>
    <row r="415" spans="1:7" ht="15.75" customHeight="1">
      <c r="A415" s="36"/>
      <c r="B415" s="32"/>
      <c r="C415" s="31"/>
      <c r="D415" s="31"/>
      <c r="E415" s="42" t="s">
        <v>670</v>
      </c>
      <c r="F415" s="42" t="s">
        <v>785</v>
      </c>
      <c r="G415" s="45">
        <v>7</v>
      </c>
    </row>
    <row r="416" spans="1:7" ht="15.75" customHeight="1">
      <c r="A416" s="36"/>
      <c r="B416" s="32"/>
      <c r="C416" s="31"/>
      <c r="D416" s="31"/>
      <c r="E416" s="52"/>
      <c r="F416" s="53" t="s">
        <v>787</v>
      </c>
      <c r="G416" s="54">
        <v>7</v>
      </c>
    </row>
    <row r="417" spans="1:7" ht="15.75" customHeight="1">
      <c r="A417" s="36"/>
      <c r="B417" s="32"/>
      <c r="C417" s="31"/>
      <c r="D417" s="31"/>
      <c r="E417" s="42" t="s">
        <v>175</v>
      </c>
      <c r="F417" s="42" t="s">
        <v>785</v>
      </c>
      <c r="G417" s="45">
        <v>5</v>
      </c>
    </row>
    <row r="418" spans="1:7" ht="15.75" customHeight="1">
      <c r="A418" s="36"/>
      <c r="B418" s="32"/>
      <c r="C418" s="31"/>
      <c r="D418" s="31"/>
      <c r="E418" s="52"/>
      <c r="F418" s="53" t="s">
        <v>787</v>
      </c>
      <c r="G418" s="54">
        <v>5</v>
      </c>
    </row>
    <row r="419" spans="1:7" ht="15.75" customHeight="1">
      <c r="A419" s="36"/>
      <c r="B419" s="32"/>
      <c r="C419" s="31"/>
      <c r="D419" s="31"/>
      <c r="E419" s="42" t="s">
        <v>645</v>
      </c>
      <c r="F419" s="42" t="s">
        <v>785</v>
      </c>
      <c r="G419" s="45">
        <v>200</v>
      </c>
    </row>
    <row r="420" spans="1:7" ht="15.75" customHeight="1">
      <c r="A420" s="36"/>
      <c r="B420" s="32"/>
      <c r="C420" s="31"/>
      <c r="D420" s="31"/>
      <c r="E420" s="52"/>
      <c r="F420" s="53" t="s">
        <v>787</v>
      </c>
      <c r="G420" s="54">
        <v>200</v>
      </c>
    </row>
    <row r="421" spans="1:7" ht="15.75" customHeight="1">
      <c r="A421" s="36"/>
      <c r="B421" s="32"/>
      <c r="C421" s="31"/>
      <c r="D421" s="31"/>
      <c r="E421" s="42" t="s">
        <v>173</v>
      </c>
      <c r="F421" s="42" t="s">
        <v>785</v>
      </c>
      <c r="G421" s="45">
        <v>20</v>
      </c>
    </row>
    <row r="422" spans="1:7" ht="15.75" customHeight="1">
      <c r="A422" s="36"/>
      <c r="B422" s="32"/>
      <c r="C422" s="31"/>
      <c r="D422" s="31"/>
      <c r="E422" s="52"/>
      <c r="F422" s="53" t="s">
        <v>787</v>
      </c>
      <c r="G422" s="54">
        <v>13</v>
      </c>
    </row>
    <row r="423" spans="1:7" ht="15.75" customHeight="1">
      <c r="A423" s="36"/>
      <c r="B423" s="32"/>
      <c r="C423" s="31"/>
      <c r="D423" s="31"/>
      <c r="E423" s="42" t="s">
        <v>720</v>
      </c>
      <c r="F423" s="42" t="s">
        <v>785</v>
      </c>
      <c r="G423" s="45">
        <v>3</v>
      </c>
    </row>
    <row r="424" spans="1:7" ht="15.75" customHeight="1">
      <c r="A424" s="36"/>
      <c r="B424" s="32"/>
      <c r="C424" s="31"/>
      <c r="D424" s="31"/>
      <c r="E424" s="52"/>
      <c r="F424" s="53" t="s">
        <v>787</v>
      </c>
      <c r="G424" s="54">
        <v>2</v>
      </c>
    </row>
    <row r="425" spans="1:7" ht="15.75" customHeight="1">
      <c r="A425" s="36"/>
      <c r="B425" s="32"/>
      <c r="C425" s="31"/>
      <c r="D425" s="31"/>
      <c r="E425" s="42" t="s">
        <v>329</v>
      </c>
      <c r="F425" s="42" t="s">
        <v>785</v>
      </c>
      <c r="G425" s="45">
        <v>4</v>
      </c>
    </row>
    <row r="426" spans="1:7" ht="15.75" customHeight="1">
      <c r="A426" s="36"/>
      <c r="B426" s="32"/>
      <c r="C426" s="31"/>
      <c r="D426" s="31"/>
      <c r="E426" s="52"/>
      <c r="F426" s="53" t="s">
        <v>787</v>
      </c>
      <c r="G426" s="54">
        <v>4</v>
      </c>
    </row>
    <row r="427" spans="1:7" ht="15.75" customHeight="1">
      <c r="A427" s="36"/>
      <c r="B427" s="32"/>
      <c r="C427" s="31"/>
      <c r="D427" s="31"/>
      <c r="E427" s="42" t="s">
        <v>423</v>
      </c>
      <c r="F427" s="42" t="s">
        <v>785</v>
      </c>
      <c r="G427" s="45">
        <v>40</v>
      </c>
    </row>
    <row r="428" spans="1:7" ht="15.75" customHeight="1">
      <c r="A428" s="36"/>
      <c r="B428" s="32"/>
      <c r="C428" s="31"/>
      <c r="D428" s="31"/>
      <c r="E428" s="52"/>
      <c r="F428" s="53" t="s">
        <v>787</v>
      </c>
      <c r="G428" s="54">
        <v>32</v>
      </c>
    </row>
    <row r="429" spans="1:7" ht="15.75" customHeight="1">
      <c r="A429" s="36"/>
      <c r="B429" s="32"/>
      <c r="C429" s="31"/>
      <c r="D429" s="31"/>
      <c r="E429" s="42" t="s">
        <v>721</v>
      </c>
      <c r="F429" s="42" t="s">
        <v>785</v>
      </c>
      <c r="G429" s="45">
        <v>3</v>
      </c>
    </row>
    <row r="430" spans="1:7" ht="15.75" customHeight="1">
      <c r="A430" s="36"/>
      <c r="B430" s="32"/>
      <c r="C430" s="31"/>
      <c r="D430" s="31"/>
      <c r="E430" s="52"/>
      <c r="F430" s="53" t="s">
        <v>787</v>
      </c>
      <c r="G430" s="54">
        <v>3</v>
      </c>
    </row>
    <row r="431" spans="1:7" ht="15.75" customHeight="1">
      <c r="A431" s="36"/>
      <c r="B431" s="32"/>
      <c r="C431" s="31"/>
      <c r="D431" s="31"/>
      <c r="E431" s="42" t="s">
        <v>330</v>
      </c>
      <c r="F431" s="42" t="s">
        <v>785</v>
      </c>
      <c r="G431" s="45">
        <v>6</v>
      </c>
    </row>
    <row r="432" spans="1:7" ht="15.75" customHeight="1">
      <c r="A432" s="36"/>
      <c r="B432" s="32"/>
      <c r="C432" s="31"/>
      <c r="D432" s="31"/>
      <c r="E432" s="52"/>
      <c r="F432" s="53" t="s">
        <v>787</v>
      </c>
      <c r="G432" s="54">
        <v>6</v>
      </c>
    </row>
    <row r="433" spans="1:7" ht="15.75" customHeight="1">
      <c r="A433" s="36"/>
      <c r="B433" s="32"/>
      <c r="C433" s="31"/>
      <c r="D433" s="31"/>
      <c r="E433" s="42" t="s">
        <v>176</v>
      </c>
      <c r="F433" s="42" t="s">
        <v>785</v>
      </c>
      <c r="G433" s="45">
        <v>2878</v>
      </c>
    </row>
    <row r="434" spans="1:7" ht="15.75" customHeight="1">
      <c r="A434" s="36"/>
      <c r="B434" s="32"/>
      <c r="C434" s="31"/>
      <c r="D434" s="31"/>
      <c r="E434" s="52"/>
      <c r="F434" s="53" t="s">
        <v>787</v>
      </c>
      <c r="G434" s="54">
        <v>2793</v>
      </c>
    </row>
    <row r="435" spans="1:7" ht="15.75" customHeight="1">
      <c r="A435" s="36"/>
      <c r="B435" s="32"/>
      <c r="C435" s="31"/>
      <c r="D435" s="31"/>
      <c r="E435" s="42" t="s">
        <v>177</v>
      </c>
      <c r="F435" s="42" t="s">
        <v>785</v>
      </c>
      <c r="G435" s="45">
        <v>1519</v>
      </c>
    </row>
    <row r="436" spans="1:7" ht="15.75" customHeight="1">
      <c r="A436" s="36"/>
      <c r="B436" s="32"/>
      <c r="C436" s="31"/>
      <c r="D436" s="31"/>
      <c r="E436" s="52"/>
      <c r="F436" s="53" t="s">
        <v>787</v>
      </c>
      <c r="G436" s="54">
        <v>1434</v>
      </c>
    </row>
    <row r="437" spans="1:7" ht="15.75" customHeight="1">
      <c r="A437" s="36"/>
      <c r="B437" s="32"/>
      <c r="C437" s="31"/>
      <c r="D437" s="31"/>
      <c r="E437" s="42" t="s">
        <v>426</v>
      </c>
      <c r="F437" s="42" t="s">
        <v>785</v>
      </c>
      <c r="G437" s="45">
        <v>100</v>
      </c>
    </row>
    <row r="438" spans="1:7" ht="15.75" customHeight="1">
      <c r="A438" s="36"/>
      <c r="B438" s="32"/>
      <c r="C438" s="31"/>
      <c r="D438" s="31"/>
      <c r="E438" s="52"/>
      <c r="F438" s="53" t="s">
        <v>787</v>
      </c>
      <c r="G438" s="54">
        <v>90</v>
      </c>
    </row>
    <row r="439" spans="1:7" ht="15.75" customHeight="1">
      <c r="A439" s="36"/>
      <c r="B439" s="32"/>
      <c r="C439" s="31"/>
      <c r="D439" s="31"/>
      <c r="E439" s="42" t="s">
        <v>430</v>
      </c>
      <c r="F439" s="42" t="s">
        <v>785</v>
      </c>
      <c r="G439" s="45">
        <v>23</v>
      </c>
    </row>
    <row r="440" spans="1:7" ht="15.75" customHeight="1">
      <c r="A440" s="36"/>
      <c r="B440" s="32"/>
      <c r="C440" s="31"/>
      <c r="D440" s="31"/>
      <c r="E440" s="52"/>
      <c r="F440" s="53" t="s">
        <v>787</v>
      </c>
      <c r="G440" s="54">
        <v>23</v>
      </c>
    </row>
    <row r="441" spans="1:7" ht="15.75" customHeight="1">
      <c r="A441" s="36"/>
      <c r="B441" s="32"/>
      <c r="C441" s="31"/>
      <c r="D441" s="31"/>
      <c r="E441" s="42" t="s">
        <v>432</v>
      </c>
      <c r="F441" s="42" t="s">
        <v>785</v>
      </c>
      <c r="G441" s="45">
        <v>9</v>
      </c>
    </row>
    <row r="442" spans="1:7" ht="15.75" customHeight="1">
      <c r="A442" s="36"/>
      <c r="B442" s="32"/>
      <c r="C442" s="31"/>
      <c r="D442" s="31"/>
      <c r="E442" s="52"/>
      <c r="F442" s="53" t="s">
        <v>787</v>
      </c>
      <c r="G442" s="54">
        <v>9</v>
      </c>
    </row>
    <row r="443" spans="1:7" ht="15.75" customHeight="1">
      <c r="A443" s="36"/>
      <c r="B443" s="32"/>
      <c r="C443" s="31"/>
      <c r="D443" s="31"/>
      <c r="E443" s="42" t="s">
        <v>433</v>
      </c>
      <c r="F443" s="42" t="s">
        <v>785</v>
      </c>
      <c r="G443" s="45">
        <v>2</v>
      </c>
    </row>
    <row r="444" spans="1:7" ht="15.75" customHeight="1">
      <c r="A444" s="36"/>
      <c r="B444" s="32"/>
      <c r="C444" s="31"/>
      <c r="D444" s="31"/>
      <c r="E444" s="52"/>
      <c r="F444" s="53" t="s">
        <v>787</v>
      </c>
      <c r="G444" s="54">
        <v>2</v>
      </c>
    </row>
    <row r="445" spans="1:7" ht="15.75" customHeight="1">
      <c r="A445" s="36"/>
      <c r="B445" s="32"/>
      <c r="C445" s="31"/>
      <c r="D445" s="31"/>
      <c r="E445" s="42" t="s">
        <v>431</v>
      </c>
      <c r="F445" s="42" t="s">
        <v>785</v>
      </c>
      <c r="G445" s="45">
        <v>10</v>
      </c>
    </row>
    <row r="446" spans="1:7" ht="15.75" customHeight="1">
      <c r="A446" s="36"/>
      <c r="B446" s="32"/>
      <c r="C446" s="31"/>
      <c r="D446" s="31"/>
      <c r="E446" s="52"/>
      <c r="F446" s="53" t="s">
        <v>787</v>
      </c>
      <c r="G446" s="54">
        <v>10</v>
      </c>
    </row>
    <row r="447" spans="1:7" ht="15.75" customHeight="1">
      <c r="A447" s="36"/>
      <c r="B447" s="32"/>
      <c r="C447" s="31"/>
      <c r="D447" s="31"/>
      <c r="E447" s="42" t="s">
        <v>332</v>
      </c>
      <c r="F447" s="42" t="s">
        <v>785</v>
      </c>
      <c r="G447" s="45">
        <v>17</v>
      </c>
    </row>
    <row r="448" spans="1:7" ht="15.75" customHeight="1">
      <c r="A448" s="36"/>
      <c r="B448" s="32"/>
      <c r="C448" s="31"/>
      <c r="D448" s="31"/>
      <c r="E448" s="52"/>
      <c r="F448" s="53" t="s">
        <v>787</v>
      </c>
      <c r="G448" s="54">
        <v>17</v>
      </c>
    </row>
    <row r="449" spans="1:7" ht="15.75" customHeight="1">
      <c r="A449" s="36"/>
      <c r="B449" s="32"/>
      <c r="C449" s="31"/>
      <c r="D449" s="31"/>
      <c r="E449" s="42" t="s">
        <v>11</v>
      </c>
      <c r="F449" s="42" t="s">
        <v>785</v>
      </c>
      <c r="G449" s="45">
        <v>13</v>
      </c>
    </row>
    <row r="450" spans="1:7" ht="15.75" customHeight="1">
      <c r="A450" s="36"/>
      <c r="B450" s="32"/>
      <c r="C450" s="31"/>
      <c r="D450" s="31"/>
      <c r="E450" s="52"/>
      <c r="F450" s="53" t="s">
        <v>787</v>
      </c>
      <c r="G450" s="54">
        <v>8</v>
      </c>
    </row>
    <row r="451" spans="1:7" ht="15.75" customHeight="1">
      <c r="A451" s="36"/>
      <c r="B451" s="32"/>
      <c r="C451" s="31"/>
      <c r="D451" s="31"/>
      <c r="E451" s="42" t="s">
        <v>14</v>
      </c>
      <c r="F451" s="42" t="s">
        <v>785</v>
      </c>
      <c r="G451" s="45">
        <v>11</v>
      </c>
    </row>
    <row r="452" spans="1:7" ht="15.75" customHeight="1">
      <c r="A452" s="36"/>
      <c r="B452" s="32"/>
      <c r="C452" s="31"/>
      <c r="D452" s="31"/>
      <c r="E452" s="52"/>
      <c r="F452" s="53" t="s">
        <v>787</v>
      </c>
      <c r="G452" s="54">
        <v>4</v>
      </c>
    </row>
    <row r="453" spans="1:7" ht="15.75" customHeight="1">
      <c r="A453" s="36"/>
      <c r="B453" s="32"/>
      <c r="C453" s="31"/>
      <c r="D453" s="31"/>
      <c r="E453" s="42" t="s">
        <v>428</v>
      </c>
      <c r="F453" s="42" t="s">
        <v>785</v>
      </c>
      <c r="G453" s="45">
        <v>50</v>
      </c>
    </row>
    <row r="454" spans="1:7" ht="15.75" customHeight="1">
      <c r="A454" s="36"/>
      <c r="B454" s="32"/>
      <c r="C454" s="31"/>
      <c r="D454" s="31"/>
      <c r="E454" s="52"/>
      <c r="F454" s="53" t="s">
        <v>787</v>
      </c>
      <c r="G454" s="54">
        <v>36</v>
      </c>
    </row>
    <row r="455" spans="1:7" ht="15.75" customHeight="1">
      <c r="A455" s="36"/>
      <c r="B455" s="32"/>
      <c r="C455" s="31"/>
      <c r="D455" s="31"/>
      <c r="E455" s="42" t="s">
        <v>178</v>
      </c>
      <c r="F455" s="42" t="s">
        <v>785</v>
      </c>
      <c r="G455" s="45">
        <v>52</v>
      </c>
    </row>
    <row r="456" spans="1:7" ht="15.75" customHeight="1">
      <c r="A456" s="36"/>
      <c r="B456" s="32"/>
      <c r="C456" s="31"/>
      <c r="D456" s="31"/>
      <c r="E456" s="52"/>
      <c r="F456" s="53" t="s">
        <v>787</v>
      </c>
      <c r="G456" s="54">
        <v>52</v>
      </c>
    </row>
    <row r="457" spans="1:7" ht="15.75" customHeight="1">
      <c r="A457" s="36"/>
      <c r="B457" s="32"/>
      <c r="C457" s="31"/>
      <c r="D457" s="31"/>
      <c r="E457" s="42" t="s">
        <v>434</v>
      </c>
      <c r="F457" s="42" t="s">
        <v>785</v>
      </c>
      <c r="G457" s="45">
        <v>12</v>
      </c>
    </row>
    <row r="458" spans="1:7" ht="15.75" customHeight="1">
      <c r="A458" s="36"/>
      <c r="B458" s="32"/>
      <c r="C458" s="31"/>
      <c r="D458" s="31"/>
      <c r="E458" s="52"/>
      <c r="F458" s="53" t="s">
        <v>787</v>
      </c>
      <c r="G458" s="54">
        <v>10</v>
      </c>
    </row>
    <row r="459" spans="1:7" ht="15.75" customHeight="1">
      <c r="A459" s="36"/>
      <c r="B459" s="32"/>
      <c r="C459" s="31"/>
      <c r="D459" s="31"/>
      <c r="E459" s="42" t="s">
        <v>333</v>
      </c>
      <c r="F459" s="42" t="s">
        <v>785</v>
      </c>
      <c r="G459" s="45">
        <v>1865</v>
      </c>
    </row>
    <row r="460" spans="1:7" ht="15.75" customHeight="1">
      <c r="A460" s="36"/>
      <c r="B460" s="32"/>
      <c r="C460" s="31"/>
      <c r="D460" s="31"/>
      <c r="E460" s="52"/>
      <c r="F460" s="53" t="s">
        <v>787</v>
      </c>
      <c r="G460" s="54">
        <v>1865</v>
      </c>
    </row>
    <row r="461" spans="1:7" ht="15.75" customHeight="1">
      <c r="A461" s="36"/>
      <c r="B461" s="32"/>
      <c r="C461" s="31"/>
      <c r="D461" s="31"/>
      <c r="E461" s="42" t="s">
        <v>334</v>
      </c>
      <c r="F461" s="42" t="s">
        <v>785</v>
      </c>
      <c r="G461" s="45">
        <v>6</v>
      </c>
    </row>
    <row r="462" spans="1:7" ht="15.75" customHeight="1">
      <c r="A462" s="36"/>
      <c r="B462" s="32"/>
      <c r="C462" s="31"/>
      <c r="D462" s="31"/>
      <c r="E462" s="52"/>
      <c r="F462" s="53" t="s">
        <v>787</v>
      </c>
      <c r="G462" s="54">
        <v>6</v>
      </c>
    </row>
    <row r="463" spans="1:7" ht="15.75" customHeight="1">
      <c r="A463" s="36"/>
      <c r="B463" s="32"/>
      <c r="C463" s="31"/>
      <c r="D463" s="31"/>
      <c r="E463" s="42" t="s">
        <v>435</v>
      </c>
      <c r="F463" s="42" t="s">
        <v>785</v>
      </c>
      <c r="G463" s="45">
        <v>100</v>
      </c>
    </row>
    <row r="464" spans="1:7" ht="15.75" customHeight="1">
      <c r="A464" s="36"/>
      <c r="B464" s="32"/>
      <c r="C464" s="31"/>
      <c r="D464" s="31"/>
      <c r="E464" s="52"/>
      <c r="F464" s="53" t="s">
        <v>787</v>
      </c>
      <c r="G464" s="54">
        <v>100</v>
      </c>
    </row>
    <row r="465" spans="1:7" ht="15.75" customHeight="1">
      <c r="A465" s="36"/>
      <c r="B465" s="32"/>
      <c r="C465" s="31"/>
      <c r="D465" s="31"/>
      <c r="E465" s="42" t="s">
        <v>437</v>
      </c>
      <c r="F465" s="42" t="s">
        <v>785</v>
      </c>
      <c r="G465" s="45">
        <v>9</v>
      </c>
    </row>
    <row r="466" spans="1:7" ht="15.75" customHeight="1">
      <c r="A466" s="36"/>
      <c r="B466" s="32"/>
      <c r="C466" s="31"/>
      <c r="D466" s="31"/>
      <c r="E466" s="52"/>
      <c r="F466" s="53" t="s">
        <v>787</v>
      </c>
      <c r="G466" s="54">
        <v>9</v>
      </c>
    </row>
    <row r="467" spans="1:7" ht="15.75" customHeight="1">
      <c r="A467" s="36"/>
      <c r="B467" s="32"/>
      <c r="C467" s="31"/>
      <c r="D467" s="31"/>
      <c r="E467" s="42" t="s">
        <v>438</v>
      </c>
      <c r="F467" s="42" t="s">
        <v>785</v>
      </c>
      <c r="G467" s="45">
        <v>17</v>
      </c>
    </row>
    <row r="468" spans="1:7" ht="15.75" customHeight="1">
      <c r="A468" s="36"/>
      <c r="B468" s="32"/>
      <c r="C468" s="31"/>
      <c r="D468" s="31"/>
      <c r="E468" s="52"/>
      <c r="F468" s="53" t="s">
        <v>787</v>
      </c>
      <c r="G468" s="54">
        <v>17</v>
      </c>
    </row>
    <row r="469" spans="1:7" ht="15.75" customHeight="1">
      <c r="A469" s="36"/>
      <c r="B469" s="32"/>
      <c r="C469" s="31"/>
      <c r="D469" s="31"/>
      <c r="E469" s="42" t="s">
        <v>548</v>
      </c>
      <c r="F469" s="42" t="s">
        <v>785</v>
      </c>
      <c r="G469" s="45">
        <v>10000</v>
      </c>
    </row>
    <row r="470" spans="1:7" ht="15.75" customHeight="1">
      <c r="A470" s="36"/>
      <c r="B470" s="32"/>
      <c r="C470" s="31"/>
      <c r="D470" s="31"/>
      <c r="E470" s="52"/>
      <c r="F470" s="53" t="s">
        <v>787</v>
      </c>
      <c r="G470" s="54">
        <v>4850</v>
      </c>
    </row>
    <row r="471" spans="1:7" ht="15.75" customHeight="1">
      <c r="A471" s="36"/>
      <c r="B471" s="32"/>
      <c r="C471" s="31"/>
      <c r="D471" s="31"/>
      <c r="E471" s="42" t="s">
        <v>550</v>
      </c>
      <c r="F471" s="42" t="s">
        <v>785</v>
      </c>
      <c r="G471" s="45">
        <v>2470</v>
      </c>
    </row>
    <row r="472" spans="1:7" ht="15.75" customHeight="1">
      <c r="A472" s="36"/>
      <c r="B472" s="32"/>
      <c r="C472" s="31"/>
      <c r="D472" s="31"/>
      <c r="E472" s="52"/>
      <c r="F472" s="53" t="s">
        <v>787</v>
      </c>
      <c r="G472" s="54">
        <v>1725</v>
      </c>
    </row>
    <row r="473" spans="1:7" ht="15.75" customHeight="1">
      <c r="A473" s="36"/>
      <c r="B473" s="32"/>
      <c r="C473" s="31"/>
      <c r="D473" s="31"/>
      <c r="E473" s="42" t="s">
        <v>335</v>
      </c>
      <c r="F473" s="42" t="s">
        <v>785</v>
      </c>
      <c r="G473" s="45">
        <v>19</v>
      </c>
    </row>
    <row r="474" spans="1:7" ht="15.75" customHeight="1">
      <c r="A474" s="36"/>
      <c r="B474" s="32"/>
      <c r="C474" s="31"/>
      <c r="D474" s="31"/>
      <c r="E474" s="52"/>
      <c r="F474" s="53" t="s">
        <v>787</v>
      </c>
      <c r="G474" s="54">
        <v>19</v>
      </c>
    </row>
    <row r="475" spans="1:7" ht="15.75" customHeight="1">
      <c r="A475" s="36"/>
      <c r="B475" s="32"/>
      <c r="C475" s="31"/>
      <c r="D475" s="31"/>
      <c r="E475" s="42" t="s">
        <v>722</v>
      </c>
      <c r="F475" s="42" t="s">
        <v>785</v>
      </c>
      <c r="G475" s="45">
        <v>1</v>
      </c>
    </row>
    <row r="476" spans="1:7" ht="15.75" customHeight="1">
      <c r="A476" s="36"/>
      <c r="B476" s="32"/>
      <c r="C476" s="31"/>
      <c r="D476" s="31"/>
      <c r="E476" s="52"/>
      <c r="F476" s="53" t="s">
        <v>787</v>
      </c>
      <c r="G476" s="54">
        <v>1</v>
      </c>
    </row>
    <row r="477" spans="1:7" ht="15.75" customHeight="1">
      <c r="A477" s="36"/>
      <c r="B477" s="32"/>
      <c r="C477" s="31"/>
      <c r="D477" s="31"/>
      <c r="E477" s="42" t="s">
        <v>336</v>
      </c>
      <c r="F477" s="42" t="s">
        <v>785</v>
      </c>
      <c r="G477" s="45">
        <v>20</v>
      </c>
    </row>
    <row r="478" spans="1:7" ht="15.75" customHeight="1">
      <c r="A478" s="36"/>
      <c r="B478" s="32"/>
      <c r="C478" s="31"/>
      <c r="D478" s="31"/>
      <c r="E478" s="52"/>
      <c r="F478" s="53" t="s">
        <v>787</v>
      </c>
      <c r="G478" s="54">
        <v>16</v>
      </c>
    </row>
    <row r="479" spans="1:7" ht="15.75" customHeight="1">
      <c r="A479" s="36"/>
      <c r="B479" s="32"/>
      <c r="C479" s="31"/>
      <c r="D479" s="31"/>
      <c r="E479" s="42" t="s">
        <v>338</v>
      </c>
      <c r="F479" s="42" t="s">
        <v>785</v>
      </c>
      <c r="G479" s="45">
        <v>40</v>
      </c>
    </row>
    <row r="480" spans="1:7" ht="15.75" customHeight="1">
      <c r="A480" s="36"/>
      <c r="B480" s="32"/>
      <c r="C480" s="31"/>
      <c r="D480" s="31"/>
      <c r="E480" s="52"/>
      <c r="F480" s="53" t="s">
        <v>787</v>
      </c>
      <c r="G480" s="54">
        <v>40</v>
      </c>
    </row>
    <row r="481" spans="1:7" ht="15.75" customHeight="1">
      <c r="A481" s="36"/>
      <c r="B481" s="32"/>
      <c r="C481" s="31"/>
      <c r="D481" s="31"/>
      <c r="E481" s="42" t="s">
        <v>339</v>
      </c>
      <c r="F481" s="42" t="s">
        <v>785</v>
      </c>
      <c r="G481" s="45">
        <v>50</v>
      </c>
    </row>
    <row r="482" spans="1:7" ht="15.75" customHeight="1">
      <c r="A482" s="36"/>
      <c r="B482" s="32"/>
      <c r="C482" s="31"/>
      <c r="D482" s="31"/>
      <c r="E482" s="52"/>
      <c r="F482" s="53" t="s">
        <v>787</v>
      </c>
      <c r="G482" s="54">
        <v>50</v>
      </c>
    </row>
    <row r="483" spans="1:7" ht="15.75" customHeight="1">
      <c r="A483" s="36"/>
      <c r="B483" s="32"/>
      <c r="C483" s="31"/>
      <c r="D483" s="31"/>
      <c r="E483" s="42" t="s">
        <v>340</v>
      </c>
      <c r="F483" s="42" t="s">
        <v>785</v>
      </c>
      <c r="G483" s="45">
        <v>19</v>
      </c>
    </row>
    <row r="484" spans="1:7" ht="15.75" customHeight="1">
      <c r="A484" s="36"/>
      <c r="B484" s="32"/>
      <c r="C484" s="31"/>
      <c r="D484" s="31"/>
      <c r="E484" s="52"/>
      <c r="F484" s="53" t="s">
        <v>787</v>
      </c>
      <c r="G484" s="54">
        <v>19</v>
      </c>
    </row>
    <row r="485" spans="1:7" ht="15.75" customHeight="1">
      <c r="A485" s="36"/>
      <c r="B485" s="32"/>
      <c r="C485" s="31"/>
      <c r="D485" s="31"/>
      <c r="E485" s="42" t="s">
        <v>40</v>
      </c>
      <c r="F485" s="42" t="s">
        <v>785</v>
      </c>
      <c r="G485" s="45">
        <v>6</v>
      </c>
    </row>
    <row r="486" spans="1:7" ht="15.75" customHeight="1">
      <c r="A486" s="36"/>
      <c r="B486" s="32"/>
      <c r="C486" s="31"/>
      <c r="D486" s="31"/>
      <c r="E486" s="52"/>
      <c r="F486" s="53" t="s">
        <v>787</v>
      </c>
      <c r="G486" s="54">
        <v>5</v>
      </c>
    </row>
    <row r="487" spans="1:7" ht="15.75" customHeight="1">
      <c r="A487" s="36"/>
      <c r="B487" s="32"/>
      <c r="C487" s="31"/>
      <c r="D487" s="31"/>
      <c r="E487" s="42" t="s">
        <v>38</v>
      </c>
      <c r="F487" s="42" t="s">
        <v>785</v>
      </c>
      <c r="G487" s="45">
        <v>6</v>
      </c>
    </row>
    <row r="488" spans="1:7" ht="15.75" customHeight="1">
      <c r="A488" s="36"/>
      <c r="B488" s="32"/>
      <c r="C488" s="31"/>
      <c r="D488" s="31"/>
      <c r="E488" s="52"/>
      <c r="F488" s="53" t="s">
        <v>787</v>
      </c>
      <c r="G488" s="54">
        <v>5</v>
      </c>
    </row>
    <row r="489" spans="1:7" ht="15.75" customHeight="1">
      <c r="A489" s="36"/>
      <c r="B489" s="32"/>
      <c r="C489" s="31"/>
      <c r="D489" s="31"/>
      <c r="E489" s="42" t="s">
        <v>551</v>
      </c>
      <c r="F489" s="42" t="s">
        <v>785</v>
      </c>
      <c r="G489" s="45">
        <v>405</v>
      </c>
    </row>
    <row r="490" spans="1:7" ht="15.75" customHeight="1">
      <c r="A490" s="36"/>
      <c r="B490" s="32"/>
      <c r="C490" s="31"/>
      <c r="D490" s="31"/>
      <c r="E490" s="52"/>
      <c r="F490" s="53" t="s">
        <v>787</v>
      </c>
      <c r="G490" s="54">
        <v>321</v>
      </c>
    </row>
    <row r="491" spans="1:7" ht="15.75" customHeight="1">
      <c r="A491" s="36"/>
      <c r="B491" s="32"/>
      <c r="C491" s="31"/>
      <c r="D491" s="31"/>
      <c r="E491" s="42" t="s">
        <v>552</v>
      </c>
      <c r="F491" s="42" t="s">
        <v>785</v>
      </c>
      <c r="G491" s="45">
        <v>60</v>
      </c>
    </row>
    <row r="492" spans="1:7" ht="15.75" customHeight="1">
      <c r="A492" s="36"/>
      <c r="B492" s="32"/>
      <c r="C492" s="31"/>
      <c r="D492" s="31"/>
      <c r="E492" s="52"/>
      <c r="F492" s="53" t="s">
        <v>787</v>
      </c>
      <c r="G492" s="54">
        <v>55</v>
      </c>
    </row>
    <row r="493" spans="1:7" ht="15.75" customHeight="1">
      <c r="A493" s="36"/>
      <c r="B493" s="32"/>
      <c r="C493" s="31"/>
      <c r="D493" s="31"/>
      <c r="E493" s="42" t="s">
        <v>179</v>
      </c>
      <c r="F493" s="42" t="s">
        <v>785</v>
      </c>
      <c r="G493" s="45">
        <v>4</v>
      </c>
    </row>
    <row r="494" spans="1:7" ht="15.75" customHeight="1">
      <c r="A494" s="36"/>
      <c r="B494" s="32"/>
      <c r="C494" s="31"/>
      <c r="D494" s="31"/>
      <c r="E494" s="52"/>
      <c r="F494" s="53" t="s">
        <v>787</v>
      </c>
      <c r="G494" s="54">
        <v>0</v>
      </c>
    </row>
    <row r="495" spans="1:7" ht="15.75" customHeight="1">
      <c r="A495" s="36"/>
      <c r="B495" s="32"/>
      <c r="C495" s="31"/>
      <c r="D495" s="31"/>
      <c r="E495" s="42" t="s">
        <v>180</v>
      </c>
      <c r="F495" s="42" t="s">
        <v>785</v>
      </c>
      <c r="G495" s="45">
        <v>70</v>
      </c>
    </row>
    <row r="496" spans="1:7" ht="15.75" customHeight="1">
      <c r="A496" s="36"/>
      <c r="B496" s="32"/>
      <c r="C496" s="31"/>
      <c r="D496" s="31"/>
      <c r="E496" s="52"/>
      <c r="F496" s="53" t="s">
        <v>787</v>
      </c>
      <c r="G496" s="54">
        <v>66</v>
      </c>
    </row>
    <row r="497" spans="1:7" ht="15.75" customHeight="1">
      <c r="A497" s="36"/>
      <c r="B497" s="32"/>
      <c r="C497" s="31"/>
      <c r="D497" s="31"/>
      <c r="E497" s="42" t="s">
        <v>182</v>
      </c>
      <c r="F497" s="42" t="s">
        <v>785</v>
      </c>
      <c r="G497" s="45">
        <v>20</v>
      </c>
    </row>
    <row r="498" spans="1:7" ht="15.75" customHeight="1">
      <c r="A498" s="36"/>
      <c r="B498" s="32"/>
      <c r="C498" s="31"/>
      <c r="D498" s="31"/>
      <c r="E498" s="52"/>
      <c r="F498" s="53" t="s">
        <v>787</v>
      </c>
      <c r="G498" s="54">
        <v>20</v>
      </c>
    </row>
    <row r="499" spans="1:7" ht="15.75" customHeight="1">
      <c r="A499" s="36"/>
      <c r="B499" s="32"/>
      <c r="C499" s="31"/>
      <c r="D499" s="31"/>
      <c r="E499" s="42" t="s">
        <v>344</v>
      </c>
      <c r="F499" s="42" t="s">
        <v>785</v>
      </c>
      <c r="G499" s="45">
        <v>62</v>
      </c>
    </row>
    <row r="500" spans="1:7" ht="15.75" customHeight="1">
      <c r="A500" s="36"/>
      <c r="B500" s="32"/>
      <c r="C500" s="31"/>
      <c r="D500" s="31"/>
      <c r="E500" s="52"/>
      <c r="F500" s="53" t="s">
        <v>787</v>
      </c>
      <c r="G500" s="54">
        <v>62</v>
      </c>
    </row>
    <row r="501" spans="1:7" ht="15.75" customHeight="1">
      <c r="A501" s="36"/>
      <c r="B501" s="32"/>
      <c r="C501" s="31"/>
      <c r="D501" s="31"/>
      <c r="E501" s="42" t="s">
        <v>341</v>
      </c>
      <c r="F501" s="42" t="s">
        <v>785</v>
      </c>
      <c r="G501" s="45">
        <v>160</v>
      </c>
    </row>
    <row r="502" spans="1:7" ht="15.75" customHeight="1">
      <c r="A502" s="36"/>
      <c r="B502" s="32"/>
      <c r="C502" s="31"/>
      <c r="D502" s="31"/>
      <c r="E502" s="52"/>
      <c r="F502" s="53" t="s">
        <v>787</v>
      </c>
      <c r="G502" s="54">
        <v>160</v>
      </c>
    </row>
    <row r="503" spans="1:7" ht="15.75" customHeight="1">
      <c r="A503" s="36"/>
      <c r="B503" s="32"/>
      <c r="C503" s="31"/>
      <c r="D503" s="31"/>
      <c r="E503" s="42" t="s">
        <v>343</v>
      </c>
      <c r="F503" s="42" t="s">
        <v>785</v>
      </c>
      <c r="G503" s="45">
        <v>279</v>
      </c>
    </row>
    <row r="504" spans="1:7" ht="15.75" customHeight="1">
      <c r="A504" s="36"/>
      <c r="B504" s="32"/>
      <c r="C504" s="31"/>
      <c r="D504" s="31"/>
      <c r="E504" s="52"/>
      <c r="F504" s="53" t="s">
        <v>787</v>
      </c>
      <c r="G504" s="54">
        <v>278</v>
      </c>
    </row>
    <row r="505" spans="1:7" ht="15.75" customHeight="1">
      <c r="A505" s="36"/>
      <c r="B505" s="32"/>
      <c r="C505" s="31"/>
      <c r="D505" s="31"/>
      <c r="E505" s="42" t="s">
        <v>184</v>
      </c>
      <c r="F505" s="42" t="s">
        <v>785</v>
      </c>
      <c r="G505" s="45">
        <v>1</v>
      </c>
    </row>
    <row r="506" spans="1:7" ht="15.75" customHeight="1">
      <c r="A506" s="36"/>
      <c r="B506" s="32"/>
      <c r="C506" s="31"/>
      <c r="D506" s="31"/>
      <c r="E506" s="52"/>
      <c r="F506" s="53" t="s">
        <v>787</v>
      </c>
      <c r="G506" s="54">
        <v>1</v>
      </c>
    </row>
    <row r="507" spans="1:7" ht="15.75" customHeight="1">
      <c r="A507" s="36"/>
      <c r="B507" s="32"/>
      <c r="C507" s="31"/>
      <c r="D507" s="31"/>
      <c r="E507" s="42" t="s">
        <v>183</v>
      </c>
      <c r="F507" s="42" t="s">
        <v>785</v>
      </c>
      <c r="G507" s="45">
        <v>34</v>
      </c>
    </row>
    <row r="508" spans="1:7" ht="15.75" customHeight="1">
      <c r="A508" s="36"/>
      <c r="B508" s="32"/>
      <c r="C508" s="31"/>
      <c r="D508" s="31"/>
      <c r="E508" s="52"/>
      <c r="F508" s="53" t="s">
        <v>787</v>
      </c>
      <c r="G508" s="54">
        <v>34</v>
      </c>
    </row>
    <row r="509" spans="1:7" ht="15.75" customHeight="1">
      <c r="A509" s="36"/>
      <c r="B509" s="32"/>
      <c r="C509" s="31"/>
      <c r="D509" s="31"/>
      <c r="E509" s="42" t="s">
        <v>553</v>
      </c>
      <c r="F509" s="42" t="s">
        <v>785</v>
      </c>
      <c r="G509" s="45">
        <v>50</v>
      </c>
    </row>
    <row r="510" spans="1:7" ht="15.75" customHeight="1">
      <c r="A510" s="36"/>
      <c r="B510" s="32"/>
      <c r="C510" s="31"/>
      <c r="D510" s="31"/>
      <c r="E510" s="52"/>
      <c r="F510" s="53" t="s">
        <v>787</v>
      </c>
      <c r="G510" s="54">
        <v>50</v>
      </c>
    </row>
    <row r="511" spans="1:7" ht="15.75" customHeight="1">
      <c r="A511" s="36"/>
      <c r="B511" s="32"/>
      <c r="C511" s="31"/>
      <c r="D511" s="31"/>
      <c r="E511" s="42" t="s">
        <v>723</v>
      </c>
      <c r="F511" s="42" t="s">
        <v>785</v>
      </c>
      <c r="G511" s="45">
        <v>8</v>
      </c>
    </row>
    <row r="512" spans="1:7" ht="15.75" customHeight="1">
      <c r="A512" s="36"/>
      <c r="B512" s="32"/>
      <c r="C512" s="31"/>
      <c r="D512" s="31"/>
      <c r="E512" s="52"/>
      <c r="F512" s="53" t="s">
        <v>787</v>
      </c>
      <c r="G512" s="54">
        <v>8</v>
      </c>
    </row>
    <row r="513" spans="1:7" ht="15.75" customHeight="1">
      <c r="A513" s="36"/>
      <c r="B513" s="32"/>
      <c r="C513" s="31"/>
      <c r="D513" s="31"/>
      <c r="E513" s="42" t="s">
        <v>345</v>
      </c>
      <c r="F513" s="42" t="s">
        <v>785</v>
      </c>
      <c r="G513" s="45">
        <v>4</v>
      </c>
    </row>
    <row r="514" spans="1:7" ht="15.75" customHeight="1">
      <c r="A514" s="36"/>
      <c r="B514" s="32"/>
      <c r="C514" s="31"/>
      <c r="D514" s="31"/>
      <c r="E514" s="52"/>
      <c r="F514" s="53" t="s">
        <v>787</v>
      </c>
      <c r="G514" s="54">
        <v>4</v>
      </c>
    </row>
    <row r="515" spans="1:7" ht="15.75" customHeight="1">
      <c r="A515" s="36"/>
      <c r="B515" s="32"/>
      <c r="C515" s="31"/>
      <c r="D515" s="31"/>
      <c r="E515" s="42" t="s">
        <v>185</v>
      </c>
      <c r="F515" s="42" t="s">
        <v>785</v>
      </c>
      <c r="G515" s="45">
        <v>10</v>
      </c>
    </row>
    <row r="516" spans="1:7" ht="15.75" customHeight="1">
      <c r="A516" s="36"/>
      <c r="B516" s="32"/>
      <c r="C516" s="31"/>
      <c r="D516" s="31"/>
      <c r="E516" s="52"/>
      <c r="F516" s="53" t="s">
        <v>787</v>
      </c>
      <c r="G516" s="54">
        <v>9</v>
      </c>
    </row>
    <row r="517" spans="1:7" ht="15.75" customHeight="1">
      <c r="A517" s="36"/>
      <c r="B517" s="32"/>
      <c r="C517" s="31"/>
      <c r="D517" s="31"/>
      <c r="E517" s="42" t="s">
        <v>442</v>
      </c>
      <c r="F517" s="42" t="s">
        <v>785</v>
      </c>
      <c r="G517" s="45">
        <v>20</v>
      </c>
    </row>
    <row r="518" spans="1:7" ht="15.75" customHeight="1">
      <c r="A518" s="36"/>
      <c r="B518" s="32"/>
      <c r="C518" s="31"/>
      <c r="D518" s="31"/>
      <c r="E518" s="52"/>
      <c r="F518" s="53" t="s">
        <v>787</v>
      </c>
      <c r="G518" s="54">
        <v>18</v>
      </c>
    </row>
    <row r="519" spans="1:7" ht="15.75" customHeight="1">
      <c r="A519" s="36"/>
      <c r="B519" s="32"/>
      <c r="C519" s="31"/>
      <c r="D519" s="31"/>
      <c r="E519" s="42" t="s">
        <v>348</v>
      </c>
      <c r="F519" s="42" t="s">
        <v>785</v>
      </c>
      <c r="G519" s="45">
        <v>200</v>
      </c>
    </row>
    <row r="520" spans="1:7" ht="15.75" customHeight="1">
      <c r="A520" s="36"/>
      <c r="B520" s="32"/>
      <c r="C520" s="31"/>
      <c r="D520" s="31"/>
      <c r="E520" s="52"/>
      <c r="F520" s="53" t="s">
        <v>787</v>
      </c>
      <c r="G520" s="54">
        <v>169</v>
      </c>
    </row>
    <row r="521" spans="1:7" ht="15.75" customHeight="1">
      <c r="A521" s="36"/>
      <c r="B521" s="32"/>
      <c r="C521" s="31"/>
      <c r="D521" s="31"/>
      <c r="E521" s="42" t="s">
        <v>346</v>
      </c>
      <c r="F521" s="42" t="s">
        <v>785</v>
      </c>
      <c r="G521" s="45">
        <v>800</v>
      </c>
    </row>
    <row r="522" spans="1:7" ht="15.75" customHeight="1">
      <c r="A522" s="36"/>
      <c r="B522" s="32"/>
      <c r="C522" s="31"/>
      <c r="D522" s="31"/>
      <c r="E522" s="52"/>
      <c r="F522" s="53" t="s">
        <v>787</v>
      </c>
      <c r="G522" s="54">
        <v>570</v>
      </c>
    </row>
    <row r="523" spans="1:7" ht="15.75" customHeight="1">
      <c r="A523" s="36"/>
      <c r="B523" s="32"/>
      <c r="C523" s="31"/>
      <c r="D523" s="31"/>
      <c r="E523" s="42" t="s">
        <v>350</v>
      </c>
      <c r="F523" s="42" t="s">
        <v>785</v>
      </c>
      <c r="G523" s="45">
        <v>8</v>
      </c>
    </row>
    <row r="524" spans="1:7" ht="15.75" customHeight="1">
      <c r="A524" s="36"/>
      <c r="B524" s="32"/>
      <c r="C524" s="31"/>
      <c r="D524" s="31"/>
      <c r="E524" s="52"/>
      <c r="F524" s="53" t="s">
        <v>787</v>
      </c>
      <c r="G524" s="54">
        <v>8</v>
      </c>
    </row>
    <row r="525" spans="1:7" ht="15.75" customHeight="1">
      <c r="A525" s="36"/>
      <c r="B525" s="32"/>
      <c r="C525" s="31"/>
      <c r="D525" s="31"/>
      <c r="E525" s="42" t="s">
        <v>557</v>
      </c>
      <c r="F525" s="42" t="s">
        <v>785</v>
      </c>
      <c r="G525" s="45">
        <v>265</v>
      </c>
    </row>
    <row r="526" spans="1:7" ht="15.75" customHeight="1">
      <c r="A526" s="36"/>
      <c r="B526" s="32"/>
      <c r="C526" s="31"/>
      <c r="D526" s="31"/>
      <c r="E526" s="52"/>
      <c r="F526" s="53" t="s">
        <v>787</v>
      </c>
      <c r="G526" s="54">
        <v>86</v>
      </c>
    </row>
    <row r="527" spans="1:7" ht="15.75" customHeight="1">
      <c r="A527" s="36"/>
      <c r="B527" s="32"/>
      <c r="C527" s="31"/>
      <c r="D527" s="31"/>
      <c r="E527" s="42" t="s">
        <v>556</v>
      </c>
      <c r="F527" s="42" t="s">
        <v>785</v>
      </c>
      <c r="G527" s="45">
        <v>240</v>
      </c>
    </row>
    <row r="528" spans="1:7" ht="15.75" customHeight="1">
      <c r="A528" s="36"/>
      <c r="B528" s="32"/>
      <c r="C528" s="31"/>
      <c r="D528" s="31"/>
      <c r="E528" s="52"/>
      <c r="F528" s="53" t="s">
        <v>787</v>
      </c>
      <c r="G528" s="54">
        <v>240</v>
      </c>
    </row>
    <row r="529" spans="1:7" ht="15.75" customHeight="1">
      <c r="A529" s="36"/>
      <c r="B529" s="32"/>
      <c r="C529" s="31"/>
      <c r="D529" s="31"/>
      <c r="E529" s="42" t="s">
        <v>555</v>
      </c>
      <c r="F529" s="42" t="s">
        <v>785</v>
      </c>
      <c r="G529" s="45">
        <v>120</v>
      </c>
    </row>
    <row r="530" spans="1:7" ht="15.75" customHeight="1">
      <c r="A530" s="36"/>
      <c r="B530" s="32"/>
      <c r="C530" s="31"/>
      <c r="D530" s="31"/>
      <c r="E530" s="52"/>
      <c r="F530" s="53" t="s">
        <v>787</v>
      </c>
      <c r="G530" s="54">
        <v>120</v>
      </c>
    </row>
    <row r="531" spans="1:7" ht="15.75" customHeight="1">
      <c r="A531" s="36"/>
      <c r="B531" s="32"/>
      <c r="C531" s="31"/>
      <c r="D531" s="31"/>
      <c r="E531" s="42" t="s">
        <v>439</v>
      </c>
      <c r="F531" s="42" t="s">
        <v>785</v>
      </c>
      <c r="G531" s="45">
        <v>40</v>
      </c>
    </row>
    <row r="532" spans="1:7" ht="15.75" customHeight="1">
      <c r="A532" s="36"/>
      <c r="B532" s="32"/>
      <c r="C532" s="31"/>
      <c r="D532" s="31"/>
      <c r="E532" s="52"/>
      <c r="F532" s="53" t="s">
        <v>787</v>
      </c>
      <c r="G532" s="54">
        <v>38</v>
      </c>
    </row>
    <row r="533" spans="1:7" ht="15.75" customHeight="1">
      <c r="A533" s="36"/>
      <c r="B533" s="32"/>
      <c r="C533" s="31"/>
      <c r="D533" s="31"/>
      <c r="E533" s="42" t="s">
        <v>441</v>
      </c>
      <c r="F533" s="42" t="s">
        <v>785</v>
      </c>
      <c r="G533" s="45">
        <v>41</v>
      </c>
    </row>
    <row r="534" spans="1:7" ht="15.75" customHeight="1">
      <c r="A534" s="36"/>
      <c r="B534" s="32"/>
      <c r="C534" s="31"/>
      <c r="D534" s="31"/>
      <c r="E534" s="52"/>
      <c r="F534" s="53" t="s">
        <v>787</v>
      </c>
      <c r="G534" s="54">
        <v>41</v>
      </c>
    </row>
    <row r="535" spans="1:7" ht="15.75" customHeight="1">
      <c r="A535" s="36"/>
      <c r="B535" s="32"/>
      <c r="C535" s="31"/>
      <c r="D535" s="31"/>
      <c r="E535" s="42" t="s">
        <v>558</v>
      </c>
      <c r="F535" s="42" t="s">
        <v>785</v>
      </c>
      <c r="G535" s="45">
        <v>20</v>
      </c>
    </row>
    <row r="536" spans="1:7" ht="15.75" customHeight="1">
      <c r="A536" s="36"/>
      <c r="B536" s="32"/>
      <c r="C536" s="31"/>
      <c r="D536" s="31"/>
      <c r="E536" s="52"/>
      <c r="F536" s="53" t="s">
        <v>787</v>
      </c>
      <c r="G536" s="54">
        <v>4</v>
      </c>
    </row>
    <row r="537" spans="1:7" ht="15.75" customHeight="1">
      <c r="A537" s="36"/>
      <c r="B537" s="32"/>
      <c r="C537" s="31"/>
      <c r="D537" s="31"/>
      <c r="E537" s="42" t="s">
        <v>444</v>
      </c>
      <c r="F537" s="42" t="s">
        <v>785</v>
      </c>
      <c r="G537" s="45">
        <v>12</v>
      </c>
    </row>
    <row r="538" spans="1:7" ht="15.75" customHeight="1">
      <c r="A538" s="36"/>
      <c r="B538" s="32"/>
      <c r="C538" s="31"/>
      <c r="D538" s="31"/>
      <c r="E538" s="52"/>
      <c r="F538" s="53" t="s">
        <v>787</v>
      </c>
      <c r="G538" s="54">
        <v>12</v>
      </c>
    </row>
    <row r="539" spans="1:7" ht="15.75" customHeight="1">
      <c r="A539" s="36"/>
      <c r="B539" s="32"/>
      <c r="C539" s="31"/>
      <c r="D539" s="31"/>
      <c r="E539" s="42" t="s">
        <v>187</v>
      </c>
      <c r="F539" s="42" t="s">
        <v>785</v>
      </c>
      <c r="G539" s="45">
        <v>24</v>
      </c>
    </row>
    <row r="540" spans="1:7" ht="15.75" customHeight="1">
      <c r="A540" s="36"/>
      <c r="B540" s="32"/>
      <c r="C540" s="31"/>
      <c r="D540" s="31"/>
      <c r="E540" s="52"/>
      <c r="F540" s="53" t="s">
        <v>787</v>
      </c>
      <c r="G540" s="54">
        <v>24</v>
      </c>
    </row>
    <row r="541" spans="1:7" ht="15.75" customHeight="1">
      <c r="A541" s="36"/>
      <c r="B541" s="32"/>
      <c r="C541" s="31"/>
      <c r="D541" s="31"/>
      <c r="E541" s="42" t="s">
        <v>188</v>
      </c>
      <c r="F541" s="42" t="s">
        <v>785</v>
      </c>
      <c r="G541" s="45">
        <v>10</v>
      </c>
    </row>
    <row r="542" spans="1:7" ht="15.75" customHeight="1">
      <c r="A542" s="36"/>
      <c r="B542" s="32"/>
      <c r="C542" s="31"/>
      <c r="D542" s="31"/>
      <c r="E542" s="52"/>
      <c r="F542" s="53" t="s">
        <v>787</v>
      </c>
      <c r="G542" s="54">
        <v>10</v>
      </c>
    </row>
    <row r="543" spans="1:7" ht="15.75" customHeight="1">
      <c r="A543" s="36"/>
      <c r="B543" s="32"/>
      <c r="C543" s="31"/>
      <c r="D543" s="31"/>
      <c r="E543" s="42" t="s">
        <v>189</v>
      </c>
      <c r="F543" s="42" t="s">
        <v>785</v>
      </c>
      <c r="G543" s="45">
        <v>11</v>
      </c>
    </row>
    <row r="544" spans="1:7" ht="15.75" customHeight="1">
      <c r="A544" s="36"/>
      <c r="B544" s="32"/>
      <c r="C544" s="31"/>
      <c r="D544" s="31"/>
      <c r="E544" s="52"/>
      <c r="F544" s="53" t="s">
        <v>787</v>
      </c>
      <c r="G544" s="54">
        <v>11</v>
      </c>
    </row>
    <row r="545" spans="1:7" ht="15.75" customHeight="1">
      <c r="A545" s="36"/>
      <c r="B545" s="32"/>
      <c r="C545" s="31"/>
      <c r="D545" s="31"/>
      <c r="E545" s="42" t="s">
        <v>356</v>
      </c>
      <c r="F545" s="42" t="s">
        <v>785</v>
      </c>
      <c r="G545" s="45">
        <v>3</v>
      </c>
    </row>
    <row r="546" spans="1:7" ht="15.75" customHeight="1">
      <c r="A546" s="36"/>
      <c r="B546" s="32"/>
      <c r="C546" s="31"/>
      <c r="D546" s="31"/>
      <c r="E546" s="52"/>
      <c r="F546" s="53" t="s">
        <v>787</v>
      </c>
      <c r="G546" s="54">
        <v>3</v>
      </c>
    </row>
    <row r="547" spans="1:7" ht="15.75" customHeight="1">
      <c r="A547" s="36"/>
      <c r="B547" s="32"/>
      <c r="C547" s="31"/>
      <c r="D547" s="31"/>
      <c r="E547" s="42" t="s">
        <v>352</v>
      </c>
      <c r="F547" s="42" t="s">
        <v>785</v>
      </c>
      <c r="G547" s="45">
        <v>14</v>
      </c>
    </row>
    <row r="548" spans="1:7" ht="15.75" customHeight="1">
      <c r="A548" s="36"/>
      <c r="B548" s="32"/>
      <c r="C548" s="31"/>
      <c r="D548" s="31"/>
      <c r="E548" s="52"/>
      <c r="F548" s="53" t="s">
        <v>787</v>
      </c>
      <c r="G548" s="54">
        <v>14</v>
      </c>
    </row>
    <row r="549" spans="1:7" ht="15.75" customHeight="1">
      <c r="A549" s="36"/>
      <c r="B549" s="32"/>
      <c r="C549" s="31"/>
      <c r="D549" s="31"/>
      <c r="E549" s="42" t="s">
        <v>353</v>
      </c>
      <c r="F549" s="42" t="s">
        <v>785</v>
      </c>
      <c r="G549" s="45">
        <v>23</v>
      </c>
    </row>
    <row r="550" spans="1:7" ht="15.75" customHeight="1">
      <c r="A550" s="36"/>
      <c r="B550" s="32"/>
      <c r="C550" s="31"/>
      <c r="D550" s="31"/>
      <c r="E550" s="52"/>
      <c r="F550" s="53" t="s">
        <v>787</v>
      </c>
      <c r="G550" s="54">
        <v>23</v>
      </c>
    </row>
    <row r="551" spans="1:7" ht="15.75" customHeight="1">
      <c r="A551" s="36"/>
      <c r="B551" s="32"/>
      <c r="C551" s="31"/>
      <c r="D551" s="31"/>
      <c r="E551" s="42" t="s">
        <v>354</v>
      </c>
      <c r="F551" s="42" t="s">
        <v>785</v>
      </c>
      <c r="G551" s="45">
        <v>24</v>
      </c>
    </row>
    <row r="552" spans="1:7" ht="15.75" customHeight="1">
      <c r="A552" s="36"/>
      <c r="B552" s="32"/>
      <c r="C552" s="31"/>
      <c r="D552" s="31"/>
      <c r="E552" s="52"/>
      <c r="F552" s="53" t="s">
        <v>787</v>
      </c>
      <c r="G552" s="54">
        <v>24</v>
      </c>
    </row>
    <row r="553" spans="1:7" ht="15.75" customHeight="1">
      <c r="A553" s="36"/>
      <c r="B553" s="32"/>
      <c r="C553" s="31"/>
      <c r="D553" s="31"/>
      <c r="E553" s="42" t="s">
        <v>355</v>
      </c>
      <c r="F553" s="42" t="s">
        <v>785</v>
      </c>
      <c r="G553" s="45">
        <v>45</v>
      </c>
    </row>
    <row r="554" spans="1:7" ht="15.75" customHeight="1">
      <c r="A554" s="36"/>
      <c r="B554" s="32"/>
      <c r="C554" s="31"/>
      <c r="D554" s="31"/>
      <c r="E554" s="52"/>
      <c r="F554" s="53" t="s">
        <v>787</v>
      </c>
      <c r="G554" s="54">
        <v>44</v>
      </c>
    </row>
    <row r="555" spans="1:7" ht="15.75" customHeight="1">
      <c r="A555" s="36"/>
      <c r="B555" s="32"/>
      <c r="C555" s="31"/>
      <c r="D555" s="31"/>
      <c r="E555" s="42" t="s">
        <v>351</v>
      </c>
      <c r="F555" s="42" t="s">
        <v>785</v>
      </c>
      <c r="G555" s="45">
        <v>11</v>
      </c>
    </row>
    <row r="556" spans="1:7" ht="15.75" customHeight="1">
      <c r="A556" s="36"/>
      <c r="B556" s="32"/>
      <c r="C556" s="31"/>
      <c r="D556" s="31"/>
      <c r="E556" s="52"/>
      <c r="F556" s="53" t="s">
        <v>787</v>
      </c>
      <c r="G556" s="54">
        <v>10</v>
      </c>
    </row>
    <row r="557" spans="1:7" ht="15.75" customHeight="1">
      <c r="A557" s="36"/>
      <c r="B557" s="32"/>
      <c r="C557" s="31"/>
      <c r="D557" s="31"/>
      <c r="E557" s="42" t="s">
        <v>561</v>
      </c>
      <c r="F557" s="42" t="s">
        <v>785</v>
      </c>
      <c r="G557" s="45">
        <v>50</v>
      </c>
    </row>
    <row r="558" spans="1:7" ht="15.75" customHeight="1">
      <c r="A558" s="36"/>
      <c r="B558" s="32"/>
      <c r="C558" s="31"/>
      <c r="D558" s="31"/>
      <c r="E558" s="52"/>
      <c r="F558" s="53" t="s">
        <v>787</v>
      </c>
      <c r="G558" s="54">
        <v>50</v>
      </c>
    </row>
    <row r="559" spans="1:7" ht="15.75" customHeight="1">
      <c r="A559" s="36"/>
      <c r="B559" s="32"/>
      <c r="C559" s="31"/>
      <c r="D559" s="31"/>
      <c r="E559" s="42" t="s">
        <v>42</v>
      </c>
      <c r="F559" s="42" t="s">
        <v>785</v>
      </c>
      <c r="G559" s="45">
        <v>150</v>
      </c>
    </row>
    <row r="560" spans="1:7" ht="15.75" customHeight="1">
      <c r="A560" s="36"/>
      <c r="B560" s="32"/>
      <c r="C560" s="31"/>
      <c r="D560" s="31"/>
      <c r="E560" s="52"/>
      <c r="F560" s="53" t="s">
        <v>787</v>
      </c>
      <c r="G560" s="54">
        <v>125</v>
      </c>
    </row>
    <row r="561" spans="1:7" ht="15.75" customHeight="1">
      <c r="A561" s="36"/>
      <c r="B561" s="32"/>
      <c r="C561" s="31"/>
      <c r="D561" s="31"/>
      <c r="E561" s="42" t="s">
        <v>563</v>
      </c>
      <c r="F561" s="42" t="s">
        <v>785</v>
      </c>
      <c r="G561" s="45">
        <v>20</v>
      </c>
    </row>
    <row r="562" spans="1:7" ht="15.75" customHeight="1">
      <c r="A562" s="36"/>
      <c r="B562" s="32"/>
      <c r="C562" s="31"/>
      <c r="D562" s="31"/>
      <c r="E562" s="52"/>
      <c r="F562" s="53" t="s">
        <v>787</v>
      </c>
      <c r="G562" s="54">
        <v>13</v>
      </c>
    </row>
    <row r="563" spans="1:7" ht="15.75" customHeight="1">
      <c r="A563" s="36"/>
      <c r="B563" s="32"/>
      <c r="C563" s="31"/>
      <c r="D563" s="31"/>
      <c r="E563" s="42" t="s">
        <v>567</v>
      </c>
      <c r="F563" s="42" t="s">
        <v>785</v>
      </c>
      <c r="G563" s="45">
        <v>355</v>
      </c>
    </row>
    <row r="564" spans="1:7" ht="15.75" customHeight="1">
      <c r="A564" s="36"/>
      <c r="B564" s="32"/>
      <c r="C564" s="31"/>
      <c r="D564" s="31"/>
      <c r="E564" s="52"/>
      <c r="F564" s="53" t="s">
        <v>787</v>
      </c>
      <c r="G564" s="54">
        <v>355</v>
      </c>
    </row>
    <row r="565" spans="1:7" ht="15.75" customHeight="1">
      <c r="A565" s="36"/>
      <c r="B565" s="32"/>
      <c r="C565" s="31"/>
      <c r="D565" s="31"/>
      <c r="E565" s="42" t="s">
        <v>570</v>
      </c>
      <c r="F565" s="42" t="s">
        <v>785</v>
      </c>
      <c r="G565" s="45">
        <v>240</v>
      </c>
    </row>
    <row r="566" spans="1:7" ht="15.75" customHeight="1">
      <c r="A566" s="36"/>
      <c r="B566" s="32"/>
      <c r="C566" s="31"/>
      <c r="D566" s="31"/>
      <c r="E566" s="52"/>
      <c r="F566" s="53" t="s">
        <v>787</v>
      </c>
      <c r="G566" s="54">
        <v>240</v>
      </c>
    </row>
    <row r="567" spans="1:7" ht="15.75" customHeight="1">
      <c r="A567" s="36"/>
      <c r="B567" s="32"/>
      <c r="C567" s="31"/>
      <c r="D567" s="31"/>
      <c r="E567" s="42" t="s">
        <v>572</v>
      </c>
      <c r="F567" s="42" t="s">
        <v>785</v>
      </c>
      <c r="G567" s="45">
        <v>342</v>
      </c>
    </row>
    <row r="568" spans="1:7" ht="15.75" customHeight="1">
      <c r="A568" s="36"/>
      <c r="B568" s="32"/>
      <c r="C568" s="31"/>
      <c r="D568" s="31"/>
      <c r="E568" s="52"/>
      <c r="F568" s="53" t="s">
        <v>787</v>
      </c>
      <c r="G568" s="54">
        <v>342</v>
      </c>
    </row>
    <row r="569" spans="1:7" ht="15.75" customHeight="1">
      <c r="A569" s="36"/>
      <c r="B569" s="32"/>
      <c r="C569" s="31"/>
      <c r="D569" s="31"/>
      <c r="E569" s="42" t="s">
        <v>574</v>
      </c>
      <c r="F569" s="42" t="s">
        <v>785</v>
      </c>
      <c r="G569" s="45">
        <v>400</v>
      </c>
    </row>
    <row r="570" spans="1:7" ht="15.75" customHeight="1">
      <c r="A570" s="36"/>
      <c r="B570" s="32"/>
      <c r="C570" s="31"/>
      <c r="D570" s="31"/>
      <c r="E570" s="52"/>
      <c r="F570" s="53" t="s">
        <v>787</v>
      </c>
      <c r="G570" s="54">
        <v>391</v>
      </c>
    </row>
    <row r="571" spans="1:7" ht="15.75" customHeight="1">
      <c r="A571" s="36"/>
      <c r="B571" s="32"/>
      <c r="C571" s="31"/>
      <c r="D571" s="31"/>
      <c r="E571" s="42" t="s">
        <v>580</v>
      </c>
      <c r="F571" s="42" t="s">
        <v>785</v>
      </c>
      <c r="G571" s="45">
        <v>205</v>
      </c>
    </row>
    <row r="572" spans="1:7" ht="15.75" customHeight="1">
      <c r="A572" s="36"/>
      <c r="B572" s="32"/>
      <c r="C572" s="31"/>
      <c r="D572" s="31"/>
      <c r="E572" s="52"/>
      <c r="F572" s="53" t="s">
        <v>787</v>
      </c>
      <c r="G572" s="54">
        <v>192</v>
      </c>
    </row>
    <row r="573" spans="1:7" ht="15.75" customHeight="1">
      <c r="A573" s="36"/>
      <c r="B573" s="32"/>
      <c r="C573" s="31"/>
      <c r="D573" s="31"/>
      <c r="E573" s="42" t="s">
        <v>581</v>
      </c>
      <c r="F573" s="42" t="s">
        <v>785</v>
      </c>
      <c r="G573" s="45">
        <v>240</v>
      </c>
    </row>
    <row r="574" spans="1:7" ht="15.75" customHeight="1">
      <c r="A574" s="36"/>
      <c r="B574" s="32"/>
      <c r="C574" s="31"/>
      <c r="D574" s="31"/>
      <c r="E574" s="52"/>
      <c r="F574" s="53" t="s">
        <v>787</v>
      </c>
      <c r="G574" s="54">
        <v>217</v>
      </c>
    </row>
    <row r="575" spans="1:7" ht="15.75" customHeight="1">
      <c r="A575" s="36"/>
      <c r="B575" s="32"/>
      <c r="C575" s="31"/>
      <c r="D575" s="31"/>
      <c r="E575" s="42" t="s">
        <v>584</v>
      </c>
      <c r="F575" s="42" t="s">
        <v>785</v>
      </c>
      <c r="G575" s="45">
        <v>221</v>
      </c>
    </row>
    <row r="576" spans="1:7" ht="15.75" customHeight="1">
      <c r="A576" s="36"/>
      <c r="B576" s="32"/>
      <c r="C576" s="31"/>
      <c r="D576" s="31"/>
      <c r="E576" s="52"/>
      <c r="F576" s="53" t="s">
        <v>787</v>
      </c>
      <c r="G576" s="54">
        <v>221</v>
      </c>
    </row>
    <row r="577" spans="1:7" ht="15.75" customHeight="1">
      <c r="A577" s="36"/>
      <c r="B577" s="32"/>
      <c r="C577" s="31"/>
      <c r="D577" s="31"/>
      <c r="E577" s="42" t="s">
        <v>577</v>
      </c>
      <c r="F577" s="42" t="s">
        <v>785</v>
      </c>
      <c r="G577" s="45">
        <v>37</v>
      </c>
    </row>
    <row r="578" spans="1:7" ht="15.75" customHeight="1">
      <c r="A578" s="36"/>
      <c r="B578" s="32"/>
      <c r="C578" s="31"/>
      <c r="D578" s="31"/>
      <c r="E578" s="52"/>
      <c r="F578" s="53" t="s">
        <v>787</v>
      </c>
      <c r="G578" s="54">
        <v>26</v>
      </c>
    </row>
    <row r="579" spans="1:7" ht="15.75" customHeight="1">
      <c r="A579" s="36"/>
      <c r="B579" s="32"/>
      <c r="C579" s="31"/>
      <c r="D579" s="31"/>
      <c r="E579" s="42" t="s">
        <v>578</v>
      </c>
      <c r="F579" s="42" t="s">
        <v>785</v>
      </c>
      <c r="G579" s="45">
        <v>27</v>
      </c>
    </row>
    <row r="580" spans="1:7" ht="15.75" customHeight="1">
      <c r="A580" s="36"/>
      <c r="B580" s="32"/>
      <c r="C580" s="31"/>
      <c r="D580" s="31"/>
      <c r="E580" s="52"/>
      <c r="F580" s="53" t="s">
        <v>787</v>
      </c>
      <c r="G580" s="54">
        <v>8</v>
      </c>
    </row>
    <row r="581" spans="1:7" ht="15.75" customHeight="1">
      <c r="A581" s="36"/>
      <c r="B581" s="32"/>
      <c r="C581" s="31"/>
      <c r="D581" s="31"/>
      <c r="E581" s="42" t="s">
        <v>579</v>
      </c>
      <c r="F581" s="42" t="s">
        <v>785</v>
      </c>
      <c r="G581" s="45">
        <v>232</v>
      </c>
    </row>
    <row r="582" spans="1:7" ht="15.75" customHeight="1">
      <c r="A582" s="36"/>
      <c r="B582" s="32"/>
      <c r="C582" s="31"/>
      <c r="D582" s="31"/>
      <c r="E582" s="52"/>
      <c r="F582" s="53" t="s">
        <v>787</v>
      </c>
      <c r="G582" s="54">
        <v>213</v>
      </c>
    </row>
    <row r="583" spans="1:7" ht="15.75" customHeight="1">
      <c r="A583" s="36"/>
      <c r="B583" s="32"/>
      <c r="C583" s="31"/>
      <c r="D583" s="31"/>
      <c r="E583" s="42" t="s">
        <v>565</v>
      </c>
      <c r="F583" s="42" t="s">
        <v>785</v>
      </c>
      <c r="G583" s="45">
        <v>187</v>
      </c>
    </row>
    <row r="584" spans="1:7" ht="15.75" customHeight="1">
      <c r="A584" s="36"/>
      <c r="B584" s="32"/>
      <c r="C584" s="31"/>
      <c r="D584" s="31"/>
      <c r="E584" s="52"/>
      <c r="F584" s="53" t="s">
        <v>787</v>
      </c>
      <c r="G584" s="54">
        <v>162</v>
      </c>
    </row>
    <row r="585" spans="1:7" ht="15.75" customHeight="1">
      <c r="A585" s="36"/>
      <c r="B585" s="32"/>
      <c r="C585" s="31"/>
      <c r="D585" s="31"/>
      <c r="E585" s="42" t="s">
        <v>566</v>
      </c>
      <c r="F585" s="42" t="s">
        <v>785</v>
      </c>
      <c r="G585" s="45">
        <v>201</v>
      </c>
    </row>
    <row r="586" spans="1:7" ht="15.75" customHeight="1">
      <c r="A586" s="36"/>
      <c r="B586" s="32"/>
      <c r="C586" s="31"/>
      <c r="D586" s="31"/>
      <c r="E586" s="52"/>
      <c r="F586" s="53" t="s">
        <v>787</v>
      </c>
      <c r="G586" s="54">
        <v>178</v>
      </c>
    </row>
    <row r="587" spans="1:7" ht="15.75" customHeight="1">
      <c r="A587" s="36"/>
      <c r="B587" s="32"/>
      <c r="C587" s="31"/>
      <c r="D587" s="31"/>
      <c r="E587" s="42" t="s">
        <v>582</v>
      </c>
      <c r="F587" s="42" t="s">
        <v>785</v>
      </c>
      <c r="G587" s="45">
        <v>294</v>
      </c>
    </row>
    <row r="588" spans="1:7" ht="15.75" customHeight="1">
      <c r="A588" s="36"/>
      <c r="B588" s="32"/>
      <c r="C588" s="31"/>
      <c r="D588" s="31"/>
      <c r="E588" s="52"/>
      <c r="F588" s="53" t="s">
        <v>787</v>
      </c>
      <c r="G588" s="54">
        <v>281</v>
      </c>
    </row>
    <row r="589" spans="1:7" ht="15.75" customHeight="1">
      <c r="A589" s="36"/>
      <c r="B589" s="32"/>
      <c r="C589" s="31"/>
      <c r="D589" s="31"/>
      <c r="E589" s="42" t="s">
        <v>576</v>
      </c>
      <c r="F589" s="42" t="s">
        <v>785</v>
      </c>
      <c r="G589" s="45">
        <v>50</v>
      </c>
    </row>
    <row r="590" spans="1:7" ht="15.75" customHeight="1">
      <c r="A590" s="36"/>
      <c r="B590" s="32"/>
      <c r="C590" s="31"/>
      <c r="D590" s="31"/>
      <c r="E590" s="52"/>
      <c r="F590" s="53" t="s">
        <v>787</v>
      </c>
      <c r="G590" s="54">
        <v>18</v>
      </c>
    </row>
    <row r="591" spans="1:7" ht="15.75" customHeight="1">
      <c r="A591" s="36"/>
      <c r="B591" s="32"/>
      <c r="C591" s="31"/>
      <c r="D591" s="31"/>
      <c r="E591" s="42" t="s">
        <v>583</v>
      </c>
      <c r="F591" s="42" t="s">
        <v>785</v>
      </c>
      <c r="G591" s="45">
        <v>201</v>
      </c>
    </row>
    <row r="592" spans="1:7" ht="15.75" customHeight="1">
      <c r="A592" s="36"/>
      <c r="B592" s="32"/>
      <c r="C592" s="31"/>
      <c r="D592" s="31"/>
      <c r="E592" s="52"/>
      <c r="F592" s="53" t="s">
        <v>787</v>
      </c>
      <c r="G592" s="54">
        <v>191</v>
      </c>
    </row>
    <row r="593" spans="1:7" ht="15.75" customHeight="1">
      <c r="A593" s="36"/>
      <c r="B593" s="32"/>
      <c r="C593" s="31"/>
      <c r="D593" s="31"/>
      <c r="E593" s="42" t="s">
        <v>190</v>
      </c>
      <c r="F593" s="42" t="s">
        <v>785</v>
      </c>
      <c r="G593" s="45">
        <v>20</v>
      </c>
    </row>
    <row r="594" spans="1:7" ht="15.75" customHeight="1">
      <c r="A594" s="36"/>
      <c r="B594" s="32"/>
      <c r="C594" s="31"/>
      <c r="D594" s="31"/>
      <c r="E594" s="52"/>
      <c r="F594" s="53" t="s">
        <v>787</v>
      </c>
      <c r="G594" s="54">
        <v>13</v>
      </c>
    </row>
    <row r="595" spans="1:7" ht="15.75" customHeight="1">
      <c r="A595" s="36"/>
      <c r="B595" s="32"/>
      <c r="C595" s="31"/>
      <c r="D595" s="31"/>
      <c r="E595" s="42" t="s">
        <v>445</v>
      </c>
      <c r="F595" s="42" t="s">
        <v>785</v>
      </c>
      <c r="G595" s="45">
        <v>1</v>
      </c>
    </row>
    <row r="596" spans="1:7" ht="15.75" customHeight="1">
      <c r="A596" s="36"/>
      <c r="B596" s="32"/>
      <c r="C596" s="31"/>
      <c r="D596" s="31"/>
      <c r="E596" s="52"/>
      <c r="F596" s="53" t="s">
        <v>787</v>
      </c>
      <c r="G596" s="54">
        <v>1</v>
      </c>
    </row>
    <row r="597" spans="1:7" ht="15.75" customHeight="1">
      <c r="A597" s="36"/>
      <c r="B597" s="32"/>
      <c r="C597" s="31"/>
      <c r="D597" s="31"/>
      <c r="E597" s="42" t="s">
        <v>36</v>
      </c>
      <c r="F597" s="42" t="s">
        <v>785</v>
      </c>
      <c r="G597" s="45">
        <v>24</v>
      </c>
    </row>
    <row r="598" spans="1:7" ht="15.75" customHeight="1">
      <c r="A598" s="36"/>
      <c r="B598" s="32"/>
      <c r="C598" s="31"/>
      <c r="D598" s="31"/>
      <c r="E598" s="52"/>
      <c r="F598" s="53" t="s">
        <v>787</v>
      </c>
      <c r="G598" s="54">
        <v>21</v>
      </c>
    </row>
    <row r="599" spans="1:7" ht="15.75" customHeight="1">
      <c r="A599" s="36"/>
      <c r="B599" s="32"/>
      <c r="C599" s="31"/>
      <c r="D599" s="31"/>
      <c r="E599" s="42" t="s">
        <v>192</v>
      </c>
      <c r="F599" s="42" t="s">
        <v>785</v>
      </c>
      <c r="G599" s="45">
        <v>7</v>
      </c>
    </row>
    <row r="600" spans="1:7" ht="15.75" customHeight="1">
      <c r="A600" s="36"/>
      <c r="B600" s="32"/>
      <c r="C600" s="31"/>
      <c r="D600" s="31"/>
      <c r="E600" s="52"/>
      <c r="F600" s="53" t="s">
        <v>787</v>
      </c>
      <c r="G600" s="54">
        <v>7</v>
      </c>
    </row>
    <row r="601" spans="1:7" ht="15.75" customHeight="1">
      <c r="A601" s="36"/>
      <c r="B601" s="32"/>
      <c r="C601" s="31"/>
      <c r="D601" s="31"/>
      <c r="E601" s="42" t="s">
        <v>359</v>
      </c>
      <c r="F601" s="42" t="s">
        <v>785</v>
      </c>
      <c r="G601" s="45">
        <v>400</v>
      </c>
    </row>
    <row r="602" spans="1:7" ht="15.75" customHeight="1">
      <c r="A602" s="36"/>
      <c r="B602" s="32"/>
      <c r="C602" s="31"/>
      <c r="D602" s="31"/>
      <c r="E602" s="52"/>
      <c r="F602" s="53" t="s">
        <v>787</v>
      </c>
      <c r="G602" s="54">
        <v>383</v>
      </c>
    </row>
    <row r="603" spans="1:7" ht="15.75" customHeight="1">
      <c r="A603" s="36"/>
      <c r="B603" s="32"/>
      <c r="C603" s="31"/>
      <c r="D603" s="31"/>
      <c r="E603" s="42" t="s">
        <v>357</v>
      </c>
      <c r="F603" s="42" t="s">
        <v>785</v>
      </c>
      <c r="G603" s="45">
        <v>3</v>
      </c>
    </row>
    <row r="604" spans="1:7" ht="15.75" customHeight="1">
      <c r="A604" s="36"/>
      <c r="B604" s="32"/>
      <c r="C604" s="31"/>
      <c r="D604" s="31"/>
      <c r="E604" s="52"/>
      <c r="F604" s="53" t="s">
        <v>787</v>
      </c>
      <c r="G604" s="54">
        <v>3</v>
      </c>
    </row>
    <row r="605" spans="1:7" ht="15.75" customHeight="1">
      <c r="A605" s="36"/>
      <c r="B605" s="32"/>
      <c r="C605" s="31"/>
      <c r="D605" s="31"/>
      <c r="E605" s="42" t="s">
        <v>364</v>
      </c>
      <c r="F605" s="42" t="s">
        <v>785</v>
      </c>
      <c r="G605" s="45">
        <v>50</v>
      </c>
    </row>
    <row r="606" spans="1:7" ht="15.75" customHeight="1">
      <c r="A606" s="36"/>
      <c r="B606" s="32"/>
      <c r="C606" s="31"/>
      <c r="D606" s="31"/>
      <c r="E606" s="52"/>
      <c r="F606" s="53" t="s">
        <v>787</v>
      </c>
      <c r="G606" s="54">
        <v>41</v>
      </c>
    </row>
    <row r="607" spans="1:7" ht="15.75" customHeight="1">
      <c r="A607" s="36"/>
      <c r="B607" s="32"/>
      <c r="C607" s="31"/>
      <c r="D607" s="31"/>
      <c r="E607" s="42" t="s">
        <v>361</v>
      </c>
      <c r="F607" s="42" t="s">
        <v>785</v>
      </c>
      <c r="G607" s="45">
        <v>50</v>
      </c>
    </row>
    <row r="608" spans="1:7" ht="15.75" customHeight="1">
      <c r="A608" s="36"/>
      <c r="B608" s="32"/>
      <c r="C608" s="31"/>
      <c r="D608" s="31"/>
      <c r="E608" s="52"/>
      <c r="F608" s="53" t="s">
        <v>787</v>
      </c>
      <c r="G608" s="54">
        <v>18</v>
      </c>
    </row>
    <row r="609" spans="1:7" ht="15.75" customHeight="1">
      <c r="A609" s="36"/>
      <c r="B609" s="32"/>
      <c r="C609" s="31"/>
      <c r="D609" s="31"/>
      <c r="E609" s="42" t="s">
        <v>363</v>
      </c>
      <c r="F609" s="42" t="s">
        <v>785</v>
      </c>
      <c r="G609" s="45">
        <v>308</v>
      </c>
    </row>
    <row r="610" spans="1:7" ht="15.75" customHeight="1">
      <c r="A610" s="36"/>
      <c r="B610" s="32"/>
      <c r="C610" s="31"/>
      <c r="D610" s="31"/>
      <c r="E610" s="52"/>
      <c r="F610" s="53" t="s">
        <v>787</v>
      </c>
      <c r="G610" s="54">
        <v>276</v>
      </c>
    </row>
    <row r="611" spans="1:7" ht="15.75" customHeight="1">
      <c r="A611" s="36"/>
      <c r="B611" s="32"/>
      <c r="C611" s="31"/>
      <c r="D611" s="31"/>
      <c r="E611" s="42" t="s">
        <v>358</v>
      </c>
      <c r="F611" s="42" t="s">
        <v>785</v>
      </c>
      <c r="G611" s="45">
        <v>70</v>
      </c>
    </row>
    <row r="612" spans="1:7" ht="15.75" customHeight="1">
      <c r="A612" s="36"/>
      <c r="B612" s="32"/>
      <c r="C612" s="31"/>
      <c r="D612" s="31"/>
      <c r="E612" s="52"/>
      <c r="F612" s="53" t="s">
        <v>787</v>
      </c>
      <c r="G612" s="54">
        <v>70</v>
      </c>
    </row>
    <row r="613" spans="1:7" ht="15.75" customHeight="1">
      <c r="A613" s="36"/>
      <c r="B613" s="32"/>
      <c r="C613" s="31"/>
      <c r="D613" s="31"/>
      <c r="E613" s="42" t="s">
        <v>194</v>
      </c>
      <c r="F613" s="42" t="s">
        <v>785</v>
      </c>
      <c r="G613" s="45">
        <v>6</v>
      </c>
    </row>
    <row r="614" spans="1:7" ht="15.75" customHeight="1">
      <c r="A614" s="36"/>
      <c r="B614" s="32"/>
      <c r="C614" s="31"/>
      <c r="D614" s="31"/>
      <c r="E614" s="52"/>
      <c r="F614" s="53" t="s">
        <v>787</v>
      </c>
      <c r="G614" s="54">
        <v>6</v>
      </c>
    </row>
    <row r="615" spans="1:7" ht="15.75" customHeight="1">
      <c r="A615" s="36"/>
      <c r="B615" s="32"/>
      <c r="C615" s="31"/>
      <c r="D615" s="31"/>
      <c r="E615" s="42" t="s">
        <v>195</v>
      </c>
      <c r="F615" s="42" t="s">
        <v>785</v>
      </c>
      <c r="G615" s="45">
        <v>2</v>
      </c>
    </row>
    <row r="616" spans="1:7" ht="15.75" customHeight="1">
      <c r="A616" s="36"/>
      <c r="B616" s="32"/>
      <c r="C616" s="31"/>
      <c r="D616" s="31"/>
      <c r="E616" s="52"/>
      <c r="F616" s="53" t="s">
        <v>787</v>
      </c>
      <c r="G616" s="54">
        <v>2</v>
      </c>
    </row>
    <row r="617" spans="1:7" ht="15.75" customHeight="1">
      <c r="A617" s="36"/>
      <c r="B617" s="32"/>
      <c r="C617" s="31"/>
      <c r="D617" s="31"/>
      <c r="E617" s="42" t="s">
        <v>196</v>
      </c>
      <c r="F617" s="42" t="s">
        <v>785</v>
      </c>
      <c r="G617" s="45">
        <v>6</v>
      </c>
    </row>
    <row r="618" spans="1:7" ht="15.75" customHeight="1">
      <c r="A618" s="36"/>
      <c r="B618" s="32"/>
      <c r="C618" s="31"/>
      <c r="D618" s="31"/>
      <c r="E618" s="52"/>
      <c r="F618" s="53" t="s">
        <v>787</v>
      </c>
      <c r="G618" s="54">
        <v>6</v>
      </c>
    </row>
    <row r="619" spans="1:7" ht="15.75" customHeight="1">
      <c r="A619" s="36"/>
      <c r="B619" s="32"/>
      <c r="C619" s="31"/>
      <c r="D619" s="31"/>
      <c r="E619" s="42" t="s">
        <v>193</v>
      </c>
      <c r="F619" s="42" t="s">
        <v>785</v>
      </c>
      <c r="G619" s="45">
        <v>13</v>
      </c>
    </row>
    <row r="620" spans="1:7" ht="15.75" customHeight="1">
      <c r="A620" s="36"/>
      <c r="B620" s="32"/>
      <c r="C620" s="31"/>
      <c r="D620" s="31"/>
      <c r="E620" s="52"/>
      <c r="F620" s="53" t="s">
        <v>787</v>
      </c>
      <c r="G620" s="54">
        <v>13</v>
      </c>
    </row>
    <row r="621" spans="1:7" ht="15.75" customHeight="1">
      <c r="A621" s="36"/>
      <c r="B621" s="32"/>
      <c r="C621" s="31"/>
      <c r="D621" s="31"/>
      <c r="E621" s="42" t="s">
        <v>198</v>
      </c>
      <c r="F621" s="42" t="s">
        <v>785</v>
      </c>
      <c r="G621" s="45">
        <v>8</v>
      </c>
    </row>
    <row r="622" spans="1:7" ht="15.75" customHeight="1">
      <c r="A622" s="36"/>
      <c r="B622" s="32"/>
      <c r="C622" s="31"/>
      <c r="D622" s="31"/>
      <c r="E622" s="52"/>
      <c r="F622" s="53" t="s">
        <v>787</v>
      </c>
      <c r="G622" s="54">
        <v>8</v>
      </c>
    </row>
    <row r="623" spans="1:7" ht="15.75" customHeight="1">
      <c r="A623" s="36"/>
      <c r="B623" s="32"/>
      <c r="C623" s="31"/>
      <c r="D623" s="31"/>
      <c r="E623" s="42" t="s">
        <v>199</v>
      </c>
      <c r="F623" s="42" t="s">
        <v>785</v>
      </c>
      <c r="G623" s="45">
        <v>18</v>
      </c>
    </row>
    <row r="624" spans="1:7" ht="15.75" customHeight="1">
      <c r="A624" s="36"/>
      <c r="B624" s="32"/>
      <c r="C624" s="31"/>
      <c r="D624" s="31"/>
      <c r="E624" s="52"/>
      <c r="F624" s="53" t="s">
        <v>787</v>
      </c>
      <c r="G624" s="54">
        <v>18</v>
      </c>
    </row>
    <row r="625" spans="1:7" ht="15.75" customHeight="1">
      <c r="A625" s="36"/>
      <c r="B625" s="32"/>
      <c r="C625" s="31"/>
      <c r="D625" s="31"/>
      <c r="E625" s="42" t="s">
        <v>197</v>
      </c>
      <c r="F625" s="42" t="s">
        <v>785</v>
      </c>
      <c r="G625" s="45">
        <v>8</v>
      </c>
    </row>
    <row r="626" spans="1:7" ht="15.75" customHeight="1">
      <c r="A626" s="36"/>
      <c r="B626" s="32"/>
      <c r="C626" s="31"/>
      <c r="D626" s="31"/>
      <c r="E626" s="52"/>
      <c r="F626" s="53" t="s">
        <v>787</v>
      </c>
      <c r="G626" s="54">
        <v>8</v>
      </c>
    </row>
    <row r="627" spans="1:7" ht="15.75" customHeight="1">
      <c r="A627" s="36"/>
      <c r="B627" s="32"/>
      <c r="C627" s="31"/>
      <c r="D627" s="31"/>
      <c r="E627" s="42" t="s">
        <v>201</v>
      </c>
      <c r="F627" s="42" t="s">
        <v>785</v>
      </c>
      <c r="G627" s="45">
        <v>28</v>
      </c>
    </row>
    <row r="628" spans="1:7" ht="15.75" customHeight="1">
      <c r="A628" s="36"/>
      <c r="B628" s="32"/>
      <c r="C628" s="31"/>
      <c r="D628" s="31"/>
      <c r="E628" s="52"/>
      <c r="F628" s="53" t="s">
        <v>787</v>
      </c>
      <c r="G628" s="54">
        <v>28</v>
      </c>
    </row>
    <row r="629" spans="1:7" ht="15.75" customHeight="1">
      <c r="A629" s="36"/>
      <c r="B629" s="32"/>
      <c r="C629" s="31"/>
      <c r="D629" s="31"/>
      <c r="E629" s="42" t="s">
        <v>202</v>
      </c>
      <c r="F629" s="42" t="s">
        <v>785</v>
      </c>
      <c r="G629" s="45">
        <v>19</v>
      </c>
    </row>
    <row r="630" spans="1:7" ht="15.75" customHeight="1">
      <c r="A630" s="36"/>
      <c r="B630" s="32"/>
      <c r="C630" s="31"/>
      <c r="D630" s="31"/>
      <c r="E630" s="52"/>
      <c r="F630" s="53" t="s">
        <v>787</v>
      </c>
      <c r="G630" s="54">
        <v>19</v>
      </c>
    </row>
    <row r="631" spans="1:7" ht="15.75" customHeight="1">
      <c r="A631" s="36"/>
      <c r="B631" s="32"/>
      <c r="C631" s="31"/>
      <c r="D631" s="31"/>
      <c r="E631" s="42" t="s">
        <v>203</v>
      </c>
      <c r="F631" s="42" t="s">
        <v>785</v>
      </c>
      <c r="G631" s="45">
        <v>20</v>
      </c>
    </row>
    <row r="632" spans="1:7" ht="15.75" customHeight="1">
      <c r="A632" s="36"/>
      <c r="B632" s="32"/>
      <c r="C632" s="31"/>
      <c r="D632" s="31"/>
      <c r="E632" s="52"/>
      <c r="F632" s="53" t="s">
        <v>787</v>
      </c>
      <c r="G632" s="54">
        <v>20</v>
      </c>
    </row>
    <row r="633" spans="1:7" ht="15.75" customHeight="1">
      <c r="A633" s="36"/>
      <c r="B633" s="32"/>
      <c r="C633" s="31"/>
      <c r="D633" s="31"/>
      <c r="E633" s="42" t="s">
        <v>200</v>
      </c>
      <c r="F633" s="42" t="s">
        <v>785</v>
      </c>
      <c r="G633" s="45">
        <v>17</v>
      </c>
    </row>
    <row r="634" spans="1:7" ht="15.75" customHeight="1">
      <c r="A634" s="36"/>
      <c r="B634" s="32"/>
      <c r="C634" s="31"/>
      <c r="D634" s="31"/>
      <c r="E634" s="52"/>
      <c r="F634" s="53" t="s">
        <v>787</v>
      </c>
      <c r="G634" s="54">
        <v>17</v>
      </c>
    </row>
    <row r="635" spans="1:7" ht="15.75" customHeight="1">
      <c r="A635" s="36"/>
      <c r="B635" s="32"/>
      <c r="C635" s="31"/>
      <c r="D635" s="31"/>
      <c r="E635" s="42" t="s">
        <v>372</v>
      </c>
      <c r="F635" s="42" t="s">
        <v>785</v>
      </c>
      <c r="G635" s="45">
        <v>1000</v>
      </c>
    </row>
    <row r="636" spans="1:7" ht="15.75" customHeight="1">
      <c r="A636" s="36"/>
      <c r="B636" s="32"/>
      <c r="C636" s="31"/>
      <c r="D636" s="31"/>
      <c r="E636" s="52"/>
      <c r="F636" s="53" t="s">
        <v>787</v>
      </c>
      <c r="G636" s="54">
        <v>900</v>
      </c>
    </row>
    <row r="637" spans="1:7" ht="15.75" customHeight="1">
      <c r="A637" s="36"/>
      <c r="B637" s="32"/>
      <c r="C637" s="31"/>
      <c r="D637" s="31"/>
      <c r="E637" s="42" t="s">
        <v>365</v>
      </c>
      <c r="F637" s="42" t="s">
        <v>785</v>
      </c>
      <c r="G637" s="45">
        <v>100</v>
      </c>
    </row>
    <row r="638" spans="1:7" ht="15.75" customHeight="1">
      <c r="A638" s="36"/>
      <c r="B638" s="32"/>
      <c r="C638" s="31"/>
      <c r="D638" s="31"/>
      <c r="E638" s="52"/>
      <c r="F638" s="53" t="s">
        <v>787</v>
      </c>
      <c r="G638" s="54">
        <v>99</v>
      </c>
    </row>
    <row r="639" spans="1:7" ht="15.75" customHeight="1">
      <c r="A639" s="36"/>
      <c r="B639" s="32"/>
      <c r="C639" s="31"/>
      <c r="D639" s="31"/>
      <c r="E639" s="42" t="s">
        <v>671</v>
      </c>
      <c r="F639" s="42" t="s">
        <v>785</v>
      </c>
      <c r="G639" s="45">
        <v>26</v>
      </c>
    </row>
    <row r="640" spans="1:7" ht="15.75" customHeight="1">
      <c r="A640" s="36"/>
      <c r="B640" s="32"/>
      <c r="C640" s="31"/>
      <c r="D640" s="31"/>
      <c r="E640" s="52"/>
      <c r="F640" s="53" t="s">
        <v>787</v>
      </c>
      <c r="G640" s="54">
        <v>26</v>
      </c>
    </row>
    <row r="641" spans="1:7" ht="15.75" customHeight="1">
      <c r="A641" s="36"/>
      <c r="B641" s="32"/>
      <c r="C641" s="31"/>
      <c r="D641" s="31"/>
      <c r="E641" s="42" t="s">
        <v>675</v>
      </c>
      <c r="F641" s="42" t="s">
        <v>785</v>
      </c>
      <c r="G641" s="45">
        <v>22</v>
      </c>
    </row>
    <row r="642" spans="1:7" ht="15.75" customHeight="1">
      <c r="A642" s="36"/>
      <c r="B642" s="32"/>
      <c r="C642" s="31"/>
      <c r="D642" s="31"/>
      <c r="E642" s="52"/>
      <c r="F642" s="53" t="s">
        <v>787</v>
      </c>
      <c r="G642" s="54">
        <v>22</v>
      </c>
    </row>
    <row r="643" spans="1:7" ht="15.75" customHeight="1">
      <c r="A643" s="36"/>
      <c r="B643" s="32"/>
      <c r="C643" s="31"/>
      <c r="D643" s="31"/>
      <c r="E643" s="42" t="s">
        <v>672</v>
      </c>
      <c r="F643" s="42" t="s">
        <v>785</v>
      </c>
      <c r="G643" s="45">
        <v>67</v>
      </c>
    </row>
    <row r="644" spans="1:7" ht="15.75" customHeight="1">
      <c r="A644" s="36"/>
      <c r="B644" s="32"/>
      <c r="C644" s="31"/>
      <c r="D644" s="31"/>
      <c r="E644" s="52"/>
      <c r="F644" s="53" t="s">
        <v>787</v>
      </c>
      <c r="G644" s="54">
        <v>67</v>
      </c>
    </row>
    <row r="645" spans="1:7" ht="15.75" customHeight="1">
      <c r="A645" s="36"/>
      <c r="B645" s="32"/>
      <c r="C645" s="31"/>
      <c r="D645" s="31"/>
      <c r="E645" s="42" t="s">
        <v>674</v>
      </c>
      <c r="F645" s="42" t="s">
        <v>785</v>
      </c>
      <c r="G645" s="45">
        <v>9</v>
      </c>
    </row>
    <row r="646" spans="1:7" ht="15.75" customHeight="1">
      <c r="A646" s="36"/>
      <c r="B646" s="32"/>
      <c r="C646" s="31"/>
      <c r="D646" s="31"/>
      <c r="E646" s="52"/>
      <c r="F646" s="53" t="s">
        <v>787</v>
      </c>
      <c r="G646" s="54">
        <v>8</v>
      </c>
    </row>
    <row r="647" spans="1:7" ht="15.75" customHeight="1">
      <c r="A647" s="36"/>
      <c r="B647" s="32"/>
      <c r="C647" s="31"/>
      <c r="D647" s="31"/>
      <c r="E647" s="42" t="s">
        <v>673</v>
      </c>
      <c r="F647" s="42" t="s">
        <v>785</v>
      </c>
      <c r="G647" s="45">
        <v>17</v>
      </c>
    </row>
    <row r="648" spans="1:7" ht="15.75" customHeight="1">
      <c r="A648" s="36"/>
      <c r="B648" s="32"/>
      <c r="C648" s="31"/>
      <c r="D648" s="31"/>
      <c r="E648" s="52"/>
      <c r="F648" s="53" t="s">
        <v>787</v>
      </c>
      <c r="G648" s="54">
        <v>17</v>
      </c>
    </row>
    <row r="649" spans="1:7" ht="15.75" customHeight="1">
      <c r="A649" s="36"/>
      <c r="B649" s="32"/>
      <c r="C649" s="31"/>
      <c r="D649" s="31"/>
      <c r="E649" s="42" t="s">
        <v>204</v>
      </c>
      <c r="F649" s="42" t="s">
        <v>785</v>
      </c>
      <c r="G649" s="45">
        <v>8</v>
      </c>
    </row>
    <row r="650" spans="1:7" ht="15.75" customHeight="1">
      <c r="A650" s="36"/>
      <c r="B650" s="32"/>
      <c r="C650" s="31"/>
      <c r="D650" s="31"/>
      <c r="E650" s="52"/>
      <c r="F650" s="53" t="s">
        <v>787</v>
      </c>
      <c r="G650" s="54">
        <v>8</v>
      </c>
    </row>
    <row r="651" spans="1:7" ht="15.75" customHeight="1">
      <c r="A651" s="36"/>
      <c r="B651" s="32"/>
      <c r="C651" s="31"/>
      <c r="D651" s="31"/>
      <c r="E651" s="42" t="s">
        <v>590</v>
      </c>
      <c r="F651" s="42" t="s">
        <v>785</v>
      </c>
      <c r="G651" s="45">
        <v>12</v>
      </c>
    </row>
    <row r="652" spans="1:7" ht="15.75" customHeight="1">
      <c r="A652" s="36"/>
      <c r="B652" s="32"/>
      <c r="C652" s="31"/>
      <c r="D652" s="31"/>
      <c r="E652" s="52"/>
      <c r="F652" s="53" t="s">
        <v>787</v>
      </c>
      <c r="G652" s="54">
        <v>12</v>
      </c>
    </row>
    <row r="653" spans="1:7" ht="15.75" customHeight="1">
      <c r="A653" s="36"/>
      <c r="B653" s="32"/>
      <c r="C653" s="31"/>
      <c r="D653" s="31"/>
      <c r="E653" s="42" t="s">
        <v>591</v>
      </c>
      <c r="F653" s="42" t="s">
        <v>785</v>
      </c>
      <c r="G653" s="45">
        <v>806</v>
      </c>
    </row>
    <row r="654" spans="1:7" ht="15.75" customHeight="1">
      <c r="A654" s="36"/>
      <c r="B654" s="32"/>
      <c r="C654" s="31"/>
      <c r="D654" s="31"/>
      <c r="E654" s="52"/>
      <c r="F654" s="53" t="s">
        <v>787</v>
      </c>
      <c r="G654" s="54">
        <v>806</v>
      </c>
    </row>
    <row r="655" spans="1:7" ht="15.75" customHeight="1">
      <c r="A655" s="36"/>
      <c r="B655" s="32"/>
      <c r="C655" s="31"/>
      <c r="D655" s="31"/>
      <c r="E655" s="42" t="s">
        <v>456</v>
      </c>
      <c r="F655" s="42" t="s">
        <v>785</v>
      </c>
      <c r="G655" s="45">
        <v>500</v>
      </c>
    </row>
    <row r="656" spans="1:7" ht="15.75" customHeight="1">
      <c r="A656" s="36"/>
      <c r="B656" s="32"/>
      <c r="C656" s="31"/>
      <c r="D656" s="31"/>
      <c r="E656" s="52"/>
      <c r="F656" s="53" t="s">
        <v>787</v>
      </c>
      <c r="G656" s="54">
        <v>375</v>
      </c>
    </row>
    <row r="657" spans="1:7" ht="15.75" customHeight="1">
      <c r="A657" s="36"/>
      <c r="B657" s="32"/>
      <c r="C657" s="31"/>
      <c r="D657" s="31"/>
      <c r="E657" s="42" t="s">
        <v>458</v>
      </c>
      <c r="F657" s="42" t="s">
        <v>785</v>
      </c>
      <c r="G657" s="45">
        <v>500</v>
      </c>
    </row>
    <row r="658" spans="1:7" ht="15.75" customHeight="1">
      <c r="A658" s="36"/>
      <c r="B658" s="32"/>
      <c r="C658" s="31"/>
      <c r="D658" s="31"/>
      <c r="E658" s="52"/>
      <c r="F658" s="53" t="s">
        <v>787</v>
      </c>
      <c r="G658" s="54">
        <v>427</v>
      </c>
    </row>
    <row r="659" spans="1:7" ht="15.75" customHeight="1">
      <c r="A659" s="36"/>
      <c r="B659" s="32"/>
      <c r="C659" s="31"/>
      <c r="D659" s="31"/>
      <c r="E659" s="42" t="s">
        <v>453</v>
      </c>
      <c r="F659" s="42" t="s">
        <v>785</v>
      </c>
      <c r="G659" s="45">
        <v>529</v>
      </c>
    </row>
    <row r="660" spans="1:7" ht="15.75" customHeight="1">
      <c r="A660" s="36"/>
      <c r="B660" s="32"/>
      <c r="C660" s="31"/>
      <c r="D660" s="31"/>
      <c r="E660" s="52"/>
      <c r="F660" s="53" t="s">
        <v>787</v>
      </c>
      <c r="G660" s="54">
        <v>529</v>
      </c>
    </row>
    <row r="661" spans="1:7" ht="15.75" customHeight="1">
      <c r="A661" s="36"/>
      <c r="B661" s="32"/>
      <c r="C661" s="31"/>
      <c r="D661" s="31"/>
      <c r="E661" s="42" t="s">
        <v>589</v>
      </c>
      <c r="F661" s="42" t="s">
        <v>785</v>
      </c>
      <c r="G661" s="45">
        <v>5</v>
      </c>
    </row>
    <row r="662" spans="1:7" ht="15.75" customHeight="1">
      <c r="A662" s="36"/>
      <c r="B662" s="32"/>
      <c r="C662" s="31"/>
      <c r="D662" s="31"/>
      <c r="E662" s="52"/>
      <c r="F662" s="53" t="s">
        <v>787</v>
      </c>
      <c r="G662" s="54">
        <v>5</v>
      </c>
    </row>
    <row r="663" spans="1:7" ht="15.75" customHeight="1">
      <c r="A663" s="36"/>
      <c r="B663" s="32"/>
      <c r="C663" s="31"/>
      <c r="D663" s="31"/>
      <c r="E663" s="42" t="s">
        <v>585</v>
      </c>
      <c r="F663" s="42" t="s">
        <v>785</v>
      </c>
      <c r="G663" s="45">
        <v>1000</v>
      </c>
    </row>
    <row r="664" spans="1:7" ht="15.75" customHeight="1">
      <c r="A664" s="36"/>
      <c r="B664" s="32"/>
      <c r="C664" s="31"/>
      <c r="D664" s="31"/>
      <c r="E664" s="52"/>
      <c r="F664" s="53" t="s">
        <v>787</v>
      </c>
      <c r="G664" s="54">
        <v>814</v>
      </c>
    </row>
    <row r="665" spans="1:7" ht="15.75" customHeight="1">
      <c r="A665" s="36"/>
      <c r="B665" s="32"/>
      <c r="C665" s="31"/>
      <c r="D665" s="31"/>
      <c r="E665" s="42" t="s">
        <v>588</v>
      </c>
      <c r="F665" s="42" t="s">
        <v>785</v>
      </c>
      <c r="G665" s="45">
        <v>391</v>
      </c>
    </row>
    <row r="666" spans="1:7" ht="15.75" customHeight="1">
      <c r="A666" s="36"/>
      <c r="B666" s="32"/>
      <c r="C666" s="31"/>
      <c r="D666" s="31"/>
      <c r="E666" s="52"/>
      <c r="F666" s="53" t="s">
        <v>787</v>
      </c>
      <c r="G666" s="54">
        <v>334</v>
      </c>
    </row>
    <row r="667" spans="1:7" ht="15.75" customHeight="1">
      <c r="A667" s="36"/>
      <c r="B667" s="32"/>
      <c r="C667" s="31"/>
      <c r="D667" s="31"/>
      <c r="E667" s="42" t="s">
        <v>592</v>
      </c>
      <c r="F667" s="42" t="s">
        <v>785</v>
      </c>
      <c r="G667" s="45">
        <v>62</v>
      </c>
    </row>
    <row r="668" spans="1:7" ht="15.75" customHeight="1">
      <c r="A668" s="36"/>
      <c r="B668" s="32"/>
      <c r="C668" s="31"/>
      <c r="D668" s="31"/>
      <c r="E668" s="52"/>
      <c r="F668" s="53" t="s">
        <v>787</v>
      </c>
      <c r="G668" s="54">
        <v>62</v>
      </c>
    </row>
    <row r="669" spans="1:7" ht="15.75" customHeight="1">
      <c r="A669" s="36"/>
      <c r="B669" s="32"/>
      <c r="C669" s="31"/>
      <c r="D669" s="31"/>
      <c r="E669" s="42" t="s">
        <v>376</v>
      </c>
      <c r="F669" s="42" t="s">
        <v>785</v>
      </c>
      <c r="G669" s="45">
        <v>400</v>
      </c>
    </row>
    <row r="670" spans="1:7" ht="15.75" customHeight="1">
      <c r="A670" s="36"/>
      <c r="B670" s="32"/>
      <c r="C670" s="31"/>
      <c r="D670" s="31"/>
      <c r="E670" s="52"/>
      <c r="F670" s="53" t="s">
        <v>787</v>
      </c>
      <c r="G670" s="54">
        <v>395</v>
      </c>
    </row>
    <row r="671" spans="1:7" ht="15.75" customHeight="1">
      <c r="A671" s="36"/>
      <c r="B671" s="32"/>
      <c r="C671" s="31"/>
      <c r="D671" s="31"/>
      <c r="E671" s="42" t="s">
        <v>367</v>
      </c>
      <c r="F671" s="42" t="s">
        <v>785</v>
      </c>
      <c r="G671" s="45">
        <v>22</v>
      </c>
    </row>
    <row r="672" spans="1:7" ht="15.75" customHeight="1">
      <c r="A672" s="36"/>
      <c r="B672" s="32"/>
      <c r="C672" s="31"/>
      <c r="D672" s="31"/>
      <c r="E672" s="52"/>
      <c r="F672" s="53" t="s">
        <v>787</v>
      </c>
      <c r="G672" s="54">
        <v>22</v>
      </c>
    </row>
    <row r="673" spans="1:7" ht="15.75" customHeight="1">
      <c r="A673" s="36"/>
      <c r="B673" s="32"/>
      <c r="C673" s="31"/>
      <c r="D673" s="31"/>
      <c r="E673" s="42" t="s">
        <v>460</v>
      </c>
      <c r="F673" s="42" t="s">
        <v>785</v>
      </c>
      <c r="G673" s="45">
        <v>200</v>
      </c>
    </row>
    <row r="674" spans="1:7" ht="15.75" customHeight="1">
      <c r="A674" s="36"/>
      <c r="B674" s="32"/>
      <c r="C674" s="31"/>
      <c r="D674" s="31"/>
      <c r="E674" s="52"/>
      <c r="F674" s="53" t="s">
        <v>787</v>
      </c>
      <c r="G674" s="54">
        <v>167</v>
      </c>
    </row>
    <row r="675" spans="1:7" ht="15.75" customHeight="1">
      <c r="A675" s="36"/>
      <c r="B675" s="32"/>
      <c r="C675" s="31"/>
      <c r="D675" s="31"/>
      <c r="E675" s="42" t="s">
        <v>462</v>
      </c>
      <c r="F675" s="42" t="s">
        <v>785</v>
      </c>
      <c r="G675" s="45">
        <v>200</v>
      </c>
    </row>
    <row r="676" spans="1:7" ht="15.75" customHeight="1">
      <c r="A676" s="36"/>
      <c r="B676" s="32"/>
      <c r="C676" s="31"/>
      <c r="D676" s="31"/>
      <c r="E676" s="52"/>
      <c r="F676" s="53" t="s">
        <v>787</v>
      </c>
      <c r="G676" s="54">
        <v>177</v>
      </c>
    </row>
    <row r="677" spans="1:7" ht="15.75" customHeight="1">
      <c r="A677" s="36"/>
      <c r="B677" s="32"/>
      <c r="C677" s="31"/>
      <c r="D677" s="31"/>
      <c r="E677" s="42" t="s">
        <v>464</v>
      </c>
      <c r="F677" s="42" t="s">
        <v>785</v>
      </c>
      <c r="G677" s="45">
        <v>200</v>
      </c>
    </row>
    <row r="678" spans="1:7" ht="15.75" customHeight="1">
      <c r="A678" s="36"/>
      <c r="B678" s="32"/>
      <c r="C678" s="31"/>
      <c r="D678" s="31"/>
      <c r="E678" s="52"/>
      <c r="F678" s="53" t="s">
        <v>787</v>
      </c>
      <c r="G678" s="54">
        <v>189</v>
      </c>
    </row>
    <row r="679" spans="1:7" ht="15.75" customHeight="1">
      <c r="A679" s="36"/>
      <c r="B679" s="32"/>
      <c r="C679" s="31"/>
      <c r="D679" s="31"/>
      <c r="E679" s="42" t="s">
        <v>448</v>
      </c>
      <c r="F679" s="42" t="s">
        <v>785</v>
      </c>
      <c r="G679" s="45">
        <v>20</v>
      </c>
    </row>
    <row r="680" spans="1:7" ht="15.75" customHeight="1">
      <c r="A680" s="36"/>
      <c r="B680" s="32"/>
      <c r="C680" s="31"/>
      <c r="D680" s="31"/>
      <c r="E680" s="52"/>
      <c r="F680" s="53" t="s">
        <v>787</v>
      </c>
      <c r="G680" s="54">
        <v>19</v>
      </c>
    </row>
    <row r="681" spans="1:7" ht="15.75" customHeight="1">
      <c r="A681" s="36"/>
      <c r="B681" s="32"/>
      <c r="C681" s="31"/>
      <c r="D681" s="31"/>
      <c r="E681" s="42" t="s">
        <v>450</v>
      </c>
      <c r="F681" s="42" t="s">
        <v>785</v>
      </c>
      <c r="G681" s="45">
        <v>20</v>
      </c>
    </row>
    <row r="682" spans="1:7" ht="15.75" customHeight="1">
      <c r="A682" s="36"/>
      <c r="B682" s="32"/>
      <c r="C682" s="31"/>
      <c r="D682" s="31"/>
      <c r="E682" s="52"/>
      <c r="F682" s="53" t="s">
        <v>787</v>
      </c>
      <c r="G682" s="54">
        <v>20</v>
      </c>
    </row>
    <row r="683" spans="1:7" ht="15.75" customHeight="1">
      <c r="A683" s="36"/>
      <c r="B683" s="32"/>
      <c r="C683" s="31"/>
      <c r="D683" s="31"/>
      <c r="E683" s="42" t="s">
        <v>446</v>
      </c>
      <c r="F683" s="42" t="s">
        <v>785</v>
      </c>
      <c r="G683" s="45">
        <v>20</v>
      </c>
    </row>
    <row r="684" spans="1:7" ht="15.75" customHeight="1">
      <c r="A684" s="36"/>
      <c r="B684" s="32"/>
      <c r="C684" s="31"/>
      <c r="D684" s="31"/>
      <c r="E684" s="52"/>
      <c r="F684" s="53" t="s">
        <v>787</v>
      </c>
      <c r="G684" s="54">
        <v>20</v>
      </c>
    </row>
    <row r="685" spans="1:7" ht="15.75" customHeight="1">
      <c r="A685" s="36"/>
      <c r="B685" s="32"/>
      <c r="C685" s="31"/>
      <c r="D685" s="31"/>
      <c r="E685" s="42" t="s">
        <v>451</v>
      </c>
      <c r="F685" s="42" t="s">
        <v>785</v>
      </c>
      <c r="G685" s="45">
        <v>3</v>
      </c>
    </row>
    <row r="686" spans="1:7" ht="15.75" customHeight="1">
      <c r="A686" s="36"/>
      <c r="B686" s="32"/>
      <c r="C686" s="31"/>
      <c r="D686" s="31"/>
      <c r="E686" s="52"/>
      <c r="F686" s="53" t="s">
        <v>787</v>
      </c>
      <c r="G686" s="54">
        <v>3</v>
      </c>
    </row>
    <row r="687" spans="1:7" ht="15.75" customHeight="1">
      <c r="A687" s="36"/>
      <c r="B687" s="32"/>
      <c r="C687" s="31"/>
      <c r="D687" s="31"/>
      <c r="E687" s="42" t="s">
        <v>452</v>
      </c>
      <c r="F687" s="42" t="s">
        <v>785</v>
      </c>
      <c r="G687" s="45">
        <v>28</v>
      </c>
    </row>
    <row r="688" spans="1:7" ht="15.75" customHeight="1">
      <c r="A688" s="36"/>
      <c r="B688" s="32"/>
      <c r="C688" s="31"/>
      <c r="D688" s="31"/>
      <c r="E688" s="52"/>
      <c r="F688" s="53" t="s">
        <v>787</v>
      </c>
      <c r="G688" s="54">
        <v>28</v>
      </c>
    </row>
    <row r="689" spans="1:7" ht="15.75" customHeight="1">
      <c r="A689" s="36"/>
      <c r="B689" s="32"/>
      <c r="C689" s="31"/>
      <c r="D689" s="31"/>
      <c r="E689" s="42" t="s">
        <v>370</v>
      </c>
      <c r="F689" s="42" t="s">
        <v>785</v>
      </c>
      <c r="G689" s="45">
        <v>6</v>
      </c>
    </row>
    <row r="690" spans="1:7" ht="15.75" customHeight="1">
      <c r="A690" s="36"/>
      <c r="B690" s="32"/>
      <c r="C690" s="31"/>
      <c r="D690" s="31"/>
      <c r="E690" s="52"/>
      <c r="F690" s="53" t="s">
        <v>787</v>
      </c>
      <c r="G690" s="54">
        <v>4</v>
      </c>
    </row>
    <row r="691" spans="1:7" ht="15.75" customHeight="1">
      <c r="A691" s="36"/>
      <c r="B691" s="32"/>
      <c r="C691" s="31"/>
      <c r="D691" s="31"/>
      <c r="E691" s="42" t="s">
        <v>724</v>
      </c>
      <c r="F691" s="42" t="s">
        <v>785</v>
      </c>
      <c r="G691" s="45">
        <v>1</v>
      </c>
    </row>
    <row r="692" spans="1:7" ht="15.75" customHeight="1">
      <c r="A692" s="36"/>
      <c r="B692" s="32"/>
      <c r="C692" s="31"/>
      <c r="D692" s="31"/>
      <c r="E692" s="52"/>
      <c r="F692" s="53" t="s">
        <v>787</v>
      </c>
      <c r="G692" s="54">
        <v>1</v>
      </c>
    </row>
    <row r="693" spans="1:7" ht="15.75" customHeight="1">
      <c r="A693" s="36"/>
      <c r="B693" s="32"/>
      <c r="C693" s="31"/>
      <c r="D693" s="31"/>
      <c r="E693" s="42" t="s">
        <v>207</v>
      </c>
      <c r="F693" s="42" t="s">
        <v>785</v>
      </c>
      <c r="G693" s="45">
        <v>10</v>
      </c>
    </row>
    <row r="694" spans="1:7" ht="15.75" customHeight="1">
      <c r="A694" s="36"/>
      <c r="B694" s="32"/>
      <c r="C694" s="31"/>
      <c r="D694" s="31"/>
      <c r="E694" s="52"/>
      <c r="F694" s="53" t="s">
        <v>787</v>
      </c>
      <c r="G694" s="54">
        <v>10</v>
      </c>
    </row>
    <row r="695" spans="1:7" ht="15.75" customHeight="1">
      <c r="A695" s="36"/>
      <c r="B695" s="32"/>
      <c r="C695" s="31"/>
      <c r="D695" s="31"/>
      <c r="E695" s="42" t="s">
        <v>374</v>
      </c>
      <c r="F695" s="42" t="s">
        <v>785</v>
      </c>
      <c r="G695" s="45">
        <v>50</v>
      </c>
    </row>
    <row r="696" spans="1:7" ht="15.75" customHeight="1">
      <c r="A696" s="36"/>
      <c r="B696" s="32"/>
      <c r="C696" s="31"/>
      <c r="D696" s="31"/>
      <c r="E696" s="52"/>
      <c r="F696" s="53" t="s">
        <v>787</v>
      </c>
      <c r="G696" s="54">
        <v>50</v>
      </c>
    </row>
    <row r="697" spans="1:7" ht="15.75" customHeight="1">
      <c r="A697" s="36"/>
      <c r="B697" s="32"/>
      <c r="C697" s="31"/>
      <c r="D697" s="31"/>
      <c r="E697" s="42" t="s">
        <v>368</v>
      </c>
      <c r="F697" s="42" t="s">
        <v>785</v>
      </c>
      <c r="G697" s="45">
        <v>250</v>
      </c>
    </row>
    <row r="698" spans="1:7" ht="15.75" customHeight="1">
      <c r="A698" s="36"/>
      <c r="B698" s="32"/>
      <c r="C698" s="31"/>
      <c r="D698" s="31"/>
      <c r="E698" s="52"/>
      <c r="F698" s="53" t="s">
        <v>787</v>
      </c>
      <c r="G698" s="54">
        <v>250</v>
      </c>
    </row>
    <row r="699" spans="1:7" ht="15.75" customHeight="1">
      <c r="A699" s="36"/>
      <c r="B699" s="32"/>
      <c r="C699" s="31"/>
      <c r="D699" s="31"/>
      <c r="E699" s="42" t="s">
        <v>676</v>
      </c>
      <c r="F699" s="42" t="s">
        <v>785</v>
      </c>
      <c r="G699" s="45">
        <v>6</v>
      </c>
    </row>
    <row r="700" spans="1:7" ht="15.75" customHeight="1">
      <c r="A700" s="36"/>
      <c r="B700" s="32"/>
      <c r="C700" s="31"/>
      <c r="D700" s="31"/>
      <c r="E700" s="52"/>
      <c r="F700" s="53" t="s">
        <v>787</v>
      </c>
      <c r="G700" s="54">
        <v>6</v>
      </c>
    </row>
    <row r="701" spans="1:7" ht="15.75" customHeight="1">
      <c r="A701" s="36"/>
      <c r="B701" s="32"/>
      <c r="C701" s="31"/>
      <c r="D701" s="31"/>
      <c r="E701" s="42" t="s">
        <v>593</v>
      </c>
      <c r="F701" s="42" t="s">
        <v>785</v>
      </c>
      <c r="G701" s="45">
        <v>52</v>
      </c>
    </row>
    <row r="702" spans="1:7" ht="15.75" customHeight="1">
      <c r="A702" s="36"/>
      <c r="B702" s="32"/>
      <c r="C702" s="31"/>
      <c r="D702" s="31"/>
      <c r="E702" s="52"/>
      <c r="F702" s="53" t="s">
        <v>787</v>
      </c>
      <c r="G702" s="54">
        <v>43</v>
      </c>
    </row>
    <row r="703" spans="1:7" ht="15.75" customHeight="1">
      <c r="A703" s="36"/>
      <c r="B703" s="32"/>
      <c r="C703" s="31"/>
      <c r="D703" s="31"/>
      <c r="E703" s="42" t="s">
        <v>594</v>
      </c>
      <c r="F703" s="42" t="s">
        <v>785</v>
      </c>
      <c r="G703" s="45">
        <v>27</v>
      </c>
    </row>
    <row r="704" spans="1:7" ht="15.75" customHeight="1">
      <c r="A704" s="36"/>
      <c r="B704" s="32"/>
      <c r="C704" s="31"/>
      <c r="D704" s="31"/>
      <c r="E704" s="52"/>
      <c r="F704" s="53" t="s">
        <v>787</v>
      </c>
      <c r="G704" s="54">
        <v>27</v>
      </c>
    </row>
    <row r="705" spans="1:7" ht="15.75" customHeight="1">
      <c r="A705" s="36"/>
      <c r="B705" s="32"/>
      <c r="C705" s="31"/>
      <c r="D705" s="31"/>
      <c r="E705" s="42" t="s">
        <v>595</v>
      </c>
      <c r="F705" s="42" t="s">
        <v>785</v>
      </c>
      <c r="G705" s="45">
        <v>63</v>
      </c>
    </row>
    <row r="706" spans="1:7" ht="15.75" customHeight="1">
      <c r="A706" s="36"/>
      <c r="B706" s="32"/>
      <c r="C706" s="31"/>
      <c r="D706" s="31"/>
      <c r="E706" s="52"/>
      <c r="F706" s="53" t="s">
        <v>787</v>
      </c>
      <c r="G706" s="54">
        <v>63</v>
      </c>
    </row>
    <row r="707" spans="1:7" ht="15.75" customHeight="1">
      <c r="A707" s="36"/>
      <c r="B707" s="32"/>
      <c r="C707" s="31"/>
      <c r="D707" s="31"/>
      <c r="E707" s="42" t="s">
        <v>596</v>
      </c>
      <c r="F707" s="42" t="s">
        <v>785</v>
      </c>
      <c r="G707" s="45">
        <v>38</v>
      </c>
    </row>
    <row r="708" spans="1:7" ht="15.75" customHeight="1">
      <c r="A708" s="36"/>
      <c r="B708" s="32"/>
      <c r="C708" s="31"/>
      <c r="D708" s="31"/>
      <c r="E708" s="52"/>
      <c r="F708" s="53" t="s">
        <v>787</v>
      </c>
      <c r="G708" s="54">
        <v>38</v>
      </c>
    </row>
    <row r="709" spans="1:7" ht="15.75" customHeight="1">
      <c r="A709" s="36"/>
      <c r="B709" s="32"/>
      <c r="C709" s="31"/>
      <c r="D709" s="31"/>
      <c r="E709" s="42" t="s">
        <v>597</v>
      </c>
      <c r="F709" s="42" t="s">
        <v>785</v>
      </c>
      <c r="G709" s="45">
        <v>47</v>
      </c>
    </row>
    <row r="710" spans="1:7" ht="15.75" customHeight="1">
      <c r="A710" s="36"/>
      <c r="B710" s="32"/>
      <c r="C710" s="31"/>
      <c r="D710" s="31"/>
      <c r="E710" s="52"/>
      <c r="F710" s="53" t="s">
        <v>787</v>
      </c>
      <c r="G710" s="54">
        <v>47</v>
      </c>
    </row>
    <row r="711" spans="1:7" ht="15.75" customHeight="1">
      <c r="A711" s="36"/>
      <c r="B711" s="32"/>
      <c r="C711" s="31"/>
      <c r="D711" s="31"/>
      <c r="E711" s="42" t="s">
        <v>378</v>
      </c>
      <c r="F711" s="42" t="s">
        <v>785</v>
      </c>
      <c r="G711" s="45">
        <v>10</v>
      </c>
    </row>
    <row r="712" spans="1:7" ht="15.75" customHeight="1">
      <c r="A712" s="36"/>
      <c r="B712" s="32"/>
      <c r="C712" s="31"/>
      <c r="D712" s="31"/>
      <c r="E712" s="52"/>
      <c r="F712" s="53" t="s">
        <v>787</v>
      </c>
      <c r="G712" s="54">
        <v>2</v>
      </c>
    </row>
    <row r="713" spans="1:7" ht="15.75" customHeight="1">
      <c r="A713" s="36"/>
      <c r="B713" s="32"/>
      <c r="C713" s="31"/>
      <c r="D713" s="31"/>
      <c r="E713" s="42" t="s">
        <v>380</v>
      </c>
      <c r="F713" s="42" t="s">
        <v>785</v>
      </c>
      <c r="G713" s="45">
        <v>10</v>
      </c>
    </row>
    <row r="714" spans="1:7" ht="15.75" customHeight="1">
      <c r="A714" s="36"/>
      <c r="B714" s="32"/>
      <c r="C714" s="31"/>
      <c r="D714" s="31"/>
      <c r="E714" s="52"/>
      <c r="F714" s="53" t="s">
        <v>787</v>
      </c>
      <c r="G714" s="54">
        <v>5</v>
      </c>
    </row>
    <row r="715" spans="1:7" ht="15.75" customHeight="1">
      <c r="A715" s="36"/>
      <c r="B715" s="32"/>
      <c r="C715" s="31"/>
      <c r="D715" s="31"/>
      <c r="E715" s="42" t="s">
        <v>205</v>
      </c>
      <c r="F715" s="42" t="s">
        <v>785</v>
      </c>
      <c r="G715" s="45">
        <v>9</v>
      </c>
    </row>
    <row r="716" spans="1:7" ht="15.75" customHeight="1">
      <c r="A716" s="36"/>
      <c r="B716" s="32"/>
      <c r="C716" s="31"/>
      <c r="D716" s="31"/>
      <c r="E716" s="52"/>
      <c r="F716" s="53" t="s">
        <v>787</v>
      </c>
      <c r="G716" s="54">
        <v>9</v>
      </c>
    </row>
    <row r="717" spans="1:7" ht="15.75" customHeight="1">
      <c r="A717" s="36"/>
      <c r="B717" s="32"/>
      <c r="C717" s="31"/>
      <c r="D717" s="31"/>
      <c r="E717" s="42" t="s">
        <v>677</v>
      </c>
      <c r="F717" s="42" t="s">
        <v>785</v>
      </c>
      <c r="G717" s="45">
        <v>35</v>
      </c>
    </row>
    <row r="718" spans="1:7" ht="15.75" customHeight="1">
      <c r="A718" s="36"/>
      <c r="B718" s="32"/>
      <c r="C718" s="31"/>
      <c r="D718" s="31"/>
      <c r="E718" s="52"/>
      <c r="F718" s="53" t="s">
        <v>787</v>
      </c>
      <c r="G718" s="54">
        <v>35</v>
      </c>
    </row>
    <row r="719" spans="1:7" ht="15.75" customHeight="1">
      <c r="A719" s="36"/>
      <c r="B719" s="32"/>
      <c r="C719" s="31"/>
      <c r="D719" s="31"/>
      <c r="E719" s="42" t="s">
        <v>381</v>
      </c>
      <c r="F719" s="42" t="s">
        <v>785</v>
      </c>
      <c r="G719" s="45">
        <v>28</v>
      </c>
    </row>
    <row r="720" spans="1:7" ht="15.75" customHeight="1">
      <c r="A720" s="36"/>
      <c r="B720" s="32"/>
      <c r="C720" s="31"/>
      <c r="D720" s="31"/>
      <c r="E720" s="52"/>
      <c r="F720" s="53" t="s">
        <v>787</v>
      </c>
      <c r="G720" s="54">
        <v>28</v>
      </c>
    </row>
    <row r="721" spans="1:7" ht="15.75" customHeight="1">
      <c r="A721" s="36"/>
      <c r="B721" s="32"/>
      <c r="C721" s="31"/>
      <c r="D721" s="31"/>
      <c r="E721" s="42" t="s">
        <v>388</v>
      </c>
      <c r="F721" s="42" t="s">
        <v>785</v>
      </c>
      <c r="G721" s="45">
        <v>828</v>
      </c>
    </row>
    <row r="722" spans="1:7" ht="15.75" customHeight="1">
      <c r="A722" s="36"/>
      <c r="B722" s="32"/>
      <c r="C722" s="31"/>
      <c r="D722" s="31"/>
      <c r="E722" s="52"/>
      <c r="F722" s="53" t="s">
        <v>787</v>
      </c>
      <c r="G722" s="54">
        <v>828</v>
      </c>
    </row>
    <row r="723" spans="1:7" ht="15.75" customHeight="1">
      <c r="A723" s="36"/>
      <c r="B723" s="32"/>
      <c r="C723" s="31"/>
      <c r="D723" s="31"/>
      <c r="E723" s="42" t="s">
        <v>389</v>
      </c>
      <c r="F723" s="42" t="s">
        <v>785</v>
      </c>
      <c r="G723" s="45">
        <v>40</v>
      </c>
    </row>
    <row r="724" spans="1:7" ht="15.75" customHeight="1">
      <c r="A724" s="36"/>
      <c r="B724" s="32"/>
      <c r="C724" s="31"/>
      <c r="D724" s="31"/>
      <c r="E724" s="52"/>
      <c r="F724" s="53" t="s">
        <v>787</v>
      </c>
      <c r="G724" s="54">
        <v>40</v>
      </c>
    </row>
    <row r="725" spans="1:7" ht="15.75" customHeight="1">
      <c r="A725" s="36"/>
      <c r="B725" s="32"/>
      <c r="C725" s="31"/>
      <c r="D725" s="31"/>
      <c r="E725" s="42" t="s">
        <v>382</v>
      </c>
      <c r="F725" s="42" t="s">
        <v>785</v>
      </c>
      <c r="G725" s="45">
        <v>118</v>
      </c>
    </row>
    <row r="726" spans="1:7" ht="15.75" customHeight="1">
      <c r="A726" s="36"/>
      <c r="B726" s="32"/>
      <c r="C726" s="31"/>
      <c r="D726" s="31"/>
      <c r="E726" s="52"/>
      <c r="F726" s="53" t="s">
        <v>787</v>
      </c>
      <c r="G726" s="54">
        <v>118</v>
      </c>
    </row>
    <row r="727" spans="1:7" ht="15.75" customHeight="1">
      <c r="A727" s="36"/>
      <c r="B727" s="32"/>
      <c r="C727" s="31"/>
      <c r="D727" s="31"/>
      <c r="E727" s="42" t="s">
        <v>383</v>
      </c>
      <c r="F727" s="42" t="s">
        <v>785</v>
      </c>
      <c r="G727" s="45">
        <v>18</v>
      </c>
    </row>
    <row r="728" spans="1:7" ht="15.75" customHeight="1">
      <c r="A728" s="36"/>
      <c r="B728" s="32"/>
      <c r="C728" s="31"/>
      <c r="D728" s="31"/>
      <c r="E728" s="52"/>
      <c r="F728" s="53" t="s">
        <v>787</v>
      </c>
      <c r="G728" s="54">
        <v>18</v>
      </c>
    </row>
    <row r="729" spans="1:7" ht="15.75" customHeight="1">
      <c r="A729" s="36"/>
      <c r="B729" s="32"/>
      <c r="C729" s="31"/>
      <c r="D729" s="31"/>
      <c r="E729" s="42" t="s">
        <v>385</v>
      </c>
      <c r="F729" s="42" t="s">
        <v>785</v>
      </c>
      <c r="G729" s="45">
        <v>14</v>
      </c>
    </row>
    <row r="730" spans="1:7" ht="15.75" customHeight="1">
      <c r="A730" s="36"/>
      <c r="B730" s="32"/>
      <c r="C730" s="31"/>
      <c r="D730" s="31"/>
      <c r="E730" s="52"/>
      <c r="F730" s="53" t="s">
        <v>787</v>
      </c>
      <c r="G730" s="54">
        <v>14</v>
      </c>
    </row>
    <row r="731" spans="1:7" ht="15.75" customHeight="1">
      <c r="A731" s="36"/>
      <c r="B731" s="32"/>
      <c r="C731" s="31"/>
      <c r="D731" s="31"/>
      <c r="E731" s="42" t="s">
        <v>384</v>
      </c>
      <c r="F731" s="42" t="s">
        <v>785</v>
      </c>
      <c r="G731" s="45">
        <v>558</v>
      </c>
    </row>
    <row r="732" spans="1:7" ht="15.75" customHeight="1">
      <c r="A732" s="36"/>
      <c r="B732" s="32"/>
      <c r="C732" s="31"/>
      <c r="D732" s="31"/>
      <c r="E732" s="52"/>
      <c r="F732" s="53" t="s">
        <v>787</v>
      </c>
      <c r="G732" s="54">
        <v>558</v>
      </c>
    </row>
    <row r="733" spans="1:7" ht="15.75" customHeight="1">
      <c r="A733" s="36"/>
      <c r="B733" s="32"/>
      <c r="C733" s="31"/>
      <c r="D733" s="31"/>
      <c r="E733" s="42" t="s">
        <v>386</v>
      </c>
      <c r="F733" s="42" t="s">
        <v>785</v>
      </c>
      <c r="G733" s="45">
        <v>11</v>
      </c>
    </row>
    <row r="734" spans="1:7" ht="15.75" customHeight="1">
      <c r="A734" s="36"/>
      <c r="B734" s="32"/>
      <c r="C734" s="31"/>
      <c r="D734" s="31"/>
      <c r="E734" s="52"/>
      <c r="F734" s="53" t="s">
        <v>787</v>
      </c>
      <c r="G734" s="54">
        <v>11</v>
      </c>
    </row>
    <row r="735" spans="1:7" ht="15.75" customHeight="1">
      <c r="A735" s="36"/>
      <c r="B735" s="32"/>
      <c r="C735" s="31"/>
      <c r="D735" s="31"/>
      <c r="E735" s="42" t="s">
        <v>387</v>
      </c>
      <c r="F735" s="42" t="s">
        <v>785</v>
      </c>
      <c r="G735" s="45">
        <v>350</v>
      </c>
    </row>
    <row r="736" spans="1:7" ht="15.75" customHeight="1">
      <c r="A736" s="36"/>
      <c r="B736" s="32"/>
      <c r="C736" s="31"/>
      <c r="D736" s="31"/>
      <c r="E736" s="52"/>
      <c r="F736" s="53" t="s">
        <v>787</v>
      </c>
      <c r="G736" s="54">
        <v>350</v>
      </c>
    </row>
    <row r="737" spans="1:7" ht="15.75" customHeight="1">
      <c r="A737" s="36"/>
      <c r="B737" s="32"/>
      <c r="C737" s="31"/>
      <c r="D737" s="31"/>
      <c r="E737" s="42" t="s">
        <v>696</v>
      </c>
      <c r="F737" s="42" t="s">
        <v>785</v>
      </c>
      <c r="G737" s="45">
        <v>15</v>
      </c>
    </row>
    <row r="738" spans="1:7" ht="15.75" customHeight="1">
      <c r="A738" s="36"/>
      <c r="B738" s="32"/>
      <c r="C738" s="31"/>
      <c r="D738" s="31"/>
      <c r="E738" s="52"/>
      <c r="F738" s="53" t="s">
        <v>787</v>
      </c>
      <c r="G738" s="54">
        <v>15</v>
      </c>
    </row>
    <row r="739" spans="1:7" ht="15.75" customHeight="1">
      <c r="A739" s="36"/>
      <c r="B739" s="32"/>
      <c r="C739" s="31"/>
      <c r="D739" s="31"/>
      <c r="E739" s="42" t="s">
        <v>697</v>
      </c>
      <c r="F739" s="42" t="s">
        <v>785</v>
      </c>
      <c r="G739" s="45">
        <v>17</v>
      </c>
    </row>
    <row r="740" spans="1:7" ht="15.75" customHeight="1">
      <c r="A740" s="36"/>
      <c r="B740" s="32"/>
      <c r="C740" s="31"/>
      <c r="D740" s="31"/>
      <c r="E740" s="52"/>
      <c r="F740" s="53" t="s">
        <v>787</v>
      </c>
      <c r="G740" s="54">
        <v>17</v>
      </c>
    </row>
    <row r="741" spans="1:7" ht="15.75" customHeight="1">
      <c r="A741" s="36"/>
      <c r="B741" s="32"/>
      <c r="C741" s="31"/>
      <c r="D741" s="31"/>
      <c r="E741" s="42" t="s">
        <v>699</v>
      </c>
      <c r="F741" s="42" t="s">
        <v>785</v>
      </c>
      <c r="G741" s="45">
        <v>38</v>
      </c>
    </row>
    <row r="742" spans="1:7" ht="15.75" customHeight="1">
      <c r="A742" s="36"/>
      <c r="B742" s="32"/>
      <c r="C742" s="31"/>
      <c r="D742" s="31"/>
      <c r="E742" s="52"/>
      <c r="F742" s="53" t="s">
        <v>787</v>
      </c>
      <c r="G742" s="54">
        <v>38</v>
      </c>
    </row>
    <row r="743" spans="1:7" ht="15.75" customHeight="1">
      <c r="A743" s="36"/>
      <c r="B743" s="32"/>
      <c r="C743" s="31"/>
      <c r="D743" s="31"/>
      <c r="E743" s="42" t="s">
        <v>695</v>
      </c>
      <c r="F743" s="42" t="s">
        <v>785</v>
      </c>
      <c r="G743" s="45">
        <v>37</v>
      </c>
    </row>
    <row r="744" spans="1:7" ht="15.75" customHeight="1">
      <c r="A744" s="36"/>
      <c r="B744" s="32"/>
      <c r="C744" s="31"/>
      <c r="D744" s="31"/>
      <c r="E744" s="52"/>
      <c r="F744" s="53" t="s">
        <v>787</v>
      </c>
      <c r="G744" s="54">
        <v>37</v>
      </c>
    </row>
    <row r="745" spans="1:7" ht="15.75" customHeight="1">
      <c r="A745" s="36"/>
      <c r="B745" s="32"/>
      <c r="C745" s="31"/>
      <c r="D745" s="31"/>
      <c r="E745" s="42" t="s">
        <v>700</v>
      </c>
      <c r="F745" s="42" t="s">
        <v>785</v>
      </c>
      <c r="G745" s="45">
        <v>23</v>
      </c>
    </row>
    <row r="746" spans="1:7" ht="15.75" customHeight="1">
      <c r="A746" s="36"/>
      <c r="B746" s="32"/>
      <c r="C746" s="31"/>
      <c r="D746" s="31"/>
      <c r="E746" s="52"/>
      <c r="F746" s="53" t="s">
        <v>787</v>
      </c>
      <c r="G746" s="54">
        <v>23</v>
      </c>
    </row>
    <row r="747" spans="1:7" ht="15.75" customHeight="1">
      <c r="A747" s="36"/>
      <c r="B747" s="32"/>
      <c r="C747" s="31"/>
      <c r="D747" s="31"/>
      <c r="E747" s="42" t="s">
        <v>701</v>
      </c>
      <c r="F747" s="42" t="s">
        <v>785</v>
      </c>
      <c r="G747" s="45">
        <v>45</v>
      </c>
    </row>
    <row r="748" spans="1:7" ht="15.75" customHeight="1">
      <c r="A748" s="36"/>
      <c r="B748" s="32"/>
      <c r="C748" s="31"/>
      <c r="D748" s="31"/>
      <c r="E748" s="52"/>
      <c r="F748" s="53" t="s">
        <v>787</v>
      </c>
      <c r="G748" s="54">
        <v>45</v>
      </c>
    </row>
    <row r="749" spans="1:7" ht="15.75" customHeight="1">
      <c r="A749" s="36"/>
      <c r="B749" s="32"/>
      <c r="C749" s="31"/>
      <c r="D749" s="31"/>
      <c r="E749" s="42" t="s">
        <v>698</v>
      </c>
      <c r="F749" s="42" t="s">
        <v>785</v>
      </c>
      <c r="G749" s="45">
        <v>42</v>
      </c>
    </row>
    <row r="750" spans="1:7" ht="15.75" customHeight="1">
      <c r="A750" s="36"/>
      <c r="B750" s="32"/>
      <c r="C750" s="31"/>
      <c r="D750" s="31"/>
      <c r="E750" s="52"/>
      <c r="F750" s="53" t="s">
        <v>787</v>
      </c>
      <c r="G750" s="54">
        <v>42</v>
      </c>
    </row>
    <row r="751" spans="1:7" ht="15.75" customHeight="1">
      <c r="A751" s="36"/>
      <c r="B751" s="32"/>
      <c r="C751" s="31"/>
      <c r="D751" s="31"/>
      <c r="E751" s="42" t="s">
        <v>598</v>
      </c>
      <c r="F751" s="42" t="s">
        <v>785</v>
      </c>
      <c r="G751" s="45">
        <v>113</v>
      </c>
    </row>
    <row r="752" spans="1:7" ht="15.75" customHeight="1">
      <c r="A752" s="36"/>
      <c r="B752" s="32"/>
      <c r="C752" s="31"/>
      <c r="D752" s="31"/>
      <c r="E752" s="52"/>
      <c r="F752" s="53" t="s">
        <v>787</v>
      </c>
      <c r="G752" s="54">
        <v>94</v>
      </c>
    </row>
    <row r="753" spans="1:7" ht="15.75" customHeight="1">
      <c r="A753" s="36"/>
      <c r="B753" s="32"/>
      <c r="C753" s="31"/>
      <c r="D753" s="31"/>
      <c r="E753" s="42" t="s">
        <v>600</v>
      </c>
      <c r="F753" s="42" t="s">
        <v>785</v>
      </c>
      <c r="G753" s="45">
        <v>10</v>
      </c>
    </row>
    <row r="754" spans="1:7" ht="15.75" customHeight="1">
      <c r="A754" s="36"/>
      <c r="B754" s="32"/>
      <c r="C754" s="31"/>
      <c r="D754" s="31"/>
      <c r="E754" s="52"/>
      <c r="F754" s="53" t="s">
        <v>787</v>
      </c>
      <c r="G754" s="54">
        <v>10</v>
      </c>
    </row>
    <row r="755" spans="1:7" ht="15.75" customHeight="1">
      <c r="A755" s="36"/>
      <c r="B755" s="32"/>
      <c r="C755" s="31"/>
      <c r="D755" s="31"/>
      <c r="E755" s="42" t="s">
        <v>599</v>
      </c>
      <c r="F755" s="42" t="s">
        <v>785</v>
      </c>
      <c r="G755" s="45">
        <v>10</v>
      </c>
    </row>
    <row r="756" spans="1:7" ht="15.75" customHeight="1">
      <c r="A756" s="36"/>
      <c r="B756" s="32"/>
      <c r="C756" s="31"/>
      <c r="D756" s="31"/>
      <c r="E756" s="52"/>
      <c r="F756" s="53" t="s">
        <v>787</v>
      </c>
      <c r="G756" s="54">
        <v>10</v>
      </c>
    </row>
    <row r="757" spans="1:7" ht="15.75" customHeight="1">
      <c r="A757" s="36"/>
      <c r="B757" s="32"/>
      <c r="C757" s="31"/>
      <c r="D757" s="31"/>
      <c r="E757" s="42" t="s">
        <v>209</v>
      </c>
      <c r="F757" s="42" t="s">
        <v>785</v>
      </c>
      <c r="G757" s="45">
        <v>29</v>
      </c>
    </row>
    <row r="758" spans="1:7" ht="15.75" customHeight="1">
      <c r="A758" s="36"/>
      <c r="B758" s="32"/>
      <c r="C758" s="31"/>
      <c r="D758" s="31"/>
      <c r="E758" s="52"/>
      <c r="F758" s="53" t="s">
        <v>787</v>
      </c>
      <c r="G758" s="54">
        <v>29</v>
      </c>
    </row>
    <row r="759" spans="1:7" ht="15.75" customHeight="1">
      <c r="A759" s="36"/>
      <c r="B759" s="32"/>
      <c r="C759" s="31"/>
      <c r="D759" s="31"/>
      <c r="E759" s="42" t="s">
        <v>210</v>
      </c>
      <c r="F759" s="42" t="s">
        <v>785</v>
      </c>
      <c r="G759" s="45">
        <v>1</v>
      </c>
    </row>
    <row r="760" spans="1:7" ht="15.75" customHeight="1">
      <c r="A760" s="36"/>
      <c r="B760" s="32"/>
      <c r="C760" s="31"/>
      <c r="D760" s="31"/>
      <c r="E760" s="52"/>
      <c r="F760" s="53" t="s">
        <v>787</v>
      </c>
      <c r="G760" s="54">
        <v>0</v>
      </c>
    </row>
    <row r="761" spans="1:7" ht="15.75" customHeight="1">
      <c r="A761" s="36"/>
      <c r="B761" s="32"/>
      <c r="C761" s="31"/>
      <c r="D761" s="31"/>
      <c r="E761" s="42" t="s">
        <v>468</v>
      </c>
      <c r="F761" s="42" t="s">
        <v>785</v>
      </c>
      <c r="G761" s="45">
        <v>3</v>
      </c>
    </row>
    <row r="762" spans="1:7" ht="15.75" customHeight="1">
      <c r="A762" s="36"/>
      <c r="B762" s="32"/>
      <c r="C762" s="31"/>
      <c r="D762" s="31"/>
      <c r="E762" s="52"/>
      <c r="F762" s="53" t="s">
        <v>787</v>
      </c>
      <c r="G762" s="54">
        <v>3</v>
      </c>
    </row>
    <row r="763" spans="1:7" ht="15.75" customHeight="1">
      <c r="A763" s="36"/>
      <c r="B763" s="32"/>
      <c r="C763" s="31"/>
      <c r="D763" s="31"/>
      <c r="E763" s="42" t="s">
        <v>216</v>
      </c>
      <c r="F763" s="42" t="s">
        <v>785</v>
      </c>
      <c r="G763" s="45">
        <v>50</v>
      </c>
    </row>
    <row r="764" spans="1:7" ht="15.75" customHeight="1">
      <c r="A764" s="36"/>
      <c r="B764" s="32"/>
      <c r="C764" s="31"/>
      <c r="D764" s="31"/>
      <c r="E764" s="52"/>
      <c r="F764" s="53" t="s">
        <v>787</v>
      </c>
      <c r="G764" s="54">
        <v>48</v>
      </c>
    </row>
    <row r="765" spans="1:7" ht="15.75" customHeight="1">
      <c r="A765" s="36"/>
      <c r="B765" s="32"/>
      <c r="C765" s="31"/>
      <c r="D765" s="31"/>
      <c r="E765" s="42" t="s">
        <v>601</v>
      </c>
      <c r="F765" s="42" t="s">
        <v>785</v>
      </c>
      <c r="G765" s="45">
        <v>390</v>
      </c>
    </row>
    <row r="766" spans="1:7" ht="15.75" customHeight="1">
      <c r="A766" s="36"/>
      <c r="B766" s="32"/>
      <c r="C766" s="31"/>
      <c r="D766" s="31"/>
      <c r="E766" s="52"/>
      <c r="F766" s="53" t="s">
        <v>787</v>
      </c>
      <c r="G766" s="54">
        <v>390</v>
      </c>
    </row>
    <row r="767" spans="1:7" ht="15.75" customHeight="1">
      <c r="A767" s="36"/>
      <c r="B767" s="32"/>
      <c r="C767" s="31"/>
      <c r="D767" s="31"/>
      <c r="E767" s="42" t="s">
        <v>214</v>
      </c>
      <c r="F767" s="42" t="s">
        <v>785</v>
      </c>
      <c r="G767" s="45">
        <v>50</v>
      </c>
    </row>
    <row r="768" spans="1:7" ht="15.75" customHeight="1">
      <c r="A768" s="36"/>
      <c r="B768" s="32"/>
      <c r="C768" s="31"/>
      <c r="D768" s="31"/>
      <c r="E768" s="52"/>
      <c r="F768" s="53" t="s">
        <v>787</v>
      </c>
      <c r="G768" s="54">
        <v>50</v>
      </c>
    </row>
    <row r="769" spans="1:7" ht="15.75" customHeight="1">
      <c r="A769" s="36"/>
      <c r="B769" s="32"/>
      <c r="C769" s="31"/>
      <c r="D769" s="31"/>
      <c r="E769" s="42" t="s">
        <v>602</v>
      </c>
      <c r="F769" s="42" t="s">
        <v>785</v>
      </c>
      <c r="G769" s="45">
        <v>420</v>
      </c>
    </row>
    <row r="770" spans="1:7" ht="15.75" customHeight="1">
      <c r="A770" s="36"/>
      <c r="B770" s="32"/>
      <c r="C770" s="31"/>
      <c r="D770" s="31"/>
      <c r="E770" s="52"/>
      <c r="F770" s="53" t="s">
        <v>787</v>
      </c>
      <c r="G770" s="54">
        <v>223</v>
      </c>
    </row>
    <row r="771" spans="1:7" ht="15.75" customHeight="1">
      <c r="A771" s="36"/>
      <c r="B771" s="32"/>
      <c r="C771" s="31"/>
      <c r="D771" s="31"/>
      <c r="E771" s="42" t="s">
        <v>609</v>
      </c>
      <c r="F771" s="42" t="s">
        <v>785</v>
      </c>
      <c r="G771" s="45">
        <v>420</v>
      </c>
    </row>
    <row r="772" spans="1:7" ht="15.75" customHeight="1">
      <c r="A772" s="36"/>
      <c r="B772" s="32"/>
      <c r="C772" s="31"/>
      <c r="D772" s="31"/>
      <c r="E772" s="52"/>
      <c r="F772" s="53" t="s">
        <v>787</v>
      </c>
      <c r="G772" s="54">
        <v>224</v>
      </c>
    </row>
    <row r="773" spans="1:7" ht="15.75" customHeight="1">
      <c r="A773" s="36"/>
      <c r="B773" s="32"/>
      <c r="C773" s="31"/>
      <c r="D773" s="31"/>
      <c r="E773" s="42" t="s">
        <v>606</v>
      </c>
      <c r="F773" s="42" t="s">
        <v>785</v>
      </c>
      <c r="G773" s="45">
        <v>420</v>
      </c>
    </row>
    <row r="774" spans="1:7" ht="15.75" customHeight="1">
      <c r="A774" s="36"/>
      <c r="B774" s="32"/>
      <c r="C774" s="31"/>
      <c r="D774" s="31"/>
      <c r="E774" s="52"/>
      <c r="F774" s="53" t="s">
        <v>787</v>
      </c>
      <c r="G774" s="54">
        <v>224</v>
      </c>
    </row>
    <row r="775" spans="1:7" ht="15.75" customHeight="1">
      <c r="A775" s="36"/>
      <c r="B775" s="32"/>
      <c r="C775" s="31"/>
      <c r="D775" s="31"/>
      <c r="E775" s="42" t="s">
        <v>608</v>
      </c>
      <c r="F775" s="42" t="s">
        <v>785</v>
      </c>
      <c r="G775" s="45">
        <v>420</v>
      </c>
    </row>
    <row r="776" spans="1:7" ht="15.75" customHeight="1">
      <c r="A776" s="36"/>
      <c r="B776" s="32"/>
      <c r="C776" s="31"/>
      <c r="D776" s="31"/>
      <c r="E776" s="52"/>
      <c r="F776" s="53" t="s">
        <v>787</v>
      </c>
      <c r="G776" s="54">
        <v>230</v>
      </c>
    </row>
    <row r="777" spans="1:7" ht="15.75" customHeight="1">
      <c r="A777" s="36"/>
      <c r="B777" s="32"/>
      <c r="C777" s="31"/>
      <c r="D777" s="31"/>
      <c r="E777" s="42" t="s">
        <v>604</v>
      </c>
      <c r="F777" s="42" t="s">
        <v>785</v>
      </c>
      <c r="G777" s="45">
        <v>420</v>
      </c>
    </row>
    <row r="778" spans="1:7" ht="15.75" customHeight="1">
      <c r="A778" s="36"/>
      <c r="B778" s="32"/>
      <c r="C778" s="31"/>
      <c r="D778" s="31"/>
      <c r="E778" s="52"/>
      <c r="F778" s="53" t="s">
        <v>787</v>
      </c>
      <c r="G778" s="54">
        <v>234</v>
      </c>
    </row>
    <row r="779" spans="1:7" ht="15.75" customHeight="1">
      <c r="A779" s="36"/>
      <c r="B779" s="32"/>
      <c r="C779" s="31"/>
      <c r="D779" s="31"/>
      <c r="E779" s="42" t="s">
        <v>206</v>
      </c>
      <c r="F779" s="42" t="s">
        <v>785</v>
      </c>
      <c r="G779" s="45">
        <v>6</v>
      </c>
    </row>
    <row r="780" spans="1:7" ht="15.75" customHeight="1">
      <c r="A780" s="36"/>
      <c r="B780" s="32"/>
      <c r="C780" s="31"/>
      <c r="D780" s="31"/>
      <c r="E780" s="52"/>
      <c r="F780" s="53" t="s">
        <v>787</v>
      </c>
      <c r="G780" s="54">
        <v>5</v>
      </c>
    </row>
    <row r="781" spans="1:7" ht="15.75" customHeight="1">
      <c r="A781" s="36"/>
      <c r="B781" s="32"/>
      <c r="C781" s="31"/>
      <c r="D781" s="31"/>
      <c r="E781" s="42" t="s">
        <v>469</v>
      </c>
      <c r="F781" s="42" t="s">
        <v>785</v>
      </c>
      <c r="G781" s="45">
        <v>200</v>
      </c>
    </row>
    <row r="782" spans="1:7" ht="15.75" customHeight="1">
      <c r="A782" s="36"/>
      <c r="B782" s="32"/>
      <c r="C782" s="31"/>
      <c r="D782" s="31"/>
      <c r="E782" s="52"/>
      <c r="F782" s="53" t="s">
        <v>787</v>
      </c>
      <c r="G782" s="54">
        <v>167</v>
      </c>
    </row>
    <row r="783" spans="1:7" ht="15.75" customHeight="1">
      <c r="A783" s="36"/>
      <c r="B783" s="32"/>
      <c r="C783" s="31"/>
      <c r="D783" s="31"/>
      <c r="E783" s="42" t="s">
        <v>22</v>
      </c>
      <c r="F783" s="42" t="s">
        <v>785</v>
      </c>
      <c r="G783" s="45">
        <v>5</v>
      </c>
    </row>
    <row r="784" spans="1:7" ht="15.75" customHeight="1">
      <c r="A784" s="36"/>
      <c r="B784" s="32"/>
      <c r="C784" s="31"/>
      <c r="D784" s="31"/>
      <c r="E784" s="52"/>
      <c r="F784" s="53" t="s">
        <v>787</v>
      </c>
      <c r="G784" s="54">
        <v>2</v>
      </c>
    </row>
    <row r="785" spans="1:7" ht="15.75" customHeight="1">
      <c r="A785" s="36"/>
      <c r="B785" s="32"/>
      <c r="C785" s="31"/>
      <c r="D785" s="31"/>
      <c r="E785" s="42" t="s">
        <v>24</v>
      </c>
      <c r="F785" s="42" t="s">
        <v>785</v>
      </c>
      <c r="G785" s="45">
        <v>5</v>
      </c>
    </row>
    <row r="786" spans="1:7" ht="15.75" customHeight="1">
      <c r="A786" s="36"/>
      <c r="B786" s="32"/>
      <c r="C786" s="31"/>
      <c r="D786" s="31"/>
      <c r="E786" s="52"/>
      <c r="F786" s="53" t="s">
        <v>787</v>
      </c>
      <c r="G786" s="54">
        <v>0</v>
      </c>
    </row>
    <row r="787" spans="1:7" ht="15.75" customHeight="1">
      <c r="A787" s="36"/>
      <c r="B787" s="32"/>
      <c r="C787" s="31"/>
      <c r="D787" s="31"/>
      <c r="E787" s="42" t="s">
        <v>20</v>
      </c>
      <c r="F787" s="42" t="s">
        <v>785</v>
      </c>
      <c r="G787" s="45">
        <v>4</v>
      </c>
    </row>
    <row r="788" spans="1:7" ht="15.75" customHeight="1">
      <c r="A788" s="36"/>
      <c r="B788" s="32"/>
      <c r="C788" s="31"/>
      <c r="D788" s="31"/>
      <c r="E788" s="52"/>
      <c r="F788" s="53" t="s">
        <v>787</v>
      </c>
      <c r="G788" s="54">
        <v>4</v>
      </c>
    </row>
    <row r="789" spans="1:7" ht="15.75" customHeight="1">
      <c r="A789" s="36"/>
      <c r="B789" s="32"/>
      <c r="C789" s="31"/>
      <c r="D789" s="31"/>
      <c r="E789" s="42" t="s">
        <v>17</v>
      </c>
      <c r="F789" s="42" t="s">
        <v>785</v>
      </c>
      <c r="G789" s="45">
        <v>4</v>
      </c>
    </row>
    <row r="790" spans="1:7" ht="15.75" customHeight="1">
      <c r="A790" s="36"/>
      <c r="B790" s="32"/>
      <c r="C790" s="31"/>
      <c r="D790" s="31"/>
      <c r="E790" s="52"/>
      <c r="F790" s="53" t="s">
        <v>787</v>
      </c>
      <c r="G790" s="54">
        <v>2</v>
      </c>
    </row>
    <row r="791" spans="1:7" ht="15.75" customHeight="1">
      <c r="A791" s="36"/>
      <c r="B791" s="32"/>
      <c r="C791" s="31"/>
      <c r="D791" s="31"/>
      <c r="E791" s="42" t="s">
        <v>30</v>
      </c>
      <c r="F791" s="42" t="s">
        <v>785</v>
      </c>
      <c r="G791" s="45">
        <v>42</v>
      </c>
    </row>
    <row r="792" spans="1:7" ht="15.75" customHeight="1">
      <c r="A792" s="36"/>
      <c r="B792" s="32"/>
      <c r="C792" s="31"/>
      <c r="D792" s="31"/>
      <c r="E792" s="52"/>
      <c r="F792" s="53" t="s">
        <v>787</v>
      </c>
      <c r="G792" s="54">
        <v>22</v>
      </c>
    </row>
    <row r="793" spans="1:7" ht="15.75" customHeight="1">
      <c r="A793" s="36"/>
      <c r="B793" s="32"/>
      <c r="C793" s="31"/>
      <c r="D793" s="31"/>
      <c r="E793" s="42" t="s">
        <v>32</v>
      </c>
      <c r="F793" s="42" t="s">
        <v>785</v>
      </c>
      <c r="G793" s="45">
        <v>42</v>
      </c>
    </row>
    <row r="794" spans="1:7" ht="15.75" customHeight="1">
      <c r="A794" s="36"/>
      <c r="B794" s="32"/>
      <c r="C794" s="31"/>
      <c r="D794" s="31"/>
      <c r="E794" s="52"/>
      <c r="F794" s="53" t="s">
        <v>787</v>
      </c>
      <c r="G794" s="54">
        <v>13</v>
      </c>
    </row>
    <row r="795" spans="1:7" ht="15.75" customHeight="1">
      <c r="A795" s="36"/>
      <c r="B795" s="32"/>
      <c r="C795" s="31"/>
      <c r="D795" s="31"/>
      <c r="E795" s="42" t="s">
        <v>28</v>
      </c>
      <c r="F795" s="42" t="s">
        <v>785</v>
      </c>
      <c r="G795" s="45">
        <v>33</v>
      </c>
    </row>
    <row r="796" spans="1:7" ht="15.75" customHeight="1">
      <c r="A796" s="36"/>
      <c r="B796" s="32"/>
      <c r="C796" s="31"/>
      <c r="D796" s="31"/>
      <c r="E796" s="52"/>
      <c r="F796" s="53" t="s">
        <v>787</v>
      </c>
      <c r="G796" s="54">
        <v>24</v>
      </c>
    </row>
    <row r="797" spans="1:7" ht="15.75" customHeight="1">
      <c r="A797" s="36"/>
      <c r="B797" s="32"/>
      <c r="C797" s="31"/>
      <c r="D797" s="31"/>
      <c r="E797" s="42" t="s">
        <v>26</v>
      </c>
      <c r="F797" s="42" t="s">
        <v>785</v>
      </c>
      <c r="G797" s="45">
        <v>33</v>
      </c>
    </row>
    <row r="798" spans="1:7" ht="15.75" customHeight="1">
      <c r="A798" s="36"/>
      <c r="B798" s="32"/>
      <c r="C798" s="31"/>
      <c r="D798" s="31"/>
      <c r="E798" s="52"/>
      <c r="F798" s="53" t="s">
        <v>787</v>
      </c>
      <c r="G798" s="54">
        <v>17</v>
      </c>
    </row>
    <row r="799" spans="1:7" ht="15.75" customHeight="1">
      <c r="A799" s="36"/>
      <c r="B799" s="32"/>
      <c r="C799" s="31"/>
      <c r="D799" s="31"/>
      <c r="E799" s="42" t="s">
        <v>466</v>
      </c>
      <c r="F799" s="42" t="s">
        <v>785</v>
      </c>
      <c r="G799" s="45">
        <v>100</v>
      </c>
    </row>
    <row r="800" spans="1:7" ht="15.75" customHeight="1">
      <c r="A800" s="36"/>
      <c r="B800" s="32"/>
      <c r="C800" s="31"/>
      <c r="D800" s="31"/>
      <c r="E800" s="52"/>
      <c r="F800" s="53" t="s">
        <v>787</v>
      </c>
      <c r="G800" s="54">
        <v>93</v>
      </c>
    </row>
    <row r="801" spans="1:7" ht="15.75" customHeight="1">
      <c r="A801" s="36"/>
      <c r="B801" s="32"/>
      <c r="C801" s="31"/>
      <c r="D801" s="31"/>
      <c r="E801" s="42" t="s">
        <v>211</v>
      </c>
      <c r="F801" s="42" t="s">
        <v>785</v>
      </c>
      <c r="G801" s="45">
        <v>1</v>
      </c>
    </row>
    <row r="802" spans="1:7" ht="15.75" customHeight="1">
      <c r="A802" s="36"/>
      <c r="B802" s="32"/>
      <c r="C802" s="31"/>
      <c r="D802" s="31"/>
      <c r="E802" s="52"/>
      <c r="F802" s="53" t="s">
        <v>787</v>
      </c>
      <c r="G802" s="54">
        <v>1</v>
      </c>
    </row>
    <row r="803" spans="1:7" ht="15.75" customHeight="1">
      <c r="A803" s="36"/>
      <c r="B803" s="32"/>
      <c r="C803" s="31"/>
      <c r="D803" s="31"/>
      <c r="E803" s="42" t="s">
        <v>213</v>
      </c>
      <c r="F803" s="42" t="s">
        <v>785</v>
      </c>
      <c r="G803" s="45">
        <v>23</v>
      </c>
    </row>
    <row r="804" spans="1:7" ht="15.75" customHeight="1">
      <c r="A804" s="36"/>
      <c r="B804" s="32"/>
      <c r="C804" s="31"/>
      <c r="D804" s="31"/>
      <c r="E804" s="52"/>
      <c r="F804" s="53" t="s">
        <v>787</v>
      </c>
      <c r="G804" s="54">
        <v>23</v>
      </c>
    </row>
    <row r="805" spans="1:7" ht="15.75" customHeight="1">
      <c r="A805" s="36"/>
      <c r="B805" s="32"/>
      <c r="C805" s="31"/>
      <c r="D805" s="31"/>
      <c r="E805" s="42" t="s">
        <v>212</v>
      </c>
      <c r="F805" s="42" t="s">
        <v>785</v>
      </c>
      <c r="G805" s="45">
        <v>25</v>
      </c>
    </row>
    <row r="806" spans="1:7" ht="15.75" customHeight="1">
      <c r="A806" s="36"/>
      <c r="B806" s="32"/>
      <c r="C806" s="31"/>
      <c r="D806" s="31"/>
      <c r="E806" s="52"/>
      <c r="F806" s="53" t="s">
        <v>787</v>
      </c>
      <c r="G806" s="54">
        <v>25</v>
      </c>
    </row>
    <row r="807" spans="1:7" ht="15.75" customHeight="1">
      <c r="A807" s="36"/>
      <c r="B807" s="32"/>
      <c r="C807" s="31"/>
      <c r="D807" s="31"/>
      <c r="E807" s="42" t="s">
        <v>725</v>
      </c>
      <c r="F807" s="42" t="s">
        <v>785</v>
      </c>
      <c r="G807" s="45">
        <v>2</v>
      </c>
    </row>
    <row r="808" spans="1:7" ht="15.75" customHeight="1">
      <c r="A808" s="36"/>
      <c r="B808" s="32"/>
      <c r="C808" s="31"/>
      <c r="D808" s="31"/>
      <c r="E808" s="52"/>
      <c r="F808" s="53" t="s">
        <v>787</v>
      </c>
      <c r="G808" s="54">
        <v>2</v>
      </c>
    </row>
    <row r="809" spans="1:7" ht="15.75" customHeight="1">
      <c r="A809" s="36"/>
      <c r="B809" s="32"/>
      <c r="C809" s="31"/>
      <c r="D809" s="31"/>
      <c r="E809" s="42" t="s">
        <v>610</v>
      </c>
      <c r="F809" s="42" t="s">
        <v>785</v>
      </c>
      <c r="G809" s="45">
        <v>907</v>
      </c>
    </row>
    <row r="810" spans="1:7" ht="15.75" customHeight="1">
      <c r="A810" s="36"/>
      <c r="B810" s="32"/>
      <c r="C810" s="31"/>
      <c r="D810" s="31"/>
      <c r="E810" s="52"/>
      <c r="F810" s="53" t="s">
        <v>787</v>
      </c>
      <c r="G810" s="54">
        <v>898</v>
      </c>
    </row>
    <row r="811" spans="1:7" ht="15.75" customHeight="1">
      <c r="A811" s="36"/>
      <c r="B811" s="32"/>
      <c r="C811" s="31"/>
      <c r="D811" s="31"/>
      <c r="E811" s="42" t="s">
        <v>611</v>
      </c>
      <c r="F811" s="42" t="s">
        <v>785</v>
      </c>
      <c r="G811" s="45">
        <v>100</v>
      </c>
    </row>
    <row r="812" spans="1:7" ht="15.75" customHeight="1">
      <c r="A812" s="36"/>
      <c r="B812" s="32"/>
      <c r="C812" s="31"/>
      <c r="D812" s="31"/>
      <c r="E812" s="52"/>
      <c r="F812" s="53" t="s">
        <v>787</v>
      </c>
      <c r="G812" s="54">
        <v>10</v>
      </c>
    </row>
    <row r="813" spans="1:7" ht="15.75" customHeight="1">
      <c r="A813" s="36"/>
      <c r="B813" s="32"/>
      <c r="C813" s="31"/>
      <c r="D813" s="31"/>
      <c r="E813" s="42" t="s">
        <v>679</v>
      </c>
      <c r="F813" s="42" t="s">
        <v>785</v>
      </c>
      <c r="G813" s="45">
        <v>36</v>
      </c>
    </row>
    <row r="814" spans="1:7" ht="15.75" customHeight="1">
      <c r="A814" s="36"/>
      <c r="B814" s="32"/>
      <c r="C814" s="31"/>
      <c r="D814" s="31"/>
      <c r="E814" s="52"/>
      <c r="F814" s="53" t="s">
        <v>787</v>
      </c>
      <c r="G814" s="54">
        <v>36</v>
      </c>
    </row>
    <row r="815" spans="1:7" ht="15.75" customHeight="1">
      <c r="A815" s="36"/>
      <c r="B815" s="32"/>
      <c r="C815" s="31"/>
      <c r="D815" s="31"/>
      <c r="E815" s="42" t="s">
        <v>680</v>
      </c>
      <c r="F815" s="42" t="s">
        <v>785</v>
      </c>
      <c r="G815" s="45">
        <v>6</v>
      </c>
    </row>
    <row r="816" spans="1:7" ht="15.75" customHeight="1">
      <c r="A816" s="36"/>
      <c r="B816" s="32"/>
      <c r="C816" s="31"/>
      <c r="D816" s="31"/>
      <c r="E816" s="52"/>
      <c r="F816" s="53" t="s">
        <v>787</v>
      </c>
      <c r="G816" s="54">
        <v>6</v>
      </c>
    </row>
    <row r="817" spans="1:7" ht="15.75" customHeight="1">
      <c r="A817" s="36"/>
      <c r="B817" s="32"/>
      <c r="C817" s="31"/>
      <c r="D817" s="31"/>
      <c r="E817" s="42" t="s">
        <v>224</v>
      </c>
      <c r="F817" s="42" t="s">
        <v>785</v>
      </c>
      <c r="G817" s="45">
        <v>39</v>
      </c>
    </row>
    <row r="818" spans="1:7" ht="15.75" customHeight="1">
      <c r="A818" s="36"/>
      <c r="B818" s="32"/>
      <c r="C818" s="31"/>
      <c r="D818" s="31"/>
      <c r="E818" s="52"/>
      <c r="F818" s="53" t="s">
        <v>787</v>
      </c>
      <c r="G818" s="54">
        <v>33</v>
      </c>
    </row>
    <row r="819" spans="1:7" ht="15.75" customHeight="1">
      <c r="A819" s="36"/>
      <c r="B819" s="32"/>
      <c r="C819" s="31"/>
      <c r="D819" s="31"/>
      <c r="E819" s="42" t="s">
        <v>222</v>
      </c>
      <c r="F819" s="42" t="s">
        <v>785</v>
      </c>
      <c r="G819" s="45">
        <v>100</v>
      </c>
    </row>
    <row r="820" spans="1:7" ht="15.75" customHeight="1">
      <c r="A820" s="36"/>
      <c r="B820" s="32"/>
      <c r="C820" s="31"/>
      <c r="D820" s="31"/>
      <c r="E820" s="52"/>
      <c r="F820" s="53" t="s">
        <v>787</v>
      </c>
      <c r="G820" s="54">
        <v>100</v>
      </c>
    </row>
    <row r="821" spans="1:7" ht="15.75" customHeight="1">
      <c r="A821" s="36"/>
      <c r="B821" s="32"/>
      <c r="C821" s="31"/>
      <c r="D821" s="31"/>
      <c r="E821" s="42" t="s">
        <v>613</v>
      </c>
      <c r="F821" s="42" t="s">
        <v>785</v>
      </c>
      <c r="G821" s="45">
        <v>60</v>
      </c>
    </row>
    <row r="822" spans="1:7" ht="15.75" customHeight="1">
      <c r="A822" s="36"/>
      <c r="B822" s="32"/>
      <c r="C822" s="31"/>
      <c r="D822" s="31"/>
      <c r="E822" s="52"/>
      <c r="F822" s="53" t="s">
        <v>787</v>
      </c>
      <c r="G822" s="54">
        <v>59</v>
      </c>
    </row>
    <row r="823" spans="1:7" ht="15.75" customHeight="1">
      <c r="A823" s="36"/>
      <c r="B823" s="32"/>
      <c r="C823" s="31"/>
      <c r="D823" s="31"/>
      <c r="E823" s="42" t="s">
        <v>614</v>
      </c>
      <c r="F823" s="42" t="s">
        <v>785</v>
      </c>
      <c r="G823" s="45">
        <v>48</v>
      </c>
    </row>
    <row r="824" spans="1:7" ht="15.75" customHeight="1">
      <c r="A824" s="36"/>
      <c r="B824" s="32"/>
      <c r="C824" s="31"/>
      <c r="D824" s="31"/>
      <c r="E824" s="52"/>
      <c r="F824" s="53" t="s">
        <v>787</v>
      </c>
      <c r="G824" s="54">
        <v>48</v>
      </c>
    </row>
    <row r="825" spans="1:7" ht="15.75" customHeight="1">
      <c r="A825" s="36"/>
      <c r="B825" s="32"/>
      <c r="C825" s="31"/>
      <c r="D825" s="31"/>
      <c r="E825" s="42" t="s">
        <v>615</v>
      </c>
      <c r="F825" s="42" t="s">
        <v>785</v>
      </c>
      <c r="G825" s="45">
        <v>453</v>
      </c>
    </row>
    <row r="826" spans="1:7" ht="15.75" customHeight="1">
      <c r="A826" s="36"/>
      <c r="B826" s="32"/>
      <c r="C826" s="31"/>
      <c r="D826" s="31"/>
      <c r="E826" s="52"/>
      <c r="F826" s="53" t="s">
        <v>787</v>
      </c>
      <c r="G826" s="54">
        <v>453</v>
      </c>
    </row>
    <row r="827" spans="1:7" ht="15.75" customHeight="1">
      <c r="A827" s="36"/>
      <c r="B827" s="32"/>
      <c r="C827" s="31"/>
      <c r="D827" s="31"/>
      <c r="E827" s="42" t="s">
        <v>726</v>
      </c>
      <c r="F827" s="42" t="s">
        <v>785</v>
      </c>
      <c r="G827" s="45">
        <v>1</v>
      </c>
    </row>
    <row r="828" spans="1:7" ht="15.75" customHeight="1">
      <c r="A828" s="36"/>
      <c r="B828" s="32"/>
      <c r="C828" s="31"/>
      <c r="D828" s="31"/>
      <c r="E828" s="52"/>
      <c r="F828" s="53" t="s">
        <v>787</v>
      </c>
      <c r="G828" s="54">
        <v>1</v>
      </c>
    </row>
    <row r="829" spans="1:7" ht="15.75" customHeight="1">
      <c r="A829" s="36"/>
      <c r="B829" s="32"/>
      <c r="C829" s="31"/>
      <c r="D829" s="31"/>
      <c r="E829" s="42" t="s">
        <v>218</v>
      </c>
      <c r="F829" s="42" t="s">
        <v>785</v>
      </c>
      <c r="G829" s="45">
        <v>2</v>
      </c>
    </row>
    <row r="830" spans="1:7" ht="15.75" customHeight="1">
      <c r="A830" s="36"/>
      <c r="B830" s="32"/>
      <c r="C830" s="31"/>
      <c r="D830" s="31"/>
      <c r="E830" s="52"/>
      <c r="F830" s="53" t="s">
        <v>787</v>
      </c>
      <c r="G830" s="54">
        <v>2</v>
      </c>
    </row>
    <row r="831" spans="1:7" ht="15.75" customHeight="1">
      <c r="A831" s="36"/>
      <c r="B831" s="32"/>
      <c r="C831" s="31"/>
      <c r="D831" s="31"/>
      <c r="E831" s="42" t="s">
        <v>217</v>
      </c>
      <c r="F831" s="42" t="s">
        <v>785</v>
      </c>
      <c r="G831" s="45">
        <v>40</v>
      </c>
    </row>
    <row r="832" spans="1:7" ht="15.75" customHeight="1">
      <c r="A832" s="36"/>
      <c r="B832" s="32"/>
      <c r="C832" s="31"/>
      <c r="D832" s="31"/>
      <c r="E832" s="52"/>
      <c r="F832" s="53" t="s">
        <v>787</v>
      </c>
      <c r="G832" s="54">
        <v>40</v>
      </c>
    </row>
    <row r="833" spans="1:7" ht="15.75" customHeight="1">
      <c r="A833" s="36"/>
      <c r="B833" s="32"/>
      <c r="C833" s="31"/>
      <c r="D833" s="31"/>
      <c r="E833" s="42" t="s">
        <v>219</v>
      </c>
      <c r="F833" s="42" t="s">
        <v>785</v>
      </c>
      <c r="G833" s="45">
        <v>93</v>
      </c>
    </row>
    <row r="834" spans="1:7" ht="15.75" customHeight="1">
      <c r="A834" s="36"/>
      <c r="B834" s="32"/>
      <c r="C834" s="31"/>
      <c r="D834" s="31"/>
      <c r="E834" s="52"/>
      <c r="F834" s="53" t="s">
        <v>787</v>
      </c>
      <c r="G834" s="54">
        <v>93</v>
      </c>
    </row>
    <row r="835" spans="1:7" ht="15.75" customHeight="1">
      <c r="A835" s="36"/>
      <c r="B835" s="32"/>
      <c r="C835" s="31"/>
      <c r="D835" s="31"/>
      <c r="E835" s="42" t="s">
        <v>616</v>
      </c>
      <c r="F835" s="42" t="s">
        <v>785</v>
      </c>
      <c r="G835" s="45">
        <v>4269</v>
      </c>
    </row>
    <row r="836" spans="1:7" ht="15.75" customHeight="1">
      <c r="A836" s="36"/>
      <c r="B836" s="32"/>
      <c r="C836" s="31"/>
      <c r="D836" s="31"/>
      <c r="E836" s="52"/>
      <c r="F836" s="53" t="s">
        <v>787</v>
      </c>
      <c r="G836" s="54">
        <v>4269</v>
      </c>
    </row>
    <row r="837" spans="1:7" ht="15.75" customHeight="1">
      <c r="A837" s="36"/>
      <c r="B837" s="32"/>
      <c r="C837" s="31"/>
      <c r="D837" s="31"/>
      <c r="E837" s="42" t="s">
        <v>619</v>
      </c>
      <c r="F837" s="42" t="s">
        <v>785</v>
      </c>
      <c r="G837" s="45">
        <v>15830</v>
      </c>
    </row>
    <row r="838" spans="1:7" ht="15.75" customHeight="1">
      <c r="A838" s="36"/>
      <c r="B838" s="32"/>
      <c r="C838" s="31"/>
      <c r="D838" s="31"/>
      <c r="E838" s="52"/>
      <c r="F838" s="53" t="s">
        <v>787</v>
      </c>
      <c r="G838" s="54">
        <v>15580</v>
      </c>
    </row>
    <row r="839" spans="1:7" ht="15.75" customHeight="1">
      <c r="A839" s="36"/>
      <c r="B839" s="32"/>
      <c r="C839" s="31"/>
      <c r="D839" s="31"/>
      <c r="E839" s="42" t="s">
        <v>618</v>
      </c>
      <c r="F839" s="42" t="s">
        <v>785</v>
      </c>
      <c r="G839" s="45">
        <v>1110</v>
      </c>
    </row>
    <row r="840" spans="1:7" ht="15.75" customHeight="1">
      <c r="A840" s="36"/>
      <c r="B840" s="32"/>
      <c r="C840" s="31"/>
      <c r="D840" s="31"/>
      <c r="E840" s="52"/>
      <c r="F840" s="53" t="s">
        <v>787</v>
      </c>
      <c r="G840" s="54">
        <v>1110</v>
      </c>
    </row>
    <row r="841" spans="1:7" ht="15.75" customHeight="1">
      <c r="A841" s="36"/>
      <c r="B841" s="32"/>
      <c r="C841" s="31"/>
      <c r="D841" s="31"/>
      <c r="E841" s="42" t="s">
        <v>617</v>
      </c>
      <c r="F841" s="42" t="s">
        <v>785</v>
      </c>
      <c r="G841" s="45">
        <v>4510</v>
      </c>
    </row>
    <row r="842" spans="1:7" ht="15.75" customHeight="1">
      <c r="A842" s="36"/>
      <c r="B842" s="32"/>
      <c r="C842" s="31"/>
      <c r="D842" s="31"/>
      <c r="E842" s="52"/>
      <c r="F842" s="53" t="s">
        <v>787</v>
      </c>
      <c r="G842" s="54">
        <v>4420</v>
      </c>
    </row>
    <row r="843" spans="1:7" ht="15.75" customHeight="1">
      <c r="A843" s="36"/>
      <c r="B843" s="32"/>
      <c r="C843" s="31"/>
      <c r="D843" s="31"/>
      <c r="E843" s="42" t="s">
        <v>620</v>
      </c>
      <c r="F843" s="42" t="s">
        <v>785</v>
      </c>
      <c r="G843" s="45">
        <v>4200</v>
      </c>
    </row>
    <row r="844" spans="1:7" ht="15.75" customHeight="1">
      <c r="A844" s="36"/>
      <c r="B844" s="32"/>
      <c r="C844" s="31"/>
      <c r="D844" s="31"/>
      <c r="E844" s="52"/>
      <c r="F844" s="53" t="s">
        <v>787</v>
      </c>
      <c r="G844" s="54">
        <v>4200</v>
      </c>
    </row>
    <row r="845" spans="1:7" ht="15.75" customHeight="1">
      <c r="A845" s="36"/>
      <c r="B845" s="32"/>
      <c r="C845" s="31"/>
      <c r="D845" s="31"/>
      <c r="E845" s="42" t="s">
        <v>622</v>
      </c>
      <c r="F845" s="42" t="s">
        <v>785</v>
      </c>
      <c r="G845" s="45">
        <v>4735</v>
      </c>
    </row>
    <row r="846" spans="1:7" ht="15.75" customHeight="1">
      <c r="A846" s="36"/>
      <c r="B846" s="32"/>
      <c r="C846" s="31"/>
      <c r="D846" s="31"/>
      <c r="E846" s="52"/>
      <c r="F846" s="53" t="s">
        <v>787</v>
      </c>
      <c r="G846" s="54">
        <v>4735</v>
      </c>
    </row>
    <row r="847" spans="1:7" ht="15.75" customHeight="1">
      <c r="A847" s="36"/>
      <c r="B847" s="32"/>
      <c r="C847" s="31"/>
      <c r="D847" s="31"/>
      <c r="E847" s="42" t="s">
        <v>621</v>
      </c>
      <c r="F847" s="42" t="s">
        <v>785</v>
      </c>
      <c r="G847" s="45">
        <v>4605</v>
      </c>
    </row>
    <row r="848" spans="1:7" ht="15.75" customHeight="1">
      <c r="A848" s="36"/>
      <c r="B848" s="32"/>
      <c r="C848" s="31"/>
      <c r="D848" s="31"/>
      <c r="E848" s="52"/>
      <c r="F848" s="53" t="s">
        <v>787</v>
      </c>
      <c r="G848" s="54">
        <v>4605</v>
      </c>
    </row>
    <row r="849" spans="1:7" ht="15.75" customHeight="1">
      <c r="A849" s="36"/>
      <c r="B849" s="32"/>
      <c r="C849" s="31"/>
      <c r="D849" s="31"/>
      <c r="E849" s="42" t="s">
        <v>627</v>
      </c>
      <c r="F849" s="42" t="s">
        <v>785</v>
      </c>
      <c r="G849" s="45">
        <v>7150</v>
      </c>
    </row>
    <row r="850" spans="1:7" ht="15.75" customHeight="1">
      <c r="A850" s="36"/>
      <c r="B850" s="32"/>
      <c r="C850" s="31"/>
      <c r="D850" s="31"/>
      <c r="E850" s="52"/>
      <c r="F850" s="53" t="s">
        <v>787</v>
      </c>
      <c r="G850" s="54">
        <v>7050</v>
      </c>
    </row>
    <row r="851" spans="1:7" ht="15.75" customHeight="1">
      <c r="A851" s="36"/>
      <c r="B851" s="32"/>
      <c r="C851" s="31"/>
      <c r="D851" s="31"/>
      <c r="E851" s="42" t="s">
        <v>623</v>
      </c>
      <c r="F851" s="42" t="s">
        <v>785</v>
      </c>
      <c r="G851" s="45">
        <v>12875</v>
      </c>
    </row>
    <row r="852" spans="1:7" ht="15.75" customHeight="1">
      <c r="A852" s="36"/>
      <c r="B852" s="32"/>
      <c r="C852" s="31"/>
      <c r="D852" s="31"/>
      <c r="E852" s="52"/>
      <c r="F852" s="53" t="s">
        <v>787</v>
      </c>
      <c r="G852" s="54">
        <v>12875</v>
      </c>
    </row>
    <row r="853" spans="1:7" ht="15.75" customHeight="1">
      <c r="A853" s="36"/>
      <c r="B853" s="32"/>
      <c r="C853" s="31"/>
      <c r="D853" s="31"/>
      <c r="E853" s="42" t="s">
        <v>624</v>
      </c>
      <c r="F853" s="42" t="s">
        <v>785</v>
      </c>
      <c r="G853" s="45">
        <v>11780</v>
      </c>
    </row>
    <row r="854" spans="1:7" ht="15.75" customHeight="1">
      <c r="A854" s="36"/>
      <c r="B854" s="32"/>
      <c r="C854" s="31"/>
      <c r="D854" s="31"/>
      <c r="E854" s="52"/>
      <c r="F854" s="53" t="s">
        <v>787</v>
      </c>
      <c r="G854" s="54">
        <v>11265</v>
      </c>
    </row>
    <row r="855" spans="1:7" ht="15.75" customHeight="1">
      <c r="A855" s="36"/>
      <c r="B855" s="32"/>
      <c r="C855" s="31"/>
      <c r="D855" s="31"/>
      <c r="E855" s="42" t="s">
        <v>625</v>
      </c>
      <c r="F855" s="42" t="s">
        <v>785</v>
      </c>
      <c r="G855" s="45">
        <v>2175</v>
      </c>
    </row>
    <row r="856" spans="1:7" ht="15.75" customHeight="1">
      <c r="A856" s="36"/>
      <c r="B856" s="32"/>
      <c r="C856" s="31"/>
      <c r="D856" s="31"/>
      <c r="E856" s="52"/>
      <c r="F856" s="53" t="s">
        <v>787</v>
      </c>
      <c r="G856" s="54">
        <v>2175</v>
      </c>
    </row>
    <row r="857" spans="1:7" ht="15.75" customHeight="1">
      <c r="A857" s="36"/>
      <c r="B857" s="32"/>
      <c r="C857" s="31"/>
      <c r="D857" s="31"/>
      <c r="E857" s="42" t="s">
        <v>626</v>
      </c>
      <c r="F857" s="42" t="s">
        <v>785</v>
      </c>
      <c r="G857" s="45">
        <v>2618</v>
      </c>
    </row>
    <row r="858" spans="1:7" ht="15.75" customHeight="1">
      <c r="A858" s="36"/>
      <c r="B858" s="32"/>
      <c r="C858" s="31"/>
      <c r="D858" s="31"/>
      <c r="E858" s="52"/>
      <c r="F858" s="53" t="s">
        <v>787</v>
      </c>
      <c r="G858" s="54">
        <v>2618</v>
      </c>
    </row>
    <row r="859" spans="1:7" ht="15.75" customHeight="1">
      <c r="A859" s="36"/>
      <c r="B859" s="32"/>
      <c r="C859" s="31"/>
      <c r="D859" s="31"/>
      <c r="E859" s="42" t="s">
        <v>221</v>
      </c>
      <c r="F859" s="42" t="s">
        <v>785</v>
      </c>
      <c r="G859" s="45">
        <v>26</v>
      </c>
    </row>
    <row r="860" spans="1:7" ht="15.75" customHeight="1">
      <c r="A860" s="36"/>
      <c r="B860" s="32"/>
      <c r="C860" s="31"/>
      <c r="D860" s="31"/>
      <c r="E860" s="52"/>
      <c r="F860" s="53" t="s">
        <v>787</v>
      </c>
      <c r="G860" s="54">
        <v>26</v>
      </c>
    </row>
    <row r="861" spans="1:7" ht="15.75" customHeight="1">
      <c r="A861" s="36"/>
      <c r="B861" s="32"/>
      <c r="C861" s="31"/>
      <c r="D861" s="31"/>
      <c r="E861" s="42" t="s">
        <v>220</v>
      </c>
      <c r="F861" s="42" t="s">
        <v>785</v>
      </c>
      <c r="G861" s="45">
        <v>21</v>
      </c>
    </row>
    <row r="862" spans="1:7" ht="15.75" customHeight="1">
      <c r="A862" s="36"/>
      <c r="B862" s="32"/>
      <c r="C862" s="31"/>
      <c r="D862" s="31"/>
      <c r="E862" s="52"/>
      <c r="F862" s="53" t="s">
        <v>787</v>
      </c>
      <c r="G862" s="54">
        <v>21</v>
      </c>
    </row>
    <row r="863" spans="1:7" ht="15.75" customHeight="1">
      <c r="A863" s="36"/>
      <c r="B863" s="32"/>
      <c r="C863" s="31"/>
      <c r="D863" s="31"/>
      <c r="E863" s="42" t="s">
        <v>392</v>
      </c>
      <c r="F863" s="42" t="s">
        <v>785</v>
      </c>
      <c r="G863" s="45">
        <v>266</v>
      </c>
    </row>
    <row r="864" spans="1:7" ht="15.75" customHeight="1">
      <c r="A864" s="36"/>
      <c r="B864" s="32"/>
      <c r="C864" s="31"/>
      <c r="D864" s="31"/>
      <c r="E864" s="52"/>
      <c r="F864" s="53" t="s">
        <v>787</v>
      </c>
      <c r="G864" s="54">
        <v>234</v>
      </c>
    </row>
    <row r="865" spans="1:7" ht="15.75" customHeight="1">
      <c r="A865" s="36"/>
      <c r="B865" s="32"/>
      <c r="C865" s="31"/>
      <c r="D865" s="31"/>
      <c r="E865" s="42" t="s">
        <v>390</v>
      </c>
      <c r="F865" s="42" t="s">
        <v>785</v>
      </c>
      <c r="G865" s="45">
        <v>100</v>
      </c>
    </row>
    <row r="866" spans="1:7" ht="15.75" customHeight="1">
      <c r="A866" s="36"/>
      <c r="B866" s="32"/>
      <c r="C866" s="31"/>
      <c r="D866" s="31"/>
      <c r="E866" s="52"/>
      <c r="F866" s="53" t="s">
        <v>787</v>
      </c>
      <c r="G866" s="54">
        <v>79</v>
      </c>
    </row>
    <row r="867" spans="1:7" ht="15.75" customHeight="1">
      <c r="A867" s="36"/>
      <c r="B867" s="32"/>
      <c r="C867" s="31"/>
      <c r="D867" s="31"/>
      <c r="E867" s="42" t="s">
        <v>678</v>
      </c>
      <c r="F867" s="42" t="s">
        <v>785</v>
      </c>
      <c r="G867" s="45">
        <v>23</v>
      </c>
    </row>
    <row r="868" spans="1:7" ht="15.75" customHeight="1">
      <c r="A868" s="36"/>
      <c r="B868" s="32"/>
      <c r="C868" s="31"/>
      <c r="D868" s="31"/>
      <c r="E868" s="52"/>
      <c r="F868" s="53" t="s">
        <v>787</v>
      </c>
      <c r="G868" s="54">
        <v>12</v>
      </c>
    </row>
    <row r="869" spans="1:7" ht="15.75" customHeight="1">
      <c r="A869" s="36"/>
      <c r="B869" s="32"/>
      <c r="C869" s="31"/>
      <c r="D869" s="31"/>
      <c r="E869" s="42" t="s">
        <v>44</v>
      </c>
      <c r="F869" s="42" t="s">
        <v>785</v>
      </c>
      <c r="G869" s="45">
        <v>24</v>
      </c>
    </row>
    <row r="870" spans="1:7" ht="15.75" customHeight="1">
      <c r="A870" s="36"/>
      <c r="B870" s="32"/>
      <c r="C870" s="31"/>
      <c r="D870" s="31"/>
      <c r="E870" s="52"/>
      <c r="F870" s="53" t="s">
        <v>787</v>
      </c>
      <c r="G870" s="54">
        <v>13</v>
      </c>
    </row>
    <row r="871" spans="1:7" ht="15.75" customHeight="1">
      <c r="A871" s="36"/>
      <c r="B871" s="32"/>
      <c r="C871" s="31"/>
      <c r="D871" s="31"/>
      <c r="E871" s="42" t="s">
        <v>628</v>
      </c>
      <c r="F871" s="42" t="s">
        <v>785</v>
      </c>
      <c r="G871" s="45">
        <v>500</v>
      </c>
    </row>
    <row r="872" spans="1:7" ht="15.75" customHeight="1">
      <c r="A872" s="36"/>
      <c r="B872" s="32"/>
      <c r="C872" s="31"/>
      <c r="D872" s="31"/>
      <c r="E872" s="52"/>
      <c r="F872" s="53" t="s">
        <v>787</v>
      </c>
      <c r="G872" s="54">
        <v>452</v>
      </c>
    </row>
    <row r="873" spans="1:7" ht="15.75" customHeight="1">
      <c r="A873" s="36"/>
      <c r="B873" s="32"/>
      <c r="C873" s="31"/>
      <c r="D873" s="31"/>
      <c r="E873" s="42" t="s">
        <v>232</v>
      </c>
      <c r="F873" s="42" t="s">
        <v>785</v>
      </c>
      <c r="G873" s="45">
        <v>5</v>
      </c>
    </row>
    <row r="874" spans="1:7" ht="15.75" customHeight="1">
      <c r="A874" s="36"/>
      <c r="B874" s="32"/>
      <c r="C874" s="31"/>
      <c r="D874" s="31"/>
      <c r="E874" s="52"/>
      <c r="F874" s="53" t="s">
        <v>787</v>
      </c>
      <c r="G874" s="54">
        <v>5</v>
      </c>
    </row>
    <row r="875" spans="1:7" ht="15.75" customHeight="1">
      <c r="A875" s="36"/>
      <c r="B875" s="32"/>
      <c r="C875" s="31"/>
      <c r="D875" s="31"/>
      <c r="E875" s="42" t="s">
        <v>702</v>
      </c>
      <c r="F875" s="42" t="s">
        <v>785</v>
      </c>
      <c r="G875" s="45">
        <v>8</v>
      </c>
    </row>
    <row r="876" spans="1:7" ht="15.75" customHeight="1">
      <c r="A876" s="36"/>
      <c r="B876" s="32"/>
      <c r="C876" s="31"/>
      <c r="D876" s="31"/>
      <c r="E876" s="52"/>
      <c r="F876" s="53" t="s">
        <v>787</v>
      </c>
      <c r="G876" s="54">
        <v>8</v>
      </c>
    </row>
    <row r="877" spans="1:7" ht="15.75" customHeight="1">
      <c r="A877" s="36"/>
      <c r="B877" s="32"/>
      <c r="C877" s="31"/>
      <c r="D877" s="31"/>
      <c r="E877" s="42" t="s">
        <v>703</v>
      </c>
      <c r="F877" s="42" t="s">
        <v>785</v>
      </c>
      <c r="G877" s="45">
        <v>15</v>
      </c>
    </row>
    <row r="878" spans="1:7" ht="15.75" customHeight="1">
      <c r="A878" s="36"/>
      <c r="B878" s="32"/>
      <c r="C878" s="31"/>
      <c r="D878" s="31"/>
      <c r="E878" s="52"/>
      <c r="F878" s="53" t="s">
        <v>787</v>
      </c>
      <c r="G878" s="54">
        <v>15</v>
      </c>
    </row>
    <row r="879" spans="1:7" ht="15.75" customHeight="1">
      <c r="A879" s="36"/>
      <c r="B879" s="32"/>
      <c r="C879" s="31"/>
      <c r="D879" s="31"/>
      <c r="E879" s="42" t="s">
        <v>235</v>
      </c>
      <c r="F879" s="42" t="s">
        <v>785</v>
      </c>
      <c r="G879" s="45">
        <v>4</v>
      </c>
    </row>
    <row r="880" spans="1:7" ht="15.75" customHeight="1">
      <c r="A880" s="36"/>
      <c r="B880" s="32"/>
      <c r="C880" s="31"/>
      <c r="D880" s="31"/>
      <c r="E880" s="52"/>
      <c r="F880" s="53" t="s">
        <v>787</v>
      </c>
      <c r="G880" s="54">
        <v>4</v>
      </c>
    </row>
    <row r="881" spans="1:7" ht="15.75" customHeight="1">
      <c r="A881" s="36"/>
      <c r="B881" s="32"/>
      <c r="C881" s="31"/>
      <c r="D881" s="31"/>
      <c r="E881" s="42" t="s">
        <v>233</v>
      </c>
      <c r="F881" s="42" t="s">
        <v>785</v>
      </c>
      <c r="G881" s="45">
        <v>20</v>
      </c>
    </row>
    <row r="882" spans="1:7" ht="15.75" customHeight="1">
      <c r="A882" s="36"/>
      <c r="B882" s="32"/>
      <c r="C882" s="31"/>
      <c r="D882" s="31"/>
      <c r="E882" s="52"/>
      <c r="F882" s="53" t="s">
        <v>787</v>
      </c>
      <c r="G882" s="54">
        <v>20</v>
      </c>
    </row>
    <row r="883" spans="1:7" ht="15.75" customHeight="1">
      <c r="A883" s="36"/>
      <c r="B883" s="32"/>
      <c r="C883" s="31"/>
      <c r="D883" s="31"/>
      <c r="E883" s="42" t="s">
        <v>234</v>
      </c>
      <c r="F883" s="42" t="s">
        <v>785</v>
      </c>
      <c r="G883" s="45">
        <v>32</v>
      </c>
    </row>
    <row r="884" spans="1:7" ht="15.75" customHeight="1">
      <c r="A884" s="36"/>
      <c r="B884" s="32"/>
      <c r="C884" s="31"/>
      <c r="D884" s="31"/>
      <c r="E884" s="52"/>
      <c r="F884" s="53" t="s">
        <v>787</v>
      </c>
      <c r="G884" s="54">
        <v>32</v>
      </c>
    </row>
    <row r="885" spans="1:7" ht="15.75" customHeight="1">
      <c r="A885" s="36"/>
      <c r="B885" s="32"/>
      <c r="C885" s="31"/>
      <c r="D885" s="31"/>
      <c r="E885" s="42" t="s">
        <v>396</v>
      </c>
      <c r="F885" s="42" t="s">
        <v>785</v>
      </c>
      <c r="G885" s="45">
        <v>118</v>
      </c>
    </row>
    <row r="886" spans="1:7" ht="15.75" customHeight="1">
      <c r="A886" s="36"/>
      <c r="B886" s="32"/>
      <c r="C886" s="31"/>
      <c r="D886" s="31"/>
      <c r="E886" s="52"/>
      <c r="F886" s="53" t="s">
        <v>787</v>
      </c>
      <c r="G886" s="54">
        <v>118</v>
      </c>
    </row>
    <row r="887" spans="1:7" ht="15.75" customHeight="1">
      <c r="A887" s="36"/>
      <c r="B887" s="32"/>
      <c r="C887" s="31"/>
      <c r="D887" s="31"/>
      <c r="E887" s="42" t="s">
        <v>397</v>
      </c>
      <c r="F887" s="42" t="s">
        <v>785</v>
      </c>
      <c r="G887" s="45">
        <v>51</v>
      </c>
    </row>
    <row r="888" spans="1:7" ht="15.75" customHeight="1">
      <c r="A888" s="36"/>
      <c r="B888" s="32"/>
      <c r="C888" s="31"/>
      <c r="D888" s="31"/>
      <c r="E888" s="52"/>
      <c r="F888" s="53" t="s">
        <v>787</v>
      </c>
      <c r="G888" s="54">
        <v>51</v>
      </c>
    </row>
    <row r="889" spans="1:7" ht="15.75" customHeight="1">
      <c r="A889" s="36"/>
      <c r="B889" s="32"/>
      <c r="C889" s="31"/>
      <c r="D889" s="31"/>
      <c r="E889" s="42" t="s">
        <v>393</v>
      </c>
      <c r="F889" s="42" t="s">
        <v>785</v>
      </c>
      <c r="G889" s="45">
        <v>511</v>
      </c>
    </row>
    <row r="890" spans="1:7" ht="15.75" customHeight="1">
      <c r="A890" s="36"/>
      <c r="B890" s="32"/>
      <c r="C890" s="31"/>
      <c r="D890" s="31"/>
      <c r="E890" s="52"/>
      <c r="F890" s="53" t="s">
        <v>787</v>
      </c>
      <c r="G890" s="54">
        <v>511</v>
      </c>
    </row>
    <row r="891" spans="1:7" ht="15.75" customHeight="1">
      <c r="A891" s="36"/>
      <c r="B891" s="32"/>
      <c r="C891" s="31"/>
      <c r="D891" s="31"/>
      <c r="E891" s="42" t="s">
        <v>394</v>
      </c>
      <c r="F891" s="42" t="s">
        <v>785</v>
      </c>
      <c r="G891" s="45">
        <v>470</v>
      </c>
    </row>
    <row r="892" spans="1:7" ht="15.75" customHeight="1">
      <c r="A892" s="36"/>
      <c r="B892" s="32"/>
      <c r="C892" s="31"/>
      <c r="D892" s="31"/>
      <c r="E892" s="52"/>
      <c r="F892" s="53" t="s">
        <v>787</v>
      </c>
      <c r="G892" s="54">
        <v>470</v>
      </c>
    </row>
    <row r="893" spans="1:7" ht="15.75" customHeight="1">
      <c r="A893" s="36"/>
      <c r="B893" s="32"/>
      <c r="C893" s="31"/>
      <c r="D893" s="31"/>
      <c r="E893" s="42" t="s">
        <v>395</v>
      </c>
      <c r="F893" s="42" t="s">
        <v>785</v>
      </c>
      <c r="G893" s="45">
        <v>42</v>
      </c>
    </row>
    <row r="894" spans="1:7" ht="15.75" customHeight="1">
      <c r="A894" s="36"/>
      <c r="B894" s="32"/>
      <c r="C894" s="31"/>
      <c r="D894" s="31"/>
      <c r="E894" s="52"/>
      <c r="F894" s="53" t="s">
        <v>787</v>
      </c>
      <c r="G894" s="54">
        <v>42</v>
      </c>
    </row>
    <row r="895" spans="1:7" ht="15.75" customHeight="1">
      <c r="A895" s="36"/>
      <c r="B895" s="32"/>
      <c r="C895" s="31"/>
      <c r="D895" s="31"/>
      <c r="E895" s="42" t="s">
        <v>230</v>
      </c>
      <c r="F895" s="42" t="s">
        <v>785</v>
      </c>
      <c r="G895" s="45">
        <v>30</v>
      </c>
    </row>
    <row r="896" spans="1:7" ht="15.75" customHeight="1">
      <c r="A896" s="36"/>
      <c r="B896" s="32"/>
      <c r="C896" s="31"/>
      <c r="D896" s="31"/>
      <c r="E896" s="52"/>
      <c r="F896" s="53" t="s">
        <v>787</v>
      </c>
      <c r="G896" s="54">
        <v>26</v>
      </c>
    </row>
    <row r="897" spans="1:7" ht="15.75" customHeight="1">
      <c r="A897" s="36"/>
      <c r="B897" s="32"/>
      <c r="C897" s="31"/>
      <c r="D897" s="31"/>
      <c r="E897" s="42" t="s">
        <v>413</v>
      </c>
      <c r="F897" s="42" t="s">
        <v>785</v>
      </c>
      <c r="G897" s="45">
        <v>300</v>
      </c>
    </row>
    <row r="898" spans="1:7" ht="15.75" customHeight="1">
      <c r="A898" s="36"/>
      <c r="B898" s="32"/>
      <c r="C898" s="31"/>
      <c r="D898" s="31"/>
      <c r="E898" s="52"/>
      <c r="F898" s="53" t="s">
        <v>787</v>
      </c>
      <c r="G898" s="54">
        <v>200</v>
      </c>
    </row>
    <row r="899" spans="1:7" ht="15.75" customHeight="1">
      <c r="A899" s="36"/>
      <c r="B899" s="32"/>
      <c r="C899" s="31"/>
      <c r="D899" s="31"/>
      <c r="E899" s="42" t="s">
        <v>228</v>
      </c>
      <c r="F899" s="42" t="s">
        <v>785</v>
      </c>
      <c r="G899" s="45">
        <v>100</v>
      </c>
    </row>
    <row r="900" spans="1:7" ht="15.75" customHeight="1">
      <c r="A900" s="36"/>
      <c r="B900" s="32"/>
      <c r="C900" s="31"/>
      <c r="D900" s="31"/>
      <c r="E900" s="52"/>
      <c r="F900" s="53" t="s">
        <v>787</v>
      </c>
      <c r="G900" s="54">
        <v>72</v>
      </c>
    </row>
    <row r="901" spans="1:7" ht="15.75" customHeight="1">
      <c r="A901" s="36"/>
      <c r="B901" s="32"/>
      <c r="C901" s="31"/>
      <c r="D901" s="31"/>
      <c r="E901" s="42" t="s">
        <v>704</v>
      </c>
      <c r="F901" s="42" t="s">
        <v>785</v>
      </c>
      <c r="G901" s="45">
        <v>6</v>
      </c>
    </row>
    <row r="902" spans="1:7" ht="15.75" customHeight="1">
      <c r="A902" s="36"/>
      <c r="B902" s="32"/>
      <c r="C902" s="31"/>
      <c r="D902" s="31"/>
      <c r="E902" s="52"/>
      <c r="F902" s="53" t="s">
        <v>787</v>
      </c>
      <c r="G902" s="54">
        <v>6</v>
      </c>
    </row>
    <row r="903" spans="1:7" ht="15.75" customHeight="1">
      <c r="A903" s="36"/>
      <c r="B903" s="32"/>
      <c r="C903" s="31"/>
      <c r="D903" s="31"/>
      <c r="E903" s="42" t="s">
        <v>237</v>
      </c>
      <c r="F903" s="42" t="s">
        <v>785</v>
      </c>
      <c r="G903" s="45">
        <v>5</v>
      </c>
    </row>
    <row r="904" spans="1:7" ht="15.75" customHeight="1">
      <c r="A904" s="36"/>
      <c r="B904" s="32"/>
      <c r="C904" s="31"/>
      <c r="D904" s="31"/>
      <c r="E904" s="52"/>
      <c r="F904" s="53" t="s">
        <v>787</v>
      </c>
      <c r="G904" s="54">
        <v>5</v>
      </c>
    </row>
    <row r="905" spans="1:7" ht="15.75" customHeight="1">
      <c r="A905" s="36"/>
      <c r="B905" s="32"/>
      <c r="C905" s="31"/>
      <c r="D905" s="31"/>
      <c r="E905" s="42" t="s">
        <v>236</v>
      </c>
      <c r="F905" s="42" t="s">
        <v>785</v>
      </c>
      <c r="G905" s="45">
        <v>8</v>
      </c>
    </row>
    <row r="906" spans="1:7" ht="15.75" customHeight="1">
      <c r="A906" s="36"/>
      <c r="B906" s="32"/>
      <c r="C906" s="31"/>
      <c r="D906" s="31"/>
      <c r="E906" s="52"/>
      <c r="F906" s="53" t="s">
        <v>787</v>
      </c>
      <c r="G906" s="54">
        <v>8</v>
      </c>
    </row>
    <row r="907" spans="1:7" ht="15.75" customHeight="1">
      <c r="A907" s="36"/>
      <c r="B907" s="32"/>
      <c r="C907" s="31"/>
      <c r="D907" s="31"/>
      <c r="E907" s="42" t="s">
        <v>238</v>
      </c>
      <c r="F907" s="42" t="s">
        <v>785</v>
      </c>
      <c r="G907" s="45">
        <v>3</v>
      </c>
    </row>
    <row r="908" spans="1:7" ht="15.75" customHeight="1">
      <c r="A908" s="36"/>
      <c r="B908" s="32"/>
      <c r="C908" s="31"/>
      <c r="D908" s="31"/>
      <c r="E908" s="52"/>
      <c r="F908" s="53" t="s">
        <v>787</v>
      </c>
      <c r="G908" s="54">
        <v>3</v>
      </c>
    </row>
    <row r="909" spans="1:7" ht="15.75" customHeight="1">
      <c r="A909" s="36"/>
      <c r="B909" s="32"/>
      <c r="C909" s="31"/>
      <c r="D909" s="31"/>
      <c r="E909" s="42" t="s">
        <v>245</v>
      </c>
      <c r="F909" s="42" t="s">
        <v>785</v>
      </c>
      <c r="G909" s="45">
        <v>300</v>
      </c>
    </row>
    <row r="910" spans="1:7" ht="15.75" customHeight="1">
      <c r="A910" s="36"/>
      <c r="B910" s="32"/>
      <c r="C910" s="31"/>
      <c r="D910" s="31"/>
      <c r="E910" s="52"/>
      <c r="F910" s="53" t="s">
        <v>787</v>
      </c>
      <c r="G910" s="54">
        <v>270</v>
      </c>
    </row>
    <row r="911" spans="1:7" ht="15.75" customHeight="1">
      <c r="A911" s="36"/>
      <c r="B911" s="32"/>
      <c r="C911" s="31"/>
      <c r="D911" s="31"/>
      <c r="E911" s="42" t="s">
        <v>399</v>
      </c>
      <c r="F911" s="42" t="s">
        <v>785</v>
      </c>
      <c r="G911" s="45">
        <v>70</v>
      </c>
    </row>
    <row r="912" spans="1:7" ht="15.75" customHeight="1">
      <c r="A912" s="36"/>
      <c r="B912" s="32"/>
      <c r="C912" s="31"/>
      <c r="D912" s="31"/>
      <c r="E912" s="52"/>
      <c r="F912" s="53" t="s">
        <v>787</v>
      </c>
      <c r="G912" s="54">
        <v>70</v>
      </c>
    </row>
    <row r="913" spans="1:7" ht="15.75" customHeight="1">
      <c r="A913" s="36"/>
      <c r="B913" s="32"/>
      <c r="C913" s="31"/>
      <c r="D913" s="31"/>
      <c r="E913" s="42" t="s">
        <v>400</v>
      </c>
      <c r="F913" s="42" t="s">
        <v>785</v>
      </c>
      <c r="G913" s="45">
        <v>700</v>
      </c>
    </row>
    <row r="914" spans="1:7" ht="15.75" customHeight="1">
      <c r="A914" s="36"/>
      <c r="B914" s="32"/>
      <c r="C914" s="31"/>
      <c r="D914" s="31"/>
      <c r="E914" s="52"/>
      <c r="F914" s="53" t="s">
        <v>787</v>
      </c>
      <c r="G914" s="54">
        <v>700</v>
      </c>
    </row>
    <row r="915" spans="1:7" ht="15.75" customHeight="1">
      <c r="A915" s="36"/>
      <c r="B915" s="32"/>
      <c r="C915" s="31"/>
      <c r="D915" s="31"/>
      <c r="E915" s="42" t="s">
        <v>398</v>
      </c>
      <c r="F915" s="42" t="s">
        <v>785</v>
      </c>
      <c r="G915" s="45">
        <v>1608</v>
      </c>
    </row>
    <row r="916" spans="1:7" ht="15.75" customHeight="1">
      <c r="A916" s="36"/>
      <c r="B916" s="32"/>
      <c r="C916" s="31"/>
      <c r="D916" s="31"/>
      <c r="E916" s="52"/>
      <c r="F916" s="53" t="s">
        <v>787</v>
      </c>
      <c r="G916" s="54">
        <v>1608</v>
      </c>
    </row>
    <row r="917" spans="1:7" ht="15.75" customHeight="1">
      <c r="A917" s="36"/>
      <c r="B917" s="32"/>
      <c r="C917" s="31"/>
      <c r="D917" s="31"/>
      <c r="E917" s="42" t="s">
        <v>402</v>
      </c>
      <c r="F917" s="42" t="s">
        <v>785</v>
      </c>
      <c r="G917" s="45">
        <v>355</v>
      </c>
    </row>
    <row r="918" spans="1:7" ht="15.75" customHeight="1">
      <c r="A918" s="36"/>
      <c r="B918" s="32"/>
      <c r="C918" s="31"/>
      <c r="D918" s="31"/>
      <c r="E918" s="52"/>
      <c r="F918" s="53" t="s">
        <v>787</v>
      </c>
      <c r="G918" s="54">
        <v>355</v>
      </c>
    </row>
    <row r="919" spans="1:7" ht="15.75" customHeight="1">
      <c r="A919" s="36"/>
      <c r="B919" s="32"/>
      <c r="C919" s="31"/>
      <c r="D919" s="31"/>
      <c r="E919" s="42" t="s">
        <v>401</v>
      </c>
      <c r="F919" s="42" t="s">
        <v>785</v>
      </c>
      <c r="G919" s="45">
        <v>346</v>
      </c>
    </row>
    <row r="920" spans="1:7" ht="15.75" customHeight="1">
      <c r="A920" s="36"/>
      <c r="B920" s="32"/>
      <c r="C920" s="31"/>
      <c r="D920" s="31"/>
      <c r="E920" s="52"/>
      <c r="F920" s="53" t="s">
        <v>787</v>
      </c>
      <c r="G920" s="54">
        <v>346</v>
      </c>
    </row>
    <row r="921" spans="1:7" ht="15.75" customHeight="1">
      <c r="A921" s="36"/>
      <c r="B921" s="32"/>
      <c r="C921" s="31"/>
      <c r="D921" s="31"/>
      <c r="E921" s="42" t="s">
        <v>243</v>
      </c>
      <c r="F921" s="42" t="s">
        <v>785</v>
      </c>
      <c r="G921" s="45">
        <v>500</v>
      </c>
    </row>
    <row r="922" spans="1:7" ht="15.75" customHeight="1">
      <c r="A922" s="36"/>
      <c r="B922" s="32"/>
      <c r="C922" s="31"/>
      <c r="D922" s="31"/>
      <c r="E922" s="52"/>
      <c r="F922" s="53" t="s">
        <v>787</v>
      </c>
      <c r="G922" s="54">
        <v>500</v>
      </c>
    </row>
    <row r="923" spans="1:7" ht="15.75" customHeight="1">
      <c r="A923" s="36"/>
      <c r="B923" s="32"/>
      <c r="C923" s="31"/>
      <c r="D923" s="31"/>
      <c r="E923" s="42" t="s">
        <v>239</v>
      </c>
      <c r="F923" s="42" t="s">
        <v>785</v>
      </c>
      <c r="G923" s="45">
        <v>1000</v>
      </c>
    </row>
    <row r="924" spans="1:7" ht="15.75" customHeight="1">
      <c r="A924" s="36"/>
      <c r="B924" s="32"/>
      <c r="C924" s="31"/>
      <c r="D924" s="31"/>
      <c r="E924" s="52"/>
      <c r="F924" s="53" t="s">
        <v>787</v>
      </c>
      <c r="G924" s="54">
        <v>1000</v>
      </c>
    </row>
    <row r="925" spans="1:7" ht="15.75" customHeight="1">
      <c r="A925" s="36"/>
      <c r="B925" s="32"/>
      <c r="C925" s="31"/>
      <c r="D925" s="31"/>
      <c r="E925" s="42" t="s">
        <v>241</v>
      </c>
      <c r="F925" s="42" t="s">
        <v>785</v>
      </c>
      <c r="G925" s="45">
        <v>1000</v>
      </c>
    </row>
    <row r="926" spans="1:7" ht="15.75" customHeight="1">
      <c r="A926" s="36"/>
      <c r="B926" s="32"/>
      <c r="C926" s="31"/>
      <c r="D926" s="31"/>
      <c r="E926" s="52"/>
      <c r="F926" s="53" t="s">
        <v>787</v>
      </c>
      <c r="G926" s="54">
        <v>1000</v>
      </c>
    </row>
    <row r="927" spans="1:7" ht="15.75" customHeight="1">
      <c r="A927" s="36"/>
      <c r="B927" s="32"/>
      <c r="C927" s="31"/>
      <c r="D927" s="31"/>
      <c r="E927" s="42" t="s">
        <v>247</v>
      </c>
      <c r="F927" s="42" t="s">
        <v>785</v>
      </c>
      <c r="G927" s="45">
        <v>7</v>
      </c>
    </row>
    <row r="928" spans="1:7" ht="15.75" customHeight="1">
      <c r="A928" s="36"/>
      <c r="B928" s="32"/>
      <c r="C928" s="31"/>
      <c r="D928" s="31"/>
      <c r="E928" s="52"/>
      <c r="F928" s="53" t="s">
        <v>787</v>
      </c>
      <c r="G928" s="54">
        <v>7</v>
      </c>
    </row>
    <row r="929" spans="1:7" ht="15.75" customHeight="1">
      <c r="A929" s="36"/>
      <c r="B929" s="32"/>
      <c r="C929" s="31"/>
      <c r="D929" s="31"/>
      <c r="E929" s="42" t="s">
        <v>248</v>
      </c>
      <c r="F929" s="42" t="s">
        <v>785</v>
      </c>
      <c r="G929" s="45">
        <v>28</v>
      </c>
    </row>
    <row r="930" spans="1:7" ht="15.75" customHeight="1">
      <c r="A930" s="36"/>
      <c r="B930" s="32"/>
      <c r="C930" s="31"/>
      <c r="D930" s="31"/>
      <c r="E930" s="52"/>
      <c r="F930" s="53" t="s">
        <v>787</v>
      </c>
      <c r="G930" s="54">
        <v>28</v>
      </c>
    </row>
    <row r="931" spans="1:7" ht="15.75" customHeight="1">
      <c r="A931" s="36"/>
      <c r="B931" s="32"/>
      <c r="C931" s="31"/>
      <c r="D931" s="31"/>
      <c r="E931" s="42" t="s">
        <v>258</v>
      </c>
      <c r="F931" s="42" t="s">
        <v>785</v>
      </c>
      <c r="G931" s="45">
        <v>8</v>
      </c>
    </row>
    <row r="932" spans="1:7" ht="15.75" customHeight="1">
      <c r="A932" s="36"/>
      <c r="B932" s="32"/>
      <c r="C932" s="31"/>
      <c r="D932" s="31"/>
      <c r="E932" s="52"/>
      <c r="F932" s="53" t="s">
        <v>787</v>
      </c>
      <c r="G932" s="54">
        <v>8</v>
      </c>
    </row>
    <row r="933" spans="1:7" ht="15.75" customHeight="1">
      <c r="A933" s="36"/>
      <c r="B933" s="32"/>
      <c r="C933" s="31"/>
      <c r="D933" s="31"/>
      <c r="E933" s="42" t="s">
        <v>257</v>
      </c>
      <c r="F933" s="42" t="s">
        <v>785</v>
      </c>
      <c r="G933" s="45">
        <v>20</v>
      </c>
    </row>
    <row r="934" spans="1:7" ht="15.75" customHeight="1">
      <c r="A934" s="36"/>
      <c r="B934" s="32"/>
      <c r="C934" s="31"/>
      <c r="D934" s="31"/>
      <c r="E934" s="52"/>
      <c r="F934" s="53" t="s">
        <v>787</v>
      </c>
      <c r="G934" s="54">
        <v>20</v>
      </c>
    </row>
    <row r="935" spans="1:7" ht="15.75" customHeight="1">
      <c r="A935" s="36"/>
      <c r="B935" s="32"/>
      <c r="C935" s="31"/>
      <c r="D935" s="31"/>
      <c r="E935" s="42" t="s">
        <v>256</v>
      </c>
      <c r="F935" s="42" t="s">
        <v>785</v>
      </c>
      <c r="G935" s="45">
        <v>6</v>
      </c>
    </row>
    <row r="936" spans="1:7" ht="15.75" customHeight="1">
      <c r="A936" s="36"/>
      <c r="B936" s="32"/>
      <c r="C936" s="31"/>
      <c r="D936" s="31"/>
      <c r="E936" s="52"/>
      <c r="F936" s="53" t="s">
        <v>787</v>
      </c>
      <c r="G936" s="54">
        <v>6</v>
      </c>
    </row>
    <row r="937" spans="1:7" ht="15.75" customHeight="1">
      <c r="A937" s="36"/>
      <c r="B937" s="32"/>
      <c r="C937" s="31"/>
      <c r="D937" s="31"/>
      <c r="E937" s="42" t="s">
        <v>253</v>
      </c>
      <c r="F937" s="42" t="s">
        <v>785</v>
      </c>
      <c r="G937" s="45">
        <v>1</v>
      </c>
    </row>
    <row r="938" spans="1:7" ht="15.75" customHeight="1">
      <c r="A938" s="36"/>
      <c r="B938" s="32"/>
      <c r="C938" s="31"/>
      <c r="D938" s="31"/>
      <c r="E938" s="52"/>
      <c r="F938" s="53" t="s">
        <v>787</v>
      </c>
      <c r="G938" s="54">
        <v>1</v>
      </c>
    </row>
    <row r="939" spans="1:7" ht="15.75" customHeight="1">
      <c r="A939" s="36"/>
      <c r="B939" s="32"/>
      <c r="C939" s="31"/>
      <c r="D939" s="31"/>
      <c r="E939" s="42" t="s">
        <v>254</v>
      </c>
      <c r="F939" s="42" t="s">
        <v>785</v>
      </c>
      <c r="G939" s="45">
        <v>3</v>
      </c>
    </row>
    <row r="940" spans="1:7" ht="15.75" customHeight="1">
      <c r="A940" s="36"/>
      <c r="B940" s="32"/>
      <c r="C940" s="31"/>
      <c r="D940" s="31"/>
      <c r="E940" s="52"/>
      <c r="F940" s="53" t="s">
        <v>787</v>
      </c>
      <c r="G940" s="54">
        <v>3</v>
      </c>
    </row>
    <row r="941" spans="1:7" ht="15.75" customHeight="1">
      <c r="A941" s="36"/>
      <c r="B941" s="32"/>
      <c r="C941" s="31"/>
      <c r="D941" s="31"/>
      <c r="E941" s="42" t="s">
        <v>255</v>
      </c>
      <c r="F941" s="42" t="s">
        <v>785</v>
      </c>
      <c r="G941" s="45">
        <v>8</v>
      </c>
    </row>
    <row r="942" spans="1:7" ht="15.75" customHeight="1">
      <c r="A942" s="36"/>
      <c r="B942" s="32"/>
      <c r="C942" s="31"/>
      <c r="D942" s="31"/>
      <c r="E942" s="52"/>
      <c r="F942" s="53" t="s">
        <v>787</v>
      </c>
      <c r="G942" s="54">
        <v>8</v>
      </c>
    </row>
    <row r="943" spans="1:7" ht="15.75" customHeight="1">
      <c r="A943" s="36"/>
      <c r="B943" s="32"/>
      <c r="C943" s="31"/>
      <c r="D943" s="31"/>
      <c r="E943" s="42" t="s">
        <v>249</v>
      </c>
      <c r="F943" s="42" t="s">
        <v>785</v>
      </c>
      <c r="G943" s="45">
        <v>89</v>
      </c>
    </row>
    <row r="944" spans="1:7" ht="15.75" customHeight="1">
      <c r="A944" s="36"/>
      <c r="B944" s="32"/>
      <c r="C944" s="31"/>
      <c r="D944" s="31"/>
      <c r="E944" s="52"/>
      <c r="F944" s="53" t="s">
        <v>787</v>
      </c>
      <c r="G944" s="54">
        <v>89</v>
      </c>
    </row>
    <row r="945" spans="1:7" ht="15.75" customHeight="1">
      <c r="A945" s="36"/>
      <c r="B945" s="32"/>
      <c r="C945" s="31"/>
      <c r="D945" s="31"/>
      <c r="E945" s="42" t="s">
        <v>250</v>
      </c>
      <c r="F945" s="42" t="s">
        <v>785</v>
      </c>
      <c r="G945" s="45">
        <v>23</v>
      </c>
    </row>
    <row r="946" spans="1:7" ht="15.75" customHeight="1">
      <c r="A946" s="36"/>
      <c r="B946" s="32"/>
      <c r="C946" s="31"/>
      <c r="D946" s="31"/>
      <c r="E946" s="52"/>
      <c r="F946" s="53" t="s">
        <v>787</v>
      </c>
      <c r="G946" s="54">
        <v>23</v>
      </c>
    </row>
    <row r="947" spans="1:7" ht="15.75" customHeight="1">
      <c r="A947" s="36"/>
      <c r="B947" s="32"/>
      <c r="C947" s="31"/>
      <c r="D947" s="31"/>
      <c r="E947" s="42" t="s">
        <v>251</v>
      </c>
      <c r="F947" s="42" t="s">
        <v>785</v>
      </c>
      <c r="G947" s="45">
        <v>85</v>
      </c>
    </row>
    <row r="948" spans="1:7" ht="15.75" customHeight="1">
      <c r="A948" s="36"/>
      <c r="B948" s="32"/>
      <c r="C948" s="31"/>
      <c r="D948" s="31"/>
      <c r="E948" s="52"/>
      <c r="F948" s="53" t="s">
        <v>787</v>
      </c>
      <c r="G948" s="54">
        <v>85</v>
      </c>
    </row>
    <row r="949" spans="1:7" ht="15.75" customHeight="1">
      <c r="A949" s="36"/>
      <c r="B949" s="32"/>
      <c r="C949" s="31"/>
      <c r="D949" s="31"/>
      <c r="E949" s="42" t="s">
        <v>252</v>
      </c>
      <c r="F949" s="42" t="s">
        <v>785</v>
      </c>
      <c r="G949" s="45">
        <v>7</v>
      </c>
    </row>
    <row r="950" spans="1:7" ht="15.75" customHeight="1">
      <c r="A950" s="36"/>
      <c r="B950" s="32"/>
      <c r="C950" s="31"/>
      <c r="D950" s="31"/>
      <c r="E950" s="52"/>
      <c r="F950" s="53" t="s">
        <v>787</v>
      </c>
      <c r="G950" s="54">
        <v>7</v>
      </c>
    </row>
    <row r="951" spans="1:7" ht="15.75" customHeight="1">
      <c r="A951" s="36"/>
      <c r="B951" s="32"/>
      <c r="C951" s="31"/>
      <c r="D951" s="31"/>
      <c r="E951" s="42" t="s">
        <v>259</v>
      </c>
      <c r="F951" s="42" t="s">
        <v>785</v>
      </c>
      <c r="G951" s="45">
        <v>11</v>
      </c>
    </row>
    <row r="952" spans="1:7" ht="15.75" customHeight="1">
      <c r="A952" s="36"/>
      <c r="B952" s="32"/>
      <c r="C952" s="31"/>
      <c r="D952" s="31"/>
      <c r="E952" s="52"/>
      <c r="F952" s="53" t="s">
        <v>787</v>
      </c>
      <c r="G952" s="54">
        <v>11</v>
      </c>
    </row>
    <row r="953" spans="1:7" ht="15.75" customHeight="1">
      <c r="A953" s="36"/>
      <c r="B953" s="32"/>
      <c r="C953" s="31"/>
      <c r="D953" s="31"/>
      <c r="E953" s="42" t="s">
        <v>260</v>
      </c>
      <c r="F953" s="42" t="s">
        <v>785</v>
      </c>
      <c r="G953" s="45">
        <v>8</v>
      </c>
    </row>
    <row r="954" spans="1:7" ht="15.75" customHeight="1">
      <c r="A954" s="36"/>
      <c r="B954" s="32"/>
      <c r="C954" s="31"/>
      <c r="D954" s="31"/>
      <c r="E954" s="52"/>
      <c r="F954" s="53" t="s">
        <v>787</v>
      </c>
      <c r="G954" s="54">
        <v>8</v>
      </c>
    </row>
    <row r="955" spans="1:7" ht="15.75" customHeight="1">
      <c r="A955" s="36"/>
      <c r="B955" s="32"/>
      <c r="C955" s="31"/>
      <c r="D955" s="31"/>
      <c r="E955" s="42" t="s">
        <v>631</v>
      </c>
      <c r="F955" s="42" t="s">
        <v>785</v>
      </c>
      <c r="G955" s="45">
        <v>100</v>
      </c>
    </row>
    <row r="956" spans="1:7" ht="15.75" customHeight="1">
      <c r="A956" s="36"/>
      <c r="B956" s="32"/>
      <c r="C956" s="31"/>
      <c r="D956" s="31"/>
      <c r="E956" s="52"/>
      <c r="F956" s="53" t="s">
        <v>787</v>
      </c>
      <c r="G956" s="54">
        <v>96</v>
      </c>
    </row>
    <row r="957" spans="1:7" ht="15.75" customHeight="1">
      <c r="A957" s="36"/>
      <c r="B957" s="32"/>
      <c r="C957" s="31"/>
      <c r="D957" s="31"/>
      <c r="E957" s="42" t="s">
        <v>630</v>
      </c>
      <c r="F957" s="42" t="s">
        <v>785</v>
      </c>
      <c r="G957" s="45">
        <v>141</v>
      </c>
    </row>
    <row r="958" spans="1:7" ht="15.75" customHeight="1">
      <c r="A958" s="36"/>
      <c r="B958" s="32"/>
      <c r="C958" s="31"/>
      <c r="D958" s="31"/>
      <c r="E958" s="52"/>
      <c r="F958" s="53" t="s">
        <v>787</v>
      </c>
      <c r="G958" s="54">
        <v>84</v>
      </c>
    </row>
    <row r="959" spans="1:7" ht="15.75" customHeight="1">
      <c r="A959" s="36"/>
      <c r="B959" s="32"/>
      <c r="C959" s="31"/>
      <c r="D959" s="31"/>
      <c r="E959" s="42" t="s">
        <v>634</v>
      </c>
      <c r="F959" s="42" t="s">
        <v>785</v>
      </c>
      <c r="G959" s="45">
        <v>181</v>
      </c>
    </row>
    <row r="960" spans="1:7" ht="15.75" customHeight="1">
      <c r="A960" s="36"/>
      <c r="B960" s="32"/>
      <c r="C960" s="31"/>
      <c r="D960" s="31"/>
      <c r="E960" s="52"/>
      <c r="F960" s="53" t="s">
        <v>787</v>
      </c>
      <c r="G960" s="54">
        <v>181</v>
      </c>
    </row>
    <row r="961" spans="1:7" ht="15.75" customHeight="1">
      <c r="A961" s="36"/>
      <c r="B961" s="32"/>
      <c r="C961" s="31"/>
      <c r="D961" s="31"/>
      <c r="E961" s="42" t="s">
        <v>633</v>
      </c>
      <c r="F961" s="42" t="s">
        <v>785</v>
      </c>
      <c r="G961" s="45">
        <v>37</v>
      </c>
    </row>
    <row r="962" spans="1:7" ht="15.75" customHeight="1">
      <c r="A962" s="36"/>
      <c r="B962" s="32"/>
      <c r="C962" s="31"/>
      <c r="D962" s="31"/>
      <c r="E962" s="52"/>
      <c r="F962" s="53" t="s">
        <v>787</v>
      </c>
      <c r="G962" s="54">
        <v>34</v>
      </c>
    </row>
    <row r="963" spans="1:7" ht="15.75" customHeight="1">
      <c r="A963" s="36"/>
      <c r="B963" s="32"/>
      <c r="C963" s="31"/>
      <c r="D963" s="31"/>
      <c r="E963" s="42" t="s">
        <v>642</v>
      </c>
      <c r="F963" s="42" t="s">
        <v>785</v>
      </c>
      <c r="G963" s="45">
        <v>6</v>
      </c>
    </row>
    <row r="964" spans="1:7" ht="15.75" customHeight="1">
      <c r="A964" s="36"/>
      <c r="B964" s="32"/>
      <c r="C964" s="31"/>
      <c r="D964" s="31"/>
      <c r="E964" s="52"/>
      <c r="F964" s="53" t="s">
        <v>787</v>
      </c>
      <c r="G964" s="54">
        <v>6</v>
      </c>
    </row>
    <row r="965" spans="1:7" ht="15.75" customHeight="1">
      <c r="A965" s="36"/>
      <c r="B965" s="32"/>
      <c r="C965" s="31"/>
      <c r="D965" s="31"/>
      <c r="E965" s="42" t="s">
        <v>644</v>
      </c>
      <c r="F965" s="42" t="s">
        <v>785</v>
      </c>
      <c r="G965" s="45">
        <v>41</v>
      </c>
    </row>
    <row r="966" spans="1:7" ht="15.75" customHeight="1">
      <c r="A966" s="36"/>
      <c r="B966" s="32"/>
      <c r="C966" s="31"/>
      <c r="D966" s="31"/>
      <c r="E966" s="52"/>
      <c r="F966" s="53" t="s">
        <v>787</v>
      </c>
      <c r="G966" s="54">
        <v>41</v>
      </c>
    </row>
    <row r="967" spans="1:7" ht="15.75" customHeight="1">
      <c r="A967" s="36"/>
      <c r="B967" s="32"/>
      <c r="C967" s="31"/>
      <c r="D967" s="31"/>
      <c r="E967" s="42" t="s">
        <v>641</v>
      </c>
      <c r="F967" s="42" t="s">
        <v>785</v>
      </c>
      <c r="G967" s="45">
        <v>40</v>
      </c>
    </row>
    <row r="968" spans="1:7" ht="15.75" customHeight="1">
      <c r="A968" s="36"/>
      <c r="B968" s="32"/>
      <c r="C968" s="31"/>
      <c r="D968" s="31"/>
      <c r="E968" s="52"/>
      <c r="F968" s="53" t="s">
        <v>787</v>
      </c>
      <c r="G968" s="54">
        <v>40</v>
      </c>
    </row>
    <row r="969" spans="1:7" ht="15.75" customHeight="1">
      <c r="A969" s="36"/>
      <c r="B969" s="32"/>
      <c r="C969" s="31"/>
      <c r="D969" s="31"/>
      <c r="E969" s="42" t="s">
        <v>643</v>
      </c>
      <c r="F969" s="42" t="s">
        <v>785</v>
      </c>
      <c r="G969" s="45">
        <v>25</v>
      </c>
    </row>
    <row r="970" spans="1:7" ht="15.75" customHeight="1">
      <c r="A970" s="36"/>
      <c r="B970" s="32"/>
      <c r="C970" s="31"/>
      <c r="D970" s="31"/>
      <c r="E970" s="52"/>
      <c r="F970" s="53" t="s">
        <v>787</v>
      </c>
      <c r="G970" s="54">
        <v>25</v>
      </c>
    </row>
    <row r="971" spans="1:7" ht="15.75" customHeight="1">
      <c r="A971" s="36"/>
      <c r="B971" s="32"/>
      <c r="C971" s="31"/>
      <c r="D971" s="31"/>
      <c r="E971" s="42" t="s">
        <v>640</v>
      </c>
      <c r="F971" s="42" t="s">
        <v>785</v>
      </c>
      <c r="G971" s="45">
        <v>146</v>
      </c>
    </row>
    <row r="972" spans="1:7" ht="15.75" customHeight="1">
      <c r="A972" s="36"/>
      <c r="B972" s="32"/>
      <c r="C972" s="31"/>
      <c r="D972" s="31"/>
      <c r="E972" s="52"/>
      <c r="F972" s="53" t="s">
        <v>787</v>
      </c>
      <c r="G972" s="54">
        <v>146</v>
      </c>
    </row>
    <row r="973" spans="1:7" ht="15.75" customHeight="1">
      <c r="A973" s="36"/>
      <c r="B973" s="32"/>
      <c r="C973" s="31"/>
      <c r="D973" s="31"/>
      <c r="E973" s="42" t="s">
        <v>267</v>
      </c>
      <c r="F973" s="42" t="s">
        <v>785</v>
      </c>
      <c r="G973" s="45">
        <v>6</v>
      </c>
    </row>
    <row r="974" spans="1:7" ht="15.75" customHeight="1">
      <c r="A974" s="36"/>
      <c r="B974" s="32"/>
      <c r="C974" s="31"/>
      <c r="D974" s="31"/>
      <c r="E974" s="52"/>
      <c r="F974" s="53" t="s">
        <v>787</v>
      </c>
      <c r="G974" s="54">
        <v>6</v>
      </c>
    </row>
    <row r="975" spans="1:7" ht="15.75" customHeight="1">
      <c r="A975" s="36"/>
      <c r="B975" s="32"/>
      <c r="C975" s="31"/>
      <c r="D975" s="31"/>
      <c r="E975" s="42" t="s">
        <v>405</v>
      </c>
      <c r="F975" s="42" t="s">
        <v>785</v>
      </c>
      <c r="G975" s="45">
        <v>5</v>
      </c>
    </row>
    <row r="976" spans="1:7" ht="15.75" customHeight="1">
      <c r="A976" s="36"/>
      <c r="B976" s="32"/>
      <c r="C976" s="31"/>
      <c r="D976" s="31"/>
      <c r="E976" s="52"/>
      <c r="F976" s="53" t="s">
        <v>787</v>
      </c>
      <c r="G976" s="54">
        <v>5</v>
      </c>
    </row>
    <row r="977" spans="1:7" ht="15.75" customHeight="1">
      <c r="A977" s="36"/>
      <c r="B977" s="32"/>
      <c r="C977" s="31"/>
      <c r="D977" s="31"/>
      <c r="E977" s="42" t="s">
        <v>226</v>
      </c>
      <c r="F977" s="42" t="s">
        <v>785</v>
      </c>
      <c r="G977" s="45">
        <v>100</v>
      </c>
    </row>
    <row r="978" spans="1:7" ht="15.75" customHeight="1">
      <c r="A978" s="36"/>
      <c r="B978" s="32"/>
      <c r="C978" s="31"/>
      <c r="D978" s="31"/>
      <c r="E978" s="52"/>
      <c r="F978" s="53" t="s">
        <v>787</v>
      </c>
      <c r="G978" s="54">
        <v>100</v>
      </c>
    </row>
    <row r="979" spans="1:7" ht="15.75" customHeight="1">
      <c r="A979" s="36"/>
      <c r="B979" s="32"/>
      <c r="C979" s="31"/>
      <c r="D979" s="31"/>
      <c r="E979" s="42" t="s">
        <v>403</v>
      </c>
      <c r="F979" s="42" t="s">
        <v>785</v>
      </c>
      <c r="G979" s="45">
        <v>2290</v>
      </c>
    </row>
    <row r="980" spans="1:7" ht="15.75" customHeight="1">
      <c r="A980" s="36"/>
      <c r="B980" s="32"/>
      <c r="C980" s="31"/>
      <c r="D980" s="31"/>
      <c r="E980" s="52"/>
      <c r="F980" s="53" t="s">
        <v>787</v>
      </c>
      <c r="G980" s="54">
        <v>2275</v>
      </c>
    </row>
    <row r="981" spans="1:7" ht="15.75" customHeight="1">
      <c r="A981" s="36"/>
      <c r="B981" s="32"/>
      <c r="C981" s="31"/>
      <c r="D981" s="31"/>
      <c r="E981" s="42" t="s">
        <v>404</v>
      </c>
      <c r="F981" s="42" t="s">
        <v>785</v>
      </c>
      <c r="G981" s="45">
        <v>1984</v>
      </c>
    </row>
    <row r="982" spans="1:7" ht="15.75" customHeight="1">
      <c r="A982" s="36"/>
      <c r="B982" s="32"/>
      <c r="C982" s="31"/>
      <c r="D982" s="31"/>
      <c r="E982" s="52"/>
      <c r="F982" s="53" t="s">
        <v>787</v>
      </c>
      <c r="G982" s="54">
        <v>1954</v>
      </c>
    </row>
    <row r="983" spans="1:7" ht="15.75" customHeight="1">
      <c r="A983" s="36"/>
      <c r="B983" s="32"/>
      <c r="C983" s="31"/>
      <c r="D983" s="31"/>
      <c r="E983" s="42" t="s">
        <v>261</v>
      </c>
      <c r="F983" s="42" t="s">
        <v>785</v>
      </c>
      <c r="G983" s="45">
        <v>1000</v>
      </c>
    </row>
    <row r="984" spans="1:7" ht="15.75" customHeight="1">
      <c r="A984" s="36"/>
      <c r="B984" s="32"/>
      <c r="C984" s="31"/>
      <c r="D984" s="31"/>
      <c r="E984" s="52"/>
      <c r="F984" s="53" t="s">
        <v>787</v>
      </c>
      <c r="G984" s="54">
        <v>0</v>
      </c>
    </row>
    <row r="985" spans="1:7" ht="15.75" customHeight="1">
      <c r="A985" s="36"/>
      <c r="B985" s="32"/>
      <c r="C985" s="31"/>
      <c r="D985" s="31"/>
      <c r="E985" s="42" t="s">
        <v>263</v>
      </c>
      <c r="F985" s="42" t="s">
        <v>785</v>
      </c>
      <c r="G985" s="45">
        <v>1000</v>
      </c>
    </row>
    <row r="986" spans="1:7" ht="15.75" customHeight="1">
      <c r="A986" s="36"/>
      <c r="B986" s="32"/>
      <c r="C986" s="31"/>
      <c r="D986" s="31"/>
      <c r="E986" s="52"/>
      <c r="F986" s="53" t="s">
        <v>787</v>
      </c>
      <c r="G986" s="54">
        <v>980</v>
      </c>
    </row>
    <row r="987" spans="1:7" ht="15.75" customHeight="1">
      <c r="A987" s="36"/>
      <c r="B987" s="32"/>
      <c r="C987" s="31"/>
      <c r="D987" s="31"/>
      <c r="E987" s="42" t="s">
        <v>265</v>
      </c>
      <c r="F987" s="42" t="s">
        <v>785</v>
      </c>
      <c r="G987" s="45">
        <v>1000</v>
      </c>
    </row>
    <row r="988" spans="1:7" ht="15.75" customHeight="1">
      <c r="A988" s="36"/>
      <c r="B988" s="32"/>
      <c r="C988" s="31"/>
      <c r="D988" s="31"/>
      <c r="E988" s="52"/>
      <c r="F988" s="53" t="s">
        <v>787</v>
      </c>
      <c r="G988" s="54">
        <v>939</v>
      </c>
    </row>
    <row r="989" spans="1:7" ht="15.75" customHeight="1">
      <c r="A989" s="36"/>
      <c r="B989" s="32"/>
      <c r="C989" s="31"/>
      <c r="D989" s="31"/>
      <c r="E989" s="42" t="s">
        <v>406</v>
      </c>
      <c r="F989" s="42" t="s">
        <v>785</v>
      </c>
      <c r="G989" s="45">
        <v>10</v>
      </c>
    </row>
    <row r="990" spans="1:7" ht="15.75" customHeight="1">
      <c r="A990" s="36"/>
      <c r="B990" s="32"/>
      <c r="C990" s="31"/>
      <c r="D990" s="31"/>
      <c r="E990" s="52"/>
      <c r="F990" s="53" t="s">
        <v>787</v>
      </c>
      <c r="G990" s="54">
        <v>10</v>
      </c>
    </row>
    <row r="991" spans="1:7" ht="15.75" customHeight="1">
      <c r="A991" s="36"/>
      <c r="B991" s="32"/>
      <c r="C991" s="31"/>
      <c r="D991" s="31"/>
      <c r="E991" s="42" t="s">
        <v>268</v>
      </c>
      <c r="F991" s="42" t="s">
        <v>785</v>
      </c>
      <c r="G991" s="45">
        <v>33</v>
      </c>
    </row>
    <row r="992" spans="1:7" ht="15.75" customHeight="1">
      <c r="A992" s="36"/>
      <c r="B992" s="32"/>
      <c r="C992" s="31"/>
      <c r="D992" s="31"/>
      <c r="E992" s="52"/>
      <c r="F992" s="53" t="s">
        <v>787</v>
      </c>
      <c r="G992" s="54">
        <v>33</v>
      </c>
    </row>
    <row r="993" spans="1:7" ht="15.75" customHeight="1">
      <c r="A993" s="36"/>
      <c r="B993" s="32"/>
      <c r="C993" s="31"/>
      <c r="D993" s="31"/>
      <c r="E993" s="42" t="s">
        <v>269</v>
      </c>
      <c r="F993" s="42" t="s">
        <v>785</v>
      </c>
      <c r="G993" s="45">
        <v>37</v>
      </c>
    </row>
    <row r="994" spans="1:7" ht="15.75" customHeight="1">
      <c r="A994" s="36"/>
      <c r="B994" s="32"/>
      <c r="C994" s="31"/>
      <c r="D994" s="31"/>
      <c r="E994" s="52"/>
      <c r="F994" s="53" t="s">
        <v>787</v>
      </c>
      <c r="G994" s="54">
        <v>37</v>
      </c>
    </row>
    <row r="995" spans="1:7" ht="15.75" customHeight="1">
      <c r="A995" s="36"/>
      <c r="B995" s="32"/>
      <c r="C995" s="31"/>
      <c r="D995" s="31"/>
      <c r="E995" s="42" t="s">
        <v>270</v>
      </c>
      <c r="F995" s="42" t="s">
        <v>785</v>
      </c>
      <c r="G995" s="45">
        <v>23</v>
      </c>
    </row>
    <row r="996" spans="1:7" ht="15.75" customHeight="1">
      <c r="A996" s="36"/>
      <c r="B996" s="32"/>
      <c r="C996" s="31"/>
      <c r="D996" s="31"/>
      <c r="E996" s="52"/>
      <c r="F996" s="53" t="s">
        <v>787</v>
      </c>
      <c r="G996" s="54">
        <v>23</v>
      </c>
    </row>
    <row r="997" spans="1:7" ht="15.75" customHeight="1">
      <c r="A997" s="36"/>
      <c r="B997" s="32"/>
      <c r="C997" s="31"/>
      <c r="D997" s="31"/>
      <c r="E997" s="42" t="s">
        <v>411</v>
      </c>
      <c r="F997" s="42" t="s">
        <v>785</v>
      </c>
      <c r="G997" s="45">
        <v>800</v>
      </c>
    </row>
    <row r="998" spans="1:7" ht="15.75" customHeight="1">
      <c r="A998" s="36"/>
      <c r="B998" s="32"/>
      <c r="C998" s="31"/>
      <c r="D998" s="31"/>
      <c r="E998" s="52"/>
      <c r="F998" s="53" t="s">
        <v>787</v>
      </c>
      <c r="G998" s="54">
        <v>600</v>
      </c>
    </row>
    <row r="999" spans="1:7" ht="15.75" customHeight="1">
      <c r="A999" s="36"/>
      <c r="B999" s="32"/>
      <c r="C999" s="31"/>
      <c r="D999" s="31"/>
      <c r="E999" s="42" t="s">
        <v>410</v>
      </c>
      <c r="F999" s="42" t="s">
        <v>785</v>
      </c>
      <c r="G999" s="45">
        <v>255</v>
      </c>
    </row>
    <row r="1000" spans="1:7" ht="15.75" customHeight="1">
      <c r="A1000" s="36"/>
      <c r="B1000" s="32"/>
      <c r="C1000" s="31"/>
      <c r="D1000" s="31"/>
      <c r="E1000" s="52"/>
      <c r="F1000" s="53" t="s">
        <v>787</v>
      </c>
      <c r="G1000" s="54">
        <v>255</v>
      </c>
    </row>
    <row r="1001" spans="1:7" ht="15.75" customHeight="1">
      <c r="A1001" s="36"/>
      <c r="B1001" s="32"/>
      <c r="C1001" s="31"/>
      <c r="D1001" s="31"/>
      <c r="E1001" s="42" t="s">
        <v>407</v>
      </c>
      <c r="F1001" s="42" t="s">
        <v>785</v>
      </c>
      <c r="G1001" s="45">
        <v>61</v>
      </c>
    </row>
    <row r="1002" spans="1:7" ht="15.75" customHeight="1">
      <c r="A1002" s="36"/>
      <c r="B1002" s="32"/>
      <c r="C1002" s="31"/>
      <c r="D1002" s="31"/>
      <c r="E1002" s="52"/>
      <c r="F1002" s="53" t="s">
        <v>787</v>
      </c>
      <c r="G1002" s="54">
        <v>61</v>
      </c>
    </row>
    <row r="1003" spans="1:7" ht="15.75" customHeight="1">
      <c r="A1003" s="36"/>
      <c r="B1003" s="32"/>
      <c r="C1003" s="31"/>
      <c r="D1003" s="31"/>
      <c r="E1003" s="42" t="s">
        <v>408</v>
      </c>
      <c r="F1003" s="42" t="s">
        <v>785</v>
      </c>
      <c r="G1003" s="45">
        <v>700</v>
      </c>
    </row>
    <row r="1004" spans="1:7" ht="15.75" customHeight="1">
      <c r="A1004" s="36"/>
      <c r="B1004" s="32"/>
      <c r="C1004" s="31"/>
      <c r="D1004" s="31"/>
      <c r="E1004" s="52"/>
      <c r="F1004" s="53" t="s">
        <v>787</v>
      </c>
      <c r="G1004" s="54">
        <v>700</v>
      </c>
    </row>
    <row r="1005" spans="1:7" ht="15.75" customHeight="1">
      <c r="A1005" s="36"/>
      <c r="B1005" s="32"/>
      <c r="C1005" s="31"/>
      <c r="D1005" s="31"/>
      <c r="E1005" s="42" t="s">
        <v>409</v>
      </c>
      <c r="F1005" s="42" t="s">
        <v>785</v>
      </c>
      <c r="G1005" s="45">
        <v>400</v>
      </c>
    </row>
    <row r="1006" spans="1:7" ht="15.75" customHeight="1">
      <c r="A1006" s="36"/>
      <c r="B1006" s="32"/>
      <c r="C1006" s="31"/>
      <c r="D1006" s="31"/>
      <c r="E1006" s="52"/>
      <c r="F1006" s="53" t="s">
        <v>787</v>
      </c>
      <c r="G1006" s="54">
        <v>400</v>
      </c>
    </row>
    <row r="1007" spans="1:7" ht="15.75" customHeight="1">
      <c r="A1007" s="36"/>
      <c r="B1007" s="32"/>
      <c r="C1007" s="31"/>
      <c r="D1007" s="31"/>
      <c r="E1007" s="42" t="s">
        <v>271</v>
      </c>
      <c r="F1007" s="42" t="s">
        <v>785</v>
      </c>
      <c r="G1007" s="45">
        <v>7</v>
      </c>
    </row>
    <row r="1008" spans="1:7" ht="15.75" customHeight="1">
      <c r="A1008" s="36"/>
      <c r="B1008" s="32"/>
      <c r="C1008" s="31"/>
      <c r="D1008" s="31"/>
      <c r="E1008" s="52"/>
      <c r="F1008" s="53" t="s">
        <v>787</v>
      </c>
      <c r="G1008" s="54">
        <v>7</v>
      </c>
    </row>
    <row r="1009" spans="1:7" ht="15.75" customHeight="1">
      <c r="A1009" s="36"/>
      <c r="B1009" s="32"/>
      <c r="C1009" s="31"/>
      <c r="D1009" s="31"/>
      <c r="E1009" s="42" t="s">
        <v>711</v>
      </c>
      <c r="F1009" s="42" t="s">
        <v>785</v>
      </c>
      <c r="G1009" s="45">
        <v>2</v>
      </c>
    </row>
    <row r="1010" spans="1:7" ht="15.75" customHeight="1">
      <c r="A1010" s="36"/>
      <c r="B1010" s="32"/>
      <c r="C1010" s="31"/>
      <c r="D1010" s="31"/>
      <c r="E1010" s="52"/>
      <c r="F1010" s="53" t="s">
        <v>787</v>
      </c>
      <c r="G1010" s="54">
        <v>2</v>
      </c>
    </row>
    <row r="1011" spans="1:7" ht="15.75" customHeight="1">
      <c r="A1011" s="36"/>
      <c r="B1011" s="32"/>
      <c r="C1011" s="31"/>
      <c r="D1011" s="31"/>
      <c r="E1011" s="42" t="s">
        <v>712</v>
      </c>
      <c r="F1011" s="42" t="s">
        <v>785</v>
      </c>
      <c r="G1011" s="45">
        <v>11</v>
      </c>
    </row>
    <row r="1012" spans="1:7" ht="15.75" customHeight="1">
      <c r="A1012" s="36"/>
      <c r="B1012" s="32"/>
      <c r="C1012" s="31"/>
      <c r="D1012" s="31"/>
      <c r="E1012" s="52"/>
      <c r="F1012" s="53" t="s">
        <v>787</v>
      </c>
      <c r="G1012" s="54">
        <v>11</v>
      </c>
    </row>
    <row r="1013" spans="1:7" ht="15.75" customHeight="1">
      <c r="A1013" s="36"/>
      <c r="B1013" s="32"/>
      <c r="C1013" s="31"/>
      <c r="D1013" s="31"/>
      <c r="E1013" s="42" t="s">
        <v>713</v>
      </c>
      <c r="F1013" s="42" t="s">
        <v>785</v>
      </c>
      <c r="G1013" s="45">
        <v>23</v>
      </c>
    </row>
    <row r="1014" spans="1:7" ht="15.75" customHeight="1">
      <c r="A1014" s="36"/>
      <c r="B1014" s="32"/>
      <c r="C1014" s="31"/>
      <c r="D1014" s="31"/>
      <c r="E1014" s="52"/>
      <c r="F1014" s="53" t="s">
        <v>787</v>
      </c>
      <c r="G1014" s="54">
        <v>23</v>
      </c>
    </row>
    <row r="1015" spans="1:7" ht="15.75" customHeight="1">
      <c r="A1015" s="36"/>
      <c r="B1015" s="32"/>
      <c r="C1015" s="31"/>
      <c r="D1015" s="31"/>
      <c r="E1015" s="42" t="s">
        <v>274</v>
      </c>
      <c r="F1015" s="42" t="s">
        <v>785</v>
      </c>
      <c r="G1015" s="45">
        <v>7</v>
      </c>
    </row>
    <row r="1016" spans="1:7" ht="15.75" customHeight="1">
      <c r="A1016" s="36"/>
      <c r="B1016" s="32"/>
      <c r="C1016" s="31"/>
      <c r="D1016" s="31"/>
      <c r="E1016" s="52"/>
      <c r="F1016" s="53" t="s">
        <v>787</v>
      </c>
      <c r="G1016" s="54">
        <v>7</v>
      </c>
    </row>
    <row r="1017" spans="1:7" ht="15.75" customHeight="1">
      <c r="A1017" s="36"/>
      <c r="B1017" s="32"/>
      <c r="C1017" s="31"/>
      <c r="D1017" s="31"/>
      <c r="E1017" s="42" t="s">
        <v>275</v>
      </c>
      <c r="F1017" s="42" t="s">
        <v>785</v>
      </c>
      <c r="G1017" s="45">
        <v>7</v>
      </c>
    </row>
    <row r="1018" spans="1:7" ht="15.75" customHeight="1">
      <c r="A1018" s="36"/>
      <c r="B1018" s="32"/>
      <c r="C1018" s="31"/>
      <c r="D1018" s="31"/>
      <c r="E1018" s="52"/>
      <c r="F1018" s="53" t="s">
        <v>787</v>
      </c>
      <c r="G1018" s="54">
        <v>7</v>
      </c>
    </row>
    <row r="1019" spans="1:7" ht="15.75" customHeight="1">
      <c r="A1019" s="36"/>
      <c r="B1019" s="32"/>
      <c r="C1019" s="31"/>
      <c r="D1019" s="31"/>
      <c r="E1019" s="42" t="s">
        <v>272</v>
      </c>
      <c r="F1019" s="42" t="s">
        <v>785</v>
      </c>
      <c r="G1019" s="45">
        <v>8</v>
      </c>
    </row>
    <row r="1020" spans="1:7" ht="15.75" customHeight="1">
      <c r="A1020" s="36"/>
      <c r="B1020" s="32"/>
      <c r="C1020" s="31"/>
      <c r="D1020" s="31"/>
      <c r="E1020" s="52"/>
      <c r="F1020" s="53" t="s">
        <v>787</v>
      </c>
      <c r="G1020" s="54">
        <v>8</v>
      </c>
    </row>
    <row r="1021" spans="1:7" ht="15.75" customHeight="1">
      <c r="A1021" s="36"/>
      <c r="B1021" s="32"/>
      <c r="C1021" s="31"/>
      <c r="D1021" s="31"/>
      <c r="E1021" s="42" t="s">
        <v>273</v>
      </c>
      <c r="F1021" s="42" t="s">
        <v>785</v>
      </c>
      <c r="G1021" s="45">
        <v>6</v>
      </c>
    </row>
    <row r="1022" spans="1:7" ht="15.75" customHeight="1">
      <c r="A1022" s="36"/>
      <c r="B1022" s="32"/>
      <c r="C1022" s="31"/>
      <c r="D1022" s="31"/>
      <c r="E1022" s="52"/>
      <c r="F1022" s="53" t="s">
        <v>787</v>
      </c>
      <c r="G1022" s="54">
        <v>6</v>
      </c>
    </row>
    <row r="1023" spans="1:7" ht="15.75" customHeight="1">
      <c r="A1023" s="36"/>
      <c r="B1023" s="32"/>
      <c r="C1023" s="31"/>
      <c r="D1023" s="31"/>
      <c r="E1023" s="42" t="s">
        <v>708</v>
      </c>
      <c r="F1023" s="42" t="s">
        <v>785</v>
      </c>
      <c r="G1023" s="45">
        <v>23</v>
      </c>
    </row>
    <row r="1024" spans="1:7" ht="15.75" customHeight="1">
      <c r="A1024" s="36"/>
      <c r="B1024" s="32"/>
      <c r="C1024" s="31"/>
      <c r="D1024" s="31"/>
      <c r="E1024" s="52"/>
      <c r="F1024" s="53" t="s">
        <v>787</v>
      </c>
      <c r="G1024" s="54">
        <v>23</v>
      </c>
    </row>
    <row r="1025" spans="1:7" ht="15.75" customHeight="1">
      <c r="A1025" s="36"/>
      <c r="B1025" s="32"/>
      <c r="C1025" s="31"/>
      <c r="D1025" s="31"/>
      <c r="E1025" s="42" t="s">
        <v>709</v>
      </c>
      <c r="F1025" s="42" t="s">
        <v>785</v>
      </c>
      <c r="G1025" s="45">
        <v>44</v>
      </c>
    </row>
    <row r="1026" spans="1:7" ht="15.75" customHeight="1">
      <c r="A1026" s="36"/>
      <c r="B1026" s="32"/>
      <c r="C1026" s="31"/>
      <c r="D1026" s="31"/>
      <c r="E1026" s="52"/>
      <c r="F1026" s="53" t="s">
        <v>787</v>
      </c>
      <c r="G1026" s="54">
        <v>44</v>
      </c>
    </row>
    <row r="1027" spans="1:7" ht="15.75" customHeight="1">
      <c r="A1027" s="36"/>
      <c r="B1027" s="32"/>
      <c r="C1027" s="31"/>
      <c r="D1027" s="31"/>
      <c r="E1027" s="42" t="s">
        <v>710</v>
      </c>
      <c r="F1027" s="42" t="s">
        <v>785</v>
      </c>
      <c r="G1027" s="45">
        <v>44</v>
      </c>
    </row>
    <row r="1028" spans="1:7" ht="15.75" customHeight="1">
      <c r="A1028" s="36"/>
      <c r="B1028" s="32"/>
      <c r="C1028" s="31"/>
      <c r="D1028" s="31"/>
      <c r="E1028" s="52"/>
      <c r="F1028" s="53" t="s">
        <v>787</v>
      </c>
      <c r="G1028" s="54">
        <v>44</v>
      </c>
    </row>
    <row r="1029" spans="1:7" ht="15.75" customHeight="1">
      <c r="A1029" s="36"/>
      <c r="B1029" s="32"/>
      <c r="C1029" s="31"/>
      <c r="D1029" s="31"/>
      <c r="E1029" s="42" t="s">
        <v>705</v>
      </c>
      <c r="F1029" s="42" t="s">
        <v>785</v>
      </c>
      <c r="G1029" s="45">
        <v>37</v>
      </c>
    </row>
    <row r="1030" spans="1:7" ht="15.75" customHeight="1">
      <c r="A1030" s="36"/>
      <c r="B1030" s="32"/>
      <c r="C1030" s="31"/>
      <c r="D1030" s="31"/>
      <c r="E1030" s="52"/>
      <c r="F1030" s="53" t="s">
        <v>787</v>
      </c>
      <c r="G1030" s="54">
        <v>37</v>
      </c>
    </row>
    <row r="1031" spans="1:7" ht="15.75" customHeight="1">
      <c r="A1031" s="36"/>
      <c r="B1031" s="32"/>
      <c r="C1031" s="31"/>
      <c r="D1031" s="31"/>
      <c r="E1031" s="42" t="s">
        <v>706</v>
      </c>
      <c r="F1031" s="42" t="s">
        <v>785</v>
      </c>
      <c r="G1031" s="45">
        <v>62</v>
      </c>
    </row>
    <row r="1032" spans="1:7" ht="15.75" customHeight="1">
      <c r="A1032" s="36"/>
      <c r="B1032" s="32"/>
      <c r="C1032" s="31"/>
      <c r="D1032" s="31"/>
      <c r="E1032" s="52"/>
      <c r="F1032" s="53" t="s">
        <v>787</v>
      </c>
      <c r="G1032" s="54">
        <v>62</v>
      </c>
    </row>
    <row r="1033" spans="1:7" ht="15.75" customHeight="1">
      <c r="A1033" s="36"/>
      <c r="B1033" s="32"/>
      <c r="C1033" s="31"/>
      <c r="D1033" s="31"/>
      <c r="E1033" s="42" t="s">
        <v>707</v>
      </c>
      <c r="F1033" s="42" t="s">
        <v>785</v>
      </c>
      <c r="G1033" s="45">
        <v>74</v>
      </c>
    </row>
    <row r="1034" spans="1:7" ht="15.75" customHeight="1">
      <c r="A1034" s="36"/>
      <c r="B1034" s="32"/>
      <c r="C1034" s="31"/>
      <c r="D1034" s="31"/>
      <c r="E1034" s="52"/>
      <c r="F1034" s="53" t="s">
        <v>787</v>
      </c>
      <c r="G1034" s="54">
        <v>74</v>
      </c>
    </row>
    <row r="1035" spans="1:7" ht="15.75" customHeight="1">
      <c r="A1035" s="36"/>
      <c r="B1035" s="32"/>
      <c r="C1035" s="31"/>
      <c r="D1035" s="31"/>
      <c r="E1035" s="42" t="s">
        <v>284</v>
      </c>
      <c r="F1035" s="42" t="s">
        <v>785</v>
      </c>
      <c r="G1035" s="45">
        <v>7</v>
      </c>
    </row>
    <row r="1036" spans="1:7" ht="15.75" customHeight="1">
      <c r="A1036" s="36"/>
      <c r="B1036" s="32"/>
      <c r="C1036" s="31"/>
      <c r="D1036" s="31"/>
      <c r="E1036" s="52"/>
      <c r="F1036" s="53" t="s">
        <v>787</v>
      </c>
      <c r="G1036" s="54">
        <v>7</v>
      </c>
    </row>
    <row r="1037" spans="1:7" ht="15.75" customHeight="1">
      <c r="A1037" s="36"/>
      <c r="B1037" s="32"/>
      <c r="C1037" s="31"/>
      <c r="D1037" s="31"/>
      <c r="E1037" s="42" t="s">
        <v>286</v>
      </c>
      <c r="F1037" s="42" t="s">
        <v>785</v>
      </c>
      <c r="G1037" s="45">
        <v>30</v>
      </c>
    </row>
    <row r="1038" spans="1:7" ht="15.75" customHeight="1">
      <c r="A1038" s="36"/>
      <c r="B1038" s="32"/>
      <c r="C1038" s="31"/>
      <c r="D1038" s="31"/>
      <c r="E1038" s="52"/>
      <c r="F1038" s="53" t="s">
        <v>787</v>
      </c>
      <c r="G1038" s="54">
        <v>25</v>
      </c>
    </row>
    <row r="1039" spans="1:7" ht="15.75" customHeight="1">
      <c r="A1039" s="36"/>
      <c r="B1039" s="32"/>
      <c r="C1039" s="31"/>
      <c r="D1039" s="31"/>
      <c r="E1039" s="42" t="s">
        <v>276</v>
      </c>
      <c r="F1039" s="42" t="s">
        <v>785</v>
      </c>
      <c r="G1039" s="45">
        <v>50</v>
      </c>
    </row>
    <row r="1040" spans="1:7" ht="15.75" customHeight="1">
      <c r="A1040" s="36"/>
      <c r="B1040" s="32"/>
      <c r="C1040" s="31"/>
      <c r="D1040" s="31"/>
      <c r="E1040" s="52"/>
      <c r="F1040" s="53" t="s">
        <v>787</v>
      </c>
      <c r="G1040" s="54">
        <v>47</v>
      </c>
    </row>
    <row r="1041" spans="1:7" ht="15.75" customHeight="1">
      <c r="A1041" s="36"/>
      <c r="B1041" s="32"/>
      <c r="C1041" s="31"/>
      <c r="D1041" s="31"/>
      <c r="E1041" s="42" t="s">
        <v>282</v>
      </c>
      <c r="F1041" s="42" t="s">
        <v>785</v>
      </c>
      <c r="G1041" s="45">
        <v>3</v>
      </c>
    </row>
    <row r="1042" spans="1:7" ht="15.75" customHeight="1">
      <c r="A1042" s="36"/>
      <c r="B1042" s="32"/>
      <c r="C1042" s="31"/>
      <c r="D1042" s="31"/>
      <c r="E1042" s="52"/>
      <c r="F1042" s="53" t="s">
        <v>787</v>
      </c>
      <c r="G1042" s="54">
        <v>3</v>
      </c>
    </row>
    <row r="1043" spans="1:7" ht="15.75" customHeight="1">
      <c r="A1043" s="36"/>
      <c r="B1043" s="32"/>
      <c r="C1043" s="31"/>
      <c r="D1043" s="31"/>
      <c r="E1043" s="42" t="s">
        <v>280</v>
      </c>
      <c r="F1043" s="42" t="s">
        <v>785</v>
      </c>
      <c r="G1043" s="45">
        <v>3</v>
      </c>
    </row>
    <row r="1044" spans="1:7" ht="15.75" customHeight="1">
      <c r="A1044" s="36"/>
      <c r="B1044" s="32"/>
      <c r="C1044" s="31"/>
      <c r="D1044" s="31"/>
      <c r="E1044" s="52"/>
      <c r="F1044" s="53" t="s">
        <v>787</v>
      </c>
      <c r="G1044" s="54">
        <v>3</v>
      </c>
    </row>
    <row r="1045" spans="1:7" ht="15.75" customHeight="1">
      <c r="A1045" s="36"/>
      <c r="B1045" s="32"/>
      <c r="C1045" s="31"/>
      <c r="D1045" s="31"/>
      <c r="E1045" s="42" t="s">
        <v>281</v>
      </c>
      <c r="F1045" s="42" t="s">
        <v>785</v>
      </c>
      <c r="G1045" s="45">
        <v>28</v>
      </c>
    </row>
    <row r="1046" spans="1:7" ht="15.75" customHeight="1">
      <c r="A1046" s="36"/>
      <c r="B1046" s="32"/>
      <c r="C1046" s="31"/>
      <c r="D1046" s="31"/>
      <c r="E1046" s="52"/>
      <c r="F1046" s="53" t="s">
        <v>787</v>
      </c>
      <c r="G1046" s="54">
        <v>28</v>
      </c>
    </row>
    <row r="1047" spans="1:7" ht="15.75" customHeight="1">
      <c r="A1047" s="36"/>
      <c r="B1047" s="32"/>
      <c r="C1047" s="31"/>
      <c r="D1047" s="31"/>
      <c r="E1047" s="42" t="s">
        <v>278</v>
      </c>
      <c r="F1047" s="42" t="s">
        <v>785</v>
      </c>
      <c r="G1047" s="45">
        <v>5</v>
      </c>
    </row>
    <row r="1048" spans="1:7" ht="15.75" customHeight="1">
      <c r="A1048" s="36"/>
      <c r="B1048" s="32"/>
      <c r="C1048" s="31"/>
      <c r="D1048" s="31"/>
      <c r="E1048" s="52"/>
      <c r="F1048" s="53" t="s">
        <v>787</v>
      </c>
      <c r="G1048" s="54">
        <v>5</v>
      </c>
    </row>
    <row r="1049" spans="1:7" ht="15.75" customHeight="1">
      <c r="A1049" s="36"/>
      <c r="B1049" s="32"/>
      <c r="C1049" s="31"/>
      <c r="D1049" s="31"/>
      <c r="E1049" s="42" t="s">
        <v>277</v>
      </c>
      <c r="F1049" s="42" t="s">
        <v>785</v>
      </c>
      <c r="G1049" s="45">
        <v>30</v>
      </c>
    </row>
    <row r="1050" spans="1:7" ht="15.75" customHeight="1">
      <c r="A1050" s="36"/>
      <c r="B1050" s="32"/>
      <c r="C1050" s="31"/>
      <c r="D1050" s="31"/>
      <c r="E1050" s="52"/>
      <c r="F1050" s="53" t="s">
        <v>787</v>
      </c>
      <c r="G1050" s="54">
        <v>30</v>
      </c>
    </row>
    <row r="1051" spans="1:7" ht="15.75" customHeight="1">
      <c r="A1051" s="36"/>
      <c r="B1051" s="32"/>
      <c r="C1051" s="31"/>
      <c r="D1051" s="31"/>
      <c r="E1051" s="42" t="s">
        <v>279</v>
      </c>
      <c r="F1051" s="42" t="s">
        <v>785</v>
      </c>
      <c r="G1051" s="45">
        <v>73</v>
      </c>
    </row>
    <row r="1052" spans="1:7" ht="15.75" customHeight="1">
      <c r="A1052" s="36"/>
      <c r="B1052" s="32"/>
      <c r="C1052" s="31"/>
      <c r="D1052" s="31"/>
      <c r="E1052" s="52"/>
      <c r="F1052" s="53" t="s">
        <v>787</v>
      </c>
      <c r="G1052" s="54">
        <v>73</v>
      </c>
    </row>
    <row r="1053" spans="1:7" ht="15.75" customHeight="1">
      <c r="A1053" s="36"/>
      <c r="B1053" s="32"/>
      <c r="C1053" s="31"/>
      <c r="D1053" s="31"/>
      <c r="E1053" s="42" t="s">
        <v>283</v>
      </c>
      <c r="F1053" s="42" t="s">
        <v>785</v>
      </c>
      <c r="G1053" s="45">
        <v>26</v>
      </c>
    </row>
    <row r="1054" spans="1:7" ht="15.75" customHeight="1">
      <c r="A1054" s="36"/>
      <c r="B1054" s="32"/>
      <c r="C1054" s="31"/>
      <c r="D1054" s="31"/>
      <c r="E1054" s="52"/>
      <c r="F1054" s="53" t="s">
        <v>787</v>
      </c>
      <c r="G1054" s="54">
        <v>26</v>
      </c>
    </row>
    <row r="1055" spans="1:7" ht="15.75" customHeight="1">
      <c r="A1055" s="36"/>
      <c r="B1055" s="32"/>
      <c r="C1055" s="31"/>
      <c r="D1055" s="31"/>
      <c r="E1055" s="42" t="s">
        <v>288</v>
      </c>
      <c r="F1055" s="42" t="s">
        <v>785</v>
      </c>
      <c r="G1055" s="45">
        <v>20</v>
      </c>
    </row>
    <row r="1056" spans="1:7" ht="15.75" customHeight="1">
      <c r="A1056" s="36"/>
      <c r="B1056" s="32"/>
      <c r="C1056" s="31"/>
      <c r="D1056" s="31"/>
      <c r="E1056" s="52"/>
      <c r="F1056" s="53" t="s">
        <v>787</v>
      </c>
      <c r="G1056" s="54">
        <v>13</v>
      </c>
    </row>
    <row r="1057" spans="1:7" ht="15.75" customHeight="1">
      <c r="A1057" s="36"/>
      <c r="B1057" s="32"/>
      <c r="C1057" s="31"/>
      <c r="D1057" s="31"/>
      <c r="E1057" s="42" t="s">
        <v>285</v>
      </c>
      <c r="F1057" s="42" t="s">
        <v>785</v>
      </c>
      <c r="G1057" s="45">
        <v>13</v>
      </c>
    </row>
    <row r="1058" spans="1:7" ht="15.75" customHeight="1">
      <c r="A1058" s="36"/>
      <c r="B1058" s="32"/>
      <c r="C1058" s="31"/>
      <c r="D1058" s="31"/>
      <c r="E1058" s="52"/>
      <c r="F1058" s="53" t="s">
        <v>787</v>
      </c>
      <c r="G1058" s="54">
        <v>13</v>
      </c>
    </row>
    <row r="1059" spans="1:7" ht="15.75" customHeight="1">
      <c r="A1059" s="36"/>
      <c r="B1059" s="32"/>
      <c r="C1059" s="31"/>
      <c r="D1059" s="31"/>
      <c r="E1059" s="42" t="s">
        <v>471</v>
      </c>
      <c r="F1059" s="42" t="s">
        <v>785</v>
      </c>
      <c r="G1059" s="45">
        <v>156</v>
      </c>
    </row>
    <row r="1060" spans="1:7" ht="15.75" customHeight="1">
      <c r="A1060" s="36"/>
      <c r="B1060" s="32"/>
      <c r="C1060" s="31"/>
      <c r="D1060" s="31"/>
      <c r="E1060" s="52"/>
      <c r="F1060" s="53" t="s">
        <v>787</v>
      </c>
      <c r="G1060" s="54">
        <v>156</v>
      </c>
    </row>
    <row r="1061" spans="1:7" ht="15.75" customHeight="1">
      <c r="A1061" s="36"/>
      <c r="B1061" s="32"/>
      <c r="C1061" s="31"/>
      <c r="D1061" s="31"/>
      <c r="E1061" s="42" t="s">
        <v>472</v>
      </c>
      <c r="F1061" s="42" t="s">
        <v>785</v>
      </c>
      <c r="G1061" s="45">
        <v>10</v>
      </c>
    </row>
    <row r="1062" spans="1:7" ht="15.75" customHeight="1">
      <c r="A1062" s="36"/>
      <c r="B1062" s="32"/>
      <c r="C1062" s="31"/>
      <c r="D1062" s="31"/>
      <c r="E1062" s="52"/>
      <c r="F1062" s="53" t="s">
        <v>787</v>
      </c>
      <c r="G1062" s="54">
        <v>10</v>
      </c>
    </row>
    <row r="1063" spans="1:7" ht="15.75" customHeight="1">
      <c r="A1063" s="36"/>
      <c r="B1063" s="32"/>
      <c r="C1063" s="31"/>
      <c r="D1063" s="31"/>
      <c r="E1063" s="42" t="s">
        <v>418</v>
      </c>
      <c r="F1063" s="42" t="s">
        <v>785</v>
      </c>
      <c r="G1063" s="45">
        <v>100</v>
      </c>
    </row>
    <row r="1064" spans="1:7" ht="15.75" customHeight="1">
      <c r="A1064" s="36"/>
      <c r="B1064" s="32"/>
      <c r="C1064" s="31"/>
      <c r="D1064" s="31"/>
      <c r="E1064" s="52"/>
      <c r="F1064" s="53" t="s">
        <v>787</v>
      </c>
      <c r="G1064" s="54">
        <v>72</v>
      </c>
    </row>
    <row r="1065" spans="1:7" ht="15.75" customHeight="1">
      <c r="A1065" s="36"/>
      <c r="B1065" s="32"/>
      <c r="C1065" s="31"/>
      <c r="D1065" s="31"/>
      <c r="E1065" s="42" t="s">
        <v>415</v>
      </c>
      <c r="F1065" s="42" t="s">
        <v>785</v>
      </c>
      <c r="G1065" s="45">
        <v>300</v>
      </c>
    </row>
    <row r="1066" spans="1:7" ht="15.75" customHeight="1">
      <c r="A1066" s="36"/>
      <c r="B1066" s="32"/>
      <c r="C1066" s="31"/>
      <c r="D1066" s="31"/>
      <c r="E1066" s="52"/>
      <c r="F1066" s="53" t="s">
        <v>787</v>
      </c>
      <c r="G1066" s="54">
        <v>300</v>
      </c>
    </row>
    <row r="1067" spans="1:7" ht="15.75" customHeight="1">
      <c r="A1067" s="36"/>
      <c r="B1067" s="32"/>
      <c r="C1067" s="31"/>
      <c r="D1067" s="31"/>
      <c r="E1067" s="42" t="s">
        <v>417</v>
      </c>
      <c r="F1067" s="42" t="s">
        <v>785</v>
      </c>
      <c r="G1067" s="45">
        <v>78</v>
      </c>
    </row>
    <row r="1068" spans="1:7" ht="15.75" customHeight="1">
      <c r="A1068" s="36"/>
      <c r="B1068" s="32"/>
      <c r="C1068" s="31"/>
      <c r="D1068" s="31"/>
      <c r="E1068" s="52"/>
      <c r="F1068" s="53" t="s">
        <v>787</v>
      </c>
      <c r="G1068" s="54">
        <v>78</v>
      </c>
    </row>
    <row r="1069" spans="1:7" ht="15.75" customHeight="1">
      <c r="A1069" s="36"/>
      <c r="B1069" s="32"/>
      <c r="C1069" s="31"/>
      <c r="D1069" s="31"/>
      <c r="E1069" s="42" t="s">
        <v>790</v>
      </c>
      <c r="F1069" s="43"/>
      <c r="G1069" s="45">
        <v>197161</v>
      </c>
    </row>
    <row r="1070" spans="1:7" ht="15.75" customHeight="1">
      <c r="A1070" s="36"/>
      <c r="B1070" s="32"/>
      <c r="C1070" s="31"/>
      <c r="D1070" s="31"/>
      <c r="E1070" s="46" t="s">
        <v>791</v>
      </c>
      <c r="F1070" s="47"/>
      <c r="G1070" s="48">
        <v>179980</v>
      </c>
    </row>
    <row r="1071" spans="1:7" ht="15.75" customHeight="1">
      <c r="A1071" s="36"/>
      <c r="B1071" s="32"/>
      <c r="C1071" s="31"/>
      <c r="D1071" s="31"/>
      <c r="E1071" s="36"/>
      <c r="F1071" s="31"/>
    </row>
    <row r="1072" spans="1:7" ht="15.75" customHeight="1">
      <c r="A1072" s="36"/>
      <c r="B1072" s="32"/>
      <c r="C1072" s="31"/>
      <c r="D1072" s="31"/>
      <c r="E1072" s="36"/>
      <c r="F1072" s="31"/>
    </row>
    <row r="1073" spans="1:6" ht="15.75" customHeight="1">
      <c r="A1073" s="36"/>
      <c r="B1073" s="32"/>
      <c r="C1073" s="31"/>
      <c r="D1073" s="31"/>
      <c r="E1073" s="36"/>
      <c r="F1073" s="31"/>
    </row>
    <row r="1074" spans="1:6" ht="15.75" customHeight="1">
      <c r="A1074" s="36"/>
      <c r="B1074" s="32"/>
      <c r="C1074" s="31"/>
      <c r="D1074" s="31"/>
      <c r="E1074" s="36"/>
      <c r="F1074" s="31"/>
    </row>
    <row r="1075" spans="1:6" ht="15.75" customHeight="1">
      <c r="A1075" s="36"/>
      <c r="B1075" s="32"/>
      <c r="C1075" s="31"/>
      <c r="D1075" s="31"/>
      <c r="E1075" s="36"/>
      <c r="F1075" s="31"/>
    </row>
    <row r="1076" spans="1:6" ht="15.75" customHeight="1">
      <c r="A1076" s="36"/>
      <c r="B1076" s="32"/>
      <c r="C1076" s="31"/>
      <c r="D1076" s="31"/>
      <c r="E1076" s="36"/>
      <c r="F1076" s="31"/>
    </row>
    <row r="1077" spans="1:6" ht="15.75" customHeight="1">
      <c r="A1077" s="36"/>
      <c r="B1077" s="32"/>
      <c r="C1077" s="31"/>
      <c r="D1077" s="31"/>
      <c r="E1077" s="36"/>
      <c r="F1077" s="31"/>
    </row>
    <row r="1078" spans="1:6" ht="15.75" customHeight="1">
      <c r="A1078" s="36"/>
      <c r="B1078" s="32"/>
      <c r="C1078" s="31"/>
      <c r="D1078" s="31"/>
      <c r="E1078" s="36"/>
      <c r="F1078" s="31"/>
    </row>
    <row r="1079" spans="1:6" ht="15.75" customHeight="1">
      <c r="A1079" s="36"/>
      <c r="B1079" s="32"/>
      <c r="C1079" s="31"/>
      <c r="D1079" s="31"/>
      <c r="E1079" s="36"/>
      <c r="F1079" s="31"/>
    </row>
    <row r="1080" spans="1:6" ht="15.75" customHeight="1">
      <c r="A1080" s="36"/>
      <c r="B1080" s="32"/>
      <c r="C1080" s="31"/>
      <c r="D1080" s="31"/>
      <c r="E1080" s="36"/>
      <c r="F1080" s="31"/>
    </row>
    <row r="1081" spans="1:6" ht="15.75" customHeight="1">
      <c r="A1081" s="36"/>
      <c r="B1081" s="32"/>
      <c r="C1081" s="31"/>
      <c r="D1081" s="31"/>
      <c r="E1081" s="36"/>
      <c r="F1081" s="31"/>
    </row>
    <row r="1082" spans="1:6" ht="15.75" customHeight="1">
      <c r="A1082" s="36"/>
      <c r="B1082" s="32"/>
      <c r="C1082" s="31"/>
      <c r="D1082" s="31"/>
      <c r="E1082" s="36"/>
      <c r="F1082" s="31"/>
    </row>
    <row r="1083" spans="1:6" ht="15.75" customHeight="1">
      <c r="A1083" s="36"/>
      <c r="B1083" s="32"/>
      <c r="C1083" s="31"/>
      <c r="D1083" s="31"/>
      <c r="E1083" s="36"/>
      <c r="F1083" s="31"/>
    </row>
    <row r="1084" spans="1:6" ht="15.75" customHeight="1">
      <c r="A1084" s="36"/>
      <c r="B1084" s="32"/>
      <c r="C1084" s="31"/>
      <c r="D1084" s="31"/>
      <c r="E1084" s="36"/>
      <c r="F1084" s="31"/>
    </row>
    <row r="1085" spans="1:6" ht="15.75" customHeight="1">
      <c r="A1085" s="36"/>
      <c r="B1085" s="32"/>
      <c r="C1085" s="31"/>
      <c r="D1085" s="31"/>
      <c r="E1085" s="36"/>
      <c r="F1085" s="31"/>
    </row>
    <row r="1086" spans="1:6" ht="15.75" customHeight="1">
      <c r="A1086" s="36"/>
      <c r="B1086" s="32"/>
      <c r="C1086" s="31"/>
      <c r="D1086" s="31"/>
      <c r="E1086" s="36"/>
      <c r="F1086" s="31"/>
    </row>
    <row r="1087" spans="1:6" ht="15.75" customHeight="1">
      <c r="A1087" s="36"/>
      <c r="B1087" s="32"/>
      <c r="C1087" s="31"/>
      <c r="D1087" s="31"/>
      <c r="E1087" s="36"/>
      <c r="F1087" s="31"/>
    </row>
    <row r="1088" spans="1:6" ht="15.75" customHeight="1">
      <c r="A1088" s="36"/>
      <c r="B1088" s="32"/>
      <c r="C1088" s="31"/>
      <c r="D1088" s="31"/>
      <c r="E1088" s="36"/>
      <c r="F1088" s="31"/>
    </row>
    <row r="1089" spans="1:6" ht="15.75" customHeight="1">
      <c r="A1089" s="36"/>
      <c r="B1089" s="32"/>
      <c r="C1089" s="31"/>
      <c r="D1089" s="31"/>
      <c r="E1089" s="36"/>
      <c r="F1089" s="31"/>
    </row>
    <row r="1090" spans="1:6" ht="15.75" customHeight="1">
      <c r="A1090" s="36"/>
      <c r="B1090" s="32"/>
      <c r="C1090" s="31"/>
      <c r="D1090" s="31"/>
      <c r="E1090" s="36"/>
      <c r="F1090" s="31"/>
    </row>
    <row r="1091" spans="1:6" ht="15.75" customHeight="1">
      <c r="A1091" s="36"/>
      <c r="B1091" s="32"/>
      <c r="C1091" s="31"/>
      <c r="D1091" s="31"/>
      <c r="E1091" s="36"/>
      <c r="F1091" s="31"/>
    </row>
    <row r="1092" spans="1:6" ht="15.75" customHeight="1">
      <c r="A1092" s="36"/>
      <c r="B1092" s="32"/>
      <c r="C1092" s="31"/>
      <c r="D1092" s="31"/>
      <c r="E1092" s="36"/>
      <c r="F1092" s="31"/>
    </row>
    <row r="1093" spans="1:6" ht="15.75" customHeight="1">
      <c r="A1093" s="36"/>
      <c r="B1093" s="32"/>
      <c r="C1093" s="31"/>
      <c r="D1093" s="31"/>
      <c r="E1093" s="36"/>
      <c r="F1093" s="31"/>
    </row>
    <row r="1094" spans="1:6" ht="15.75" customHeight="1">
      <c r="A1094" s="36"/>
      <c r="B1094" s="32"/>
      <c r="C1094" s="31"/>
      <c r="D1094" s="31"/>
      <c r="E1094" s="36"/>
      <c r="F1094" s="31"/>
    </row>
    <row r="1095" spans="1:6" ht="15.75" customHeight="1">
      <c r="A1095" s="36"/>
      <c r="B1095" s="32"/>
      <c r="C1095" s="31"/>
      <c r="D1095" s="31"/>
      <c r="E1095" s="36"/>
      <c r="F1095" s="31"/>
    </row>
    <row r="1096" spans="1:6" ht="15.75" customHeight="1">
      <c r="A1096" s="36"/>
      <c r="B1096" s="32"/>
      <c r="C1096" s="31"/>
      <c r="D1096" s="31"/>
      <c r="E1096" s="36"/>
      <c r="F1096" s="31"/>
    </row>
    <row r="1097" spans="1:6" ht="15.75" customHeight="1">
      <c r="A1097" s="36"/>
      <c r="B1097" s="32"/>
      <c r="C1097" s="31"/>
      <c r="D1097" s="31"/>
      <c r="E1097" s="36"/>
      <c r="F1097" s="31"/>
    </row>
    <row r="1098" spans="1:6" ht="15.75" customHeight="1">
      <c r="A1098" s="36"/>
      <c r="B1098" s="32"/>
      <c r="C1098" s="31"/>
      <c r="D1098" s="31"/>
      <c r="E1098" s="36"/>
      <c r="F1098" s="31"/>
    </row>
    <row r="1099" spans="1:6" ht="15.75" customHeight="1">
      <c r="A1099" s="36"/>
      <c r="B1099" s="32"/>
      <c r="C1099" s="31"/>
      <c r="D1099" s="31"/>
      <c r="E1099" s="36"/>
      <c r="F1099" s="31"/>
    </row>
    <row r="1100" spans="1:6" ht="15.75" customHeight="1">
      <c r="A1100" s="36"/>
      <c r="B1100" s="32"/>
      <c r="C1100" s="31"/>
      <c r="D1100" s="31"/>
      <c r="E1100" s="36"/>
      <c r="F1100" s="31"/>
    </row>
    <row r="1101" spans="1:6" ht="15.75" customHeight="1">
      <c r="A1101" s="36"/>
      <c r="B1101" s="32"/>
      <c r="C1101" s="31"/>
      <c r="D1101" s="31"/>
      <c r="E1101" s="36"/>
      <c r="F1101" s="31"/>
    </row>
    <row r="1102" spans="1:6" ht="15.75" customHeight="1">
      <c r="A1102" s="36"/>
      <c r="B1102" s="32"/>
      <c r="C1102" s="31"/>
      <c r="D1102" s="31"/>
      <c r="E1102" s="36"/>
      <c r="F1102" s="31"/>
    </row>
    <row r="1103" spans="1:6" ht="15.75" customHeight="1">
      <c r="A1103" s="36"/>
      <c r="B1103" s="32"/>
      <c r="C1103" s="31"/>
      <c r="D1103" s="31"/>
      <c r="E1103" s="36"/>
      <c r="F1103" s="31"/>
    </row>
    <row r="1104" spans="1:6" ht="15.75" customHeight="1">
      <c r="A1104" s="36"/>
      <c r="B1104" s="32"/>
      <c r="C1104" s="31"/>
      <c r="D1104" s="31"/>
      <c r="E1104" s="36"/>
      <c r="F1104" s="31"/>
    </row>
    <row r="1105" spans="1:6" ht="15.75" customHeight="1">
      <c r="A1105" s="36"/>
      <c r="B1105" s="32"/>
      <c r="C1105" s="31"/>
      <c r="D1105" s="31"/>
      <c r="E1105" s="36"/>
      <c r="F1105" s="31"/>
    </row>
    <row r="1106" spans="1:6" ht="15.75" customHeight="1">
      <c r="A1106" s="36"/>
      <c r="B1106" s="32"/>
      <c r="C1106" s="31"/>
      <c r="D1106" s="31"/>
      <c r="E1106" s="36"/>
      <c r="F1106" s="31"/>
    </row>
    <row r="1107" spans="1:6" ht="15.75" customHeight="1">
      <c r="A1107" s="36"/>
      <c r="B1107" s="32"/>
      <c r="C1107" s="31"/>
      <c r="D1107" s="31"/>
      <c r="E1107" s="36"/>
      <c r="F1107" s="31"/>
    </row>
    <row r="1108" spans="1:6" ht="15.75" customHeight="1">
      <c r="A1108" s="36"/>
      <c r="B1108" s="32"/>
      <c r="C1108" s="31"/>
      <c r="D1108" s="31"/>
      <c r="E1108" s="36"/>
      <c r="F1108" s="31"/>
    </row>
    <row r="1109" spans="1:6" ht="15.75" customHeight="1">
      <c r="A1109" s="36"/>
      <c r="B1109" s="32"/>
      <c r="C1109" s="31"/>
      <c r="D1109" s="31"/>
      <c r="E1109" s="36"/>
      <c r="F1109" s="31"/>
    </row>
    <row r="1110" spans="1:6" ht="15.75" customHeight="1">
      <c r="A1110" s="36"/>
      <c r="B1110" s="32"/>
      <c r="C1110" s="31"/>
      <c r="D1110" s="31"/>
      <c r="E1110" s="36"/>
      <c r="F1110" s="31"/>
    </row>
    <row r="1111" spans="1:6" ht="15.75" customHeight="1">
      <c r="A1111" s="36"/>
      <c r="B1111" s="32"/>
      <c r="C1111" s="31"/>
      <c r="D1111" s="31"/>
      <c r="E1111" s="36"/>
      <c r="F1111" s="31"/>
    </row>
    <row r="1112" spans="1:6" ht="15.75" customHeight="1">
      <c r="A1112" s="36"/>
      <c r="B1112" s="32"/>
      <c r="C1112" s="31"/>
      <c r="D1112" s="31"/>
      <c r="E1112" s="36"/>
      <c r="F1112" s="31"/>
    </row>
    <row r="1113" spans="1:6" ht="15.75" customHeight="1">
      <c r="A1113" s="36"/>
      <c r="B1113" s="32"/>
      <c r="C1113" s="31"/>
      <c r="D1113" s="31"/>
      <c r="E1113" s="36"/>
      <c r="F1113" s="31"/>
    </row>
    <row r="1114" spans="1:6" ht="15.75" customHeight="1">
      <c r="A1114" s="36"/>
      <c r="B1114" s="32"/>
      <c r="C1114" s="31"/>
      <c r="D1114" s="31"/>
      <c r="E1114" s="36"/>
      <c r="F1114" s="31"/>
    </row>
    <row r="1115" spans="1:6" ht="15.75" customHeight="1">
      <c r="A1115" s="36"/>
      <c r="B1115" s="32"/>
      <c r="C1115" s="31"/>
      <c r="D1115" s="31"/>
      <c r="E1115" s="36"/>
      <c r="F1115" s="31"/>
    </row>
    <row r="1116" spans="1:6" ht="15.75" customHeight="1">
      <c r="A1116" s="36"/>
      <c r="B1116" s="32"/>
      <c r="C1116" s="31"/>
      <c r="D1116" s="31"/>
      <c r="E1116" s="36"/>
      <c r="F1116" s="31"/>
    </row>
    <row r="1117" spans="1:6" ht="15.75" customHeight="1">
      <c r="A1117" s="36"/>
      <c r="B1117" s="32"/>
      <c r="C1117" s="31"/>
      <c r="D1117" s="31"/>
      <c r="E1117" s="36"/>
      <c r="F1117" s="31"/>
    </row>
    <row r="1118" spans="1:6" ht="15.75" customHeight="1">
      <c r="A1118" s="36"/>
      <c r="B1118" s="32"/>
      <c r="C1118" s="31"/>
      <c r="D1118" s="31"/>
      <c r="E1118" s="36"/>
      <c r="F1118" s="31"/>
    </row>
    <row r="1119" spans="1:6" ht="15.75" customHeight="1">
      <c r="A1119" s="36"/>
      <c r="B1119" s="32"/>
      <c r="C1119" s="31"/>
      <c r="D1119" s="31"/>
      <c r="E1119" s="36"/>
      <c r="F1119" s="31"/>
    </row>
    <row r="1120" spans="1:6" ht="15.75" customHeight="1">
      <c r="A1120" s="36"/>
      <c r="B1120" s="32"/>
      <c r="C1120" s="31"/>
      <c r="D1120" s="31"/>
      <c r="E1120" s="36"/>
      <c r="F1120" s="31"/>
    </row>
    <row r="1121" spans="1:6" ht="15.75" customHeight="1">
      <c r="A1121" s="36"/>
      <c r="B1121" s="32"/>
      <c r="C1121" s="31"/>
      <c r="D1121" s="31"/>
      <c r="E1121" s="36"/>
      <c r="F1121" s="31"/>
    </row>
    <row r="1122" spans="1:6" ht="15.75" customHeight="1">
      <c r="A1122" s="36"/>
      <c r="B1122" s="32"/>
      <c r="C1122" s="31"/>
      <c r="D1122" s="31"/>
      <c r="E1122" s="36"/>
      <c r="F1122" s="31"/>
    </row>
    <row r="1123" spans="1:6" ht="15.75" customHeight="1">
      <c r="A1123" s="36"/>
      <c r="B1123" s="32"/>
      <c r="C1123" s="31"/>
      <c r="D1123" s="31"/>
      <c r="E1123" s="36"/>
      <c r="F1123" s="31"/>
    </row>
    <row r="1124" spans="1:6" ht="15.75" customHeight="1">
      <c r="A1124" s="36"/>
      <c r="B1124" s="32"/>
      <c r="C1124" s="31"/>
      <c r="D1124" s="31"/>
      <c r="E1124" s="36"/>
      <c r="F1124" s="31"/>
    </row>
    <row r="1125" spans="1:6" ht="15.75" customHeight="1">
      <c r="A1125" s="36"/>
      <c r="B1125" s="32"/>
      <c r="C1125" s="31"/>
      <c r="D1125" s="31"/>
      <c r="E1125" s="36"/>
      <c r="F1125" s="31"/>
    </row>
    <row r="1126" spans="1:6" ht="15.75" customHeight="1">
      <c r="A1126" s="36"/>
      <c r="B1126" s="32"/>
      <c r="C1126" s="31"/>
      <c r="D1126" s="31"/>
      <c r="E1126" s="36"/>
      <c r="F1126" s="31"/>
    </row>
    <row r="1127" spans="1:6" ht="15.75" customHeight="1">
      <c r="A1127" s="36"/>
      <c r="B1127" s="32"/>
      <c r="C1127" s="31"/>
      <c r="D1127" s="31"/>
      <c r="E1127" s="36"/>
      <c r="F1127" s="31"/>
    </row>
    <row r="1128" spans="1:6" ht="15.75" customHeight="1">
      <c r="A1128" s="36"/>
      <c r="B1128" s="32"/>
      <c r="C1128" s="31"/>
      <c r="D1128" s="31"/>
      <c r="E1128" s="36"/>
      <c r="F1128" s="31"/>
    </row>
    <row r="1129" spans="1:6" ht="15.75" customHeight="1">
      <c r="A1129" s="36"/>
      <c r="B1129" s="32"/>
      <c r="C1129" s="31"/>
      <c r="D1129" s="31"/>
      <c r="E1129" s="36"/>
      <c r="F1129" s="31"/>
    </row>
    <row r="1130" spans="1:6" ht="15.75" customHeight="1">
      <c r="A1130" s="36"/>
      <c r="B1130" s="32"/>
      <c r="C1130" s="31"/>
      <c r="D1130" s="31"/>
      <c r="E1130" s="36"/>
      <c r="F1130" s="31"/>
    </row>
    <row r="1131" spans="1:6" ht="15.75" customHeight="1">
      <c r="A1131" s="36"/>
      <c r="B1131" s="32"/>
      <c r="C1131" s="31"/>
      <c r="D1131" s="31"/>
      <c r="E1131" s="36"/>
      <c r="F1131" s="31"/>
    </row>
    <row r="1132" spans="1:6" ht="15.75" customHeight="1">
      <c r="A1132" s="36"/>
      <c r="B1132" s="32"/>
      <c r="C1132" s="31"/>
      <c r="D1132" s="31"/>
      <c r="E1132" s="36"/>
      <c r="F1132" s="31"/>
    </row>
    <row r="1133" spans="1:6" ht="15.75" customHeight="1">
      <c r="A1133" s="36"/>
      <c r="B1133" s="32"/>
      <c r="C1133" s="31"/>
      <c r="D1133" s="31"/>
      <c r="E1133" s="36"/>
      <c r="F1133" s="31"/>
    </row>
    <row r="1134" spans="1:6" ht="15.75" customHeight="1">
      <c r="A1134" s="36"/>
      <c r="B1134" s="32"/>
      <c r="C1134" s="31"/>
      <c r="D1134" s="31"/>
      <c r="E1134" s="36"/>
      <c r="F1134" s="31"/>
    </row>
    <row r="1135" spans="1:6" ht="15.75" customHeight="1">
      <c r="A1135" s="36"/>
      <c r="B1135" s="32"/>
      <c r="C1135" s="31"/>
      <c r="D1135" s="31"/>
      <c r="E1135" s="36"/>
      <c r="F1135" s="31"/>
    </row>
    <row r="1136" spans="1:6" ht="15.75" customHeight="1">
      <c r="A1136" s="36"/>
      <c r="B1136" s="32"/>
      <c r="C1136" s="31"/>
      <c r="D1136" s="31"/>
      <c r="E1136" s="36"/>
      <c r="F1136" s="31"/>
    </row>
    <row r="1137" spans="1:6" ht="15.75" customHeight="1">
      <c r="A1137" s="36"/>
      <c r="B1137" s="32"/>
      <c r="C1137" s="31"/>
      <c r="D1137" s="31"/>
      <c r="E1137" s="36"/>
      <c r="F1137" s="31"/>
    </row>
    <row r="1138" spans="1:6" ht="15.75" customHeight="1">
      <c r="A1138" s="36"/>
      <c r="B1138" s="32"/>
      <c r="C1138" s="31"/>
      <c r="D1138" s="31"/>
      <c r="E1138" s="36"/>
      <c r="F1138" s="31"/>
    </row>
    <row r="1139" spans="1:6" ht="15.75" customHeight="1">
      <c r="A1139" s="36"/>
      <c r="B1139" s="32"/>
      <c r="C1139" s="31"/>
      <c r="D1139" s="31"/>
      <c r="E1139" s="36"/>
      <c r="F1139" s="31"/>
    </row>
    <row r="1140" spans="1:6" ht="15.75" customHeight="1">
      <c r="A1140" s="36"/>
      <c r="B1140" s="32"/>
      <c r="C1140" s="31"/>
      <c r="D1140" s="31"/>
      <c r="E1140" s="36"/>
      <c r="F1140" s="31"/>
    </row>
    <row r="1141" spans="1:6" ht="15.75" customHeight="1">
      <c r="A1141" s="36"/>
      <c r="B1141" s="32"/>
      <c r="C1141" s="31"/>
      <c r="D1141" s="31"/>
      <c r="E1141" s="36"/>
      <c r="F1141" s="31"/>
    </row>
    <row r="1142" spans="1:6" ht="15.75" customHeight="1">
      <c r="A1142" s="36"/>
      <c r="B1142" s="32"/>
      <c r="C1142" s="31"/>
      <c r="D1142" s="31"/>
      <c r="E1142" s="36"/>
      <c r="F1142" s="31"/>
    </row>
    <row r="1143" spans="1:6" ht="15.75" customHeight="1">
      <c r="A1143" s="36"/>
      <c r="B1143" s="32"/>
      <c r="C1143" s="31"/>
      <c r="D1143" s="31"/>
      <c r="E1143" s="36"/>
      <c r="F1143" s="31"/>
    </row>
    <row r="1144" spans="1:6" ht="15.75" customHeight="1">
      <c r="A1144" s="36"/>
      <c r="B1144" s="32"/>
      <c r="C1144" s="31"/>
      <c r="D1144" s="31"/>
      <c r="E1144" s="36"/>
      <c r="F1144" s="31"/>
    </row>
    <row r="1145" spans="1:6" ht="15.75" customHeight="1">
      <c r="A1145" s="36"/>
      <c r="B1145" s="32"/>
      <c r="C1145" s="31"/>
      <c r="D1145" s="31"/>
      <c r="E1145" s="36"/>
      <c r="F1145" s="31"/>
    </row>
    <row r="1146" spans="1:6" ht="15.75" customHeight="1">
      <c r="A1146" s="36"/>
      <c r="B1146" s="32"/>
      <c r="C1146" s="31"/>
      <c r="D1146" s="31"/>
      <c r="E1146" s="36"/>
      <c r="F1146" s="31"/>
    </row>
    <row r="1147" spans="1:6" ht="15.75" customHeight="1">
      <c r="A1147" s="36"/>
      <c r="B1147" s="32"/>
      <c r="C1147" s="31"/>
      <c r="D1147" s="31"/>
      <c r="E1147" s="36"/>
      <c r="F1147" s="31"/>
    </row>
    <row r="1148" spans="1:6" ht="15.75" customHeight="1">
      <c r="A1148" s="36"/>
      <c r="B1148" s="32"/>
      <c r="C1148" s="31"/>
      <c r="D1148" s="31"/>
      <c r="E1148" s="36"/>
      <c r="F1148" s="31"/>
    </row>
    <row r="1149" spans="1:6" ht="15.75" customHeight="1">
      <c r="A1149" s="36"/>
      <c r="B1149" s="32"/>
      <c r="C1149" s="31"/>
      <c r="D1149" s="31"/>
      <c r="E1149" s="36"/>
      <c r="F1149" s="31"/>
    </row>
    <row r="1150" spans="1:6" ht="15.75" customHeight="1">
      <c r="A1150" s="36"/>
      <c r="B1150" s="32"/>
      <c r="C1150" s="31"/>
      <c r="D1150" s="31"/>
      <c r="E1150" s="36"/>
      <c r="F1150" s="31"/>
    </row>
    <row r="1151" spans="1:6" ht="15.75" customHeight="1">
      <c r="A1151" s="36"/>
      <c r="B1151" s="32"/>
      <c r="C1151" s="31"/>
      <c r="D1151" s="31"/>
      <c r="E1151" s="36"/>
      <c r="F1151" s="31"/>
    </row>
    <row r="1152" spans="1:6" ht="15.75" customHeight="1">
      <c r="A1152" s="36"/>
      <c r="B1152" s="32"/>
      <c r="C1152" s="31"/>
      <c r="D1152" s="31"/>
      <c r="E1152" s="36"/>
      <c r="F1152" s="31"/>
    </row>
    <row r="1153" spans="1:6" ht="15.75" customHeight="1">
      <c r="A1153" s="36"/>
      <c r="B1153" s="32"/>
      <c r="C1153" s="31"/>
      <c r="D1153" s="31"/>
      <c r="E1153" s="36"/>
      <c r="F1153" s="31"/>
    </row>
    <row r="1154" spans="1:6" ht="15.75" customHeight="1">
      <c r="A1154" s="36"/>
      <c r="B1154" s="32"/>
      <c r="C1154" s="31"/>
      <c r="D1154" s="31"/>
      <c r="E1154" s="36"/>
      <c r="F1154" s="31"/>
    </row>
    <row r="1155" spans="1:6" ht="15.75" customHeight="1">
      <c r="A1155" s="36"/>
      <c r="B1155" s="32"/>
      <c r="C1155" s="31"/>
      <c r="D1155" s="31"/>
      <c r="E1155" s="36"/>
      <c r="F1155" s="31"/>
    </row>
    <row r="1156" spans="1:6" ht="15.75" customHeight="1">
      <c r="A1156" s="36"/>
      <c r="B1156" s="32"/>
      <c r="C1156" s="31"/>
      <c r="D1156" s="31"/>
      <c r="E1156" s="36"/>
      <c r="F1156" s="31"/>
    </row>
    <row r="1157" spans="1:6" ht="15.75" customHeight="1">
      <c r="A1157" s="36"/>
      <c r="B1157" s="32"/>
      <c r="C1157" s="31"/>
      <c r="D1157" s="31"/>
      <c r="E1157" s="36"/>
      <c r="F1157" s="31"/>
    </row>
    <row r="1158" spans="1:6" ht="15.75" customHeight="1">
      <c r="A1158" s="36"/>
      <c r="B1158" s="32"/>
      <c r="C1158" s="31"/>
      <c r="D1158" s="31"/>
      <c r="E1158" s="36"/>
      <c r="F1158" s="31"/>
    </row>
    <row r="1159" spans="1:6" ht="15.75" customHeight="1">
      <c r="A1159" s="36"/>
      <c r="B1159" s="32"/>
      <c r="C1159" s="31"/>
      <c r="D1159" s="31"/>
      <c r="E1159" s="36"/>
      <c r="F1159" s="31"/>
    </row>
    <row r="1160" spans="1:6" ht="15.75" customHeight="1">
      <c r="A1160" s="36"/>
      <c r="B1160" s="32"/>
      <c r="C1160" s="31"/>
      <c r="D1160" s="31"/>
      <c r="E1160" s="36"/>
      <c r="F1160" s="31"/>
    </row>
    <row r="1161" spans="1:6" ht="15.75" customHeight="1">
      <c r="A1161" s="36"/>
      <c r="B1161" s="32"/>
      <c r="C1161" s="31"/>
      <c r="D1161" s="31"/>
      <c r="E1161" s="36"/>
      <c r="F1161" s="31"/>
    </row>
    <row r="1162" spans="1:6" ht="15.75" customHeight="1">
      <c r="A1162" s="36"/>
      <c r="B1162" s="32"/>
      <c r="C1162" s="31"/>
      <c r="D1162" s="31"/>
      <c r="E1162" s="36"/>
      <c r="F1162" s="31"/>
    </row>
    <row r="1163" spans="1:6" ht="15.75" customHeight="1">
      <c r="A1163" s="36"/>
      <c r="B1163" s="32"/>
      <c r="C1163" s="31"/>
      <c r="D1163" s="31"/>
      <c r="E1163" s="36"/>
      <c r="F1163" s="31"/>
    </row>
    <row r="1164" spans="1:6" ht="15.75" customHeight="1">
      <c r="A1164" s="36"/>
      <c r="B1164" s="32"/>
      <c r="C1164" s="31"/>
      <c r="D1164" s="31"/>
      <c r="E1164" s="36"/>
      <c r="F1164" s="31"/>
    </row>
    <row r="1165" spans="1:6" ht="15.75" customHeight="1">
      <c r="A1165" s="36"/>
      <c r="B1165" s="32"/>
      <c r="C1165" s="31"/>
      <c r="D1165" s="31"/>
      <c r="E1165" s="36"/>
      <c r="F1165" s="31"/>
    </row>
    <row r="1166" spans="1:6" ht="15.75" customHeight="1">
      <c r="A1166" s="36"/>
      <c r="B1166" s="32"/>
      <c r="C1166" s="31"/>
      <c r="D1166" s="31"/>
      <c r="E1166" s="36"/>
      <c r="F1166" s="31"/>
    </row>
    <row r="1167" spans="1:6" ht="15.75" customHeight="1">
      <c r="A1167" s="36"/>
      <c r="B1167" s="32"/>
      <c r="C1167" s="31"/>
      <c r="D1167" s="31"/>
      <c r="E1167" s="36"/>
      <c r="F1167" s="31"/>
    </row>
    <row r="1168" spans="1:6" ht="15.75" customHeight="1">
      <c r="A1168" s="36"/>
      <c r="B1168" s="32"/>
      <c r="C1168" s="31"/>
      <c r="D1168" s="31"/>
      <c r="E1168" s="36"/>
      <c r="F1168" s="31"/>
    </row>
    <row r="1169" spans="1:6" ht="15.75" customHeight="1">
      <c r="A1169" s="36"/>
      <c r="B1169" s="32"/>
      <c r="C1169" s="31"/>
      <c r="D1169" s="31"/>
      <c r="E1169" s="36"/>
      <c r="F1169" s="31"/>
    </row>
    <row r="1170" spans="1:6" ht="15.75" customHeight="1">
      <c r="A1170" s="36"/>
      <c r="B1170" s="32"/>
      <c r="C1170" s="31"/>
      <c r="D1170" s="31"/>
      <c r="E1170" s="36"/>
      <c r="F1170" s="31"/>
    </row>
    <row r="1171" spans="1:6" ht="15.75" customHeight="1">
      <c r="A1171" s="36"/>
      <c r="B1171" s="32"/>
      <c r="C1171" s="31"/>
      <c r="D1171" s="31"/>
      <c r="E1171" s="36"/>
      <c r="F1171" s="31"/>
    </row>
    <row r="1172" spans="1:6" ht="15.75" customHeight="1">
      <c r="A1172" s="36"/>
      <c r="B1172" s="32"/>
      <c r="C1172" s="31"/>
      <c r="D1172" s="31"/>
      <c r="E1172" s="36"/>
      <c r="F1172" s="31"/>
    </row>
    <row r="1173" spans="1:6" ht="15.75" customHeight="1">
      <c r="A1173" s="36"/>
      <c r="B1173" s="32"/>
      <c r="C1173" s="31"/>
      <c r="D1173" s="31"/>
      <c r="E1173" s="36"/>
      <c r="F1173" s="31"/>
    </row>
    <row r="1174" spans="1:6" ht="15.75" customHeight="1">
      <c r="A1174" s="36"/>
      <c r="B1174" s="32"/>
      <c r="C1174" s="31"/>
      <c r="D1174" s="31"/>
      <c r="E1174" s="36"/>
      <c r="F1174" s="31"/>
    </row>
    <row r="1175" spans="1:6" ht="15.75" customHeight="1">
      <c r="A1175" s="36"/>
      <c r="B1175" s="32"/>
      <c r="C1175" s="31"/>
      <c r="D1175" s="31"/>
      <c r="E1175" s="36"/>
      <c r="F1175" s="31"/>
    </row>
    <row r="1176" spans="1:6" ht="15.75" customHeight="1">
      <c r="A1176" s="36"/>
      <c r="B1176" s="32"/>
      <c r="C1176" s="31"/>
      <c r="D1176" s="31"/>
      <c r="E1176" s="36"/>
      <c r="F1176" s="31"/>
    </row>
    <row r="1177" spans="1:6" ht="15.75" customHeight="1">
      <c r="A1177" s="36"/>
      <c r="B1177" s="32"/>
      <c r="C1177" s="31"/>
      <c r="D1177" s="31"/>
      <c r="E1177" s="36"/>
      <c r="F1177" s="31"/>
    </row>
    <row r="1178" spans="1:6" ht="15.75" customHeight="1">
      <c r="A1178" s="36"/>
      <c r="B1178" s="32"/>
      <c r="C1178" s="31"/>
      <c r="D1178" s="31"/>
      <c r="E1178" s="36"/>
      <c r="F1178" s="31"/>
    </row>
    <row r="1179" spans="1:6" ht="15.75" customHeight="1">
      <c r="A1179" s="36"/>
      <c r="B1179" s="32"/>
      <c r="C1179" s="31"/>
      <c r="D1179" s="31"/>
      <c r="E1179" s="36"/>
      <c r="F1179" s="31"/>
    </row>
    <row r="1180" spans="1:6" ht="15.75" customHeight="1">
      <c r="A1180" s="36"/>
      <c r="B1180" s="32"/>
      <c r="C1180" s="31"/>
      <c r="D1180" s="31"/>
      <c r="E1180" s="36"/>
      <c r="F1180" s="31"/>
    </row>
    <row r="1181" spans="1:6" ht="15.75" customHeight="1">
      <c r="A1181" s="36"/>
      <c r="B1181" s="32"/>
      <c r="C1181" s="31"/>
      <c r="D1181" s="31"/>
      <c r="E1181" s="36"/>
      <c r="F1181" s="31"/>
    </row>
    <row r="1182" spans="1:6" ht="15.75" customHeight="1">
      <c r="A1182" s="36"/>
      <c r="B1182" s="32"/>
      <c r="C1182" s="31"/>
      <c r="D1182" s="31"/>
      <c r="E1182" s="36"/>
      <c r="F1182" s="31"/>
    </row>
    <row r="1183" spans="1:6" ht="15.75" customHeight="1">
      <c r="A1183" s="36"/>
      <c r="B1183" s="32"/>
      <c r="C1183" s="31"/>
      <c r="D1183" s="31"/>
      <c r="E1183" s="36"/>
      <c r="F1183" s="31"/>
    </row>
    <row r="1184" spans="1:6" ht="15.75" customHeight="1">
      <c r="A1184" s="36"/>
      <c r="B1184" s="32"/>
      <c r="C1184" s="31"/>
      <c r="D1184" s="31"/>
      <c r="E1184" s="36"/>
      <c r="F1184" s="31"/>
    </row>
    <row r="1185" spans="1:6" ht="15.75" customHeight="1">
      <c r="A1185" s="36"/>
      <c r="B1185" s="32"/>
      <c r="C1185" s="31"/>
      <c r="D1185" s="31"/>
      <c r="E1185" s="36"/>
      <c r="F1185" s="31"/>
    </row>
    <row r="1186" spans="1:6" ht="15.75" customHeight="1">
      <c r="A1186" s="36"/>
      <c r="B1186" s="32"/>
      <c r="C1186" s="31"/>
      <c r="D1186" s="31"/>
      <c r="E1186" s="36"/>
      <c r="F1186" s="31"/>
    </row>
    <row r="1187" spans="1:6" ht="15.75" customHeight="1">
      <c r="A1187" s="36"/>
      <c r="B1187" s="32"/>
      <c r="C1187" s="31"/>
      <c r="D1187" s="31"/>
      <c r="E1187" s="36"/>
      <c r="F1187" s="31"/>
    </row>
    <row r="1188" spans="1:6" ht="15.75" customHeight="1">
      <c r="A1188" s="36"/>
      <c r="B1188" s="32"/>
      <c r="C1188" s="31"/>
      <c r="D1188" s="31"/>
      <c r="E1188" s="36"/>
      <c r="F1188" s="31"/>
    </row>
    <row r="1189" spans="1:6" ht="15.75" customHeight="1">
      <c r="A1189" s="36"/>
      <c r="B1189" s="32"/>
      <c r="C1189" s="31"/>
      <c r="D1189" s="31"/>
      <c r="E1189" s="36"/>
      <c r="F1189" s="31"/>
    </row>
    <row r="1190" spans="1:6" ht="15.75" customHeight="1">
      <c r="A1190" s="36"/>
      <c r="B1190" s="32"/>
      <c r="C1190" s="31"/>
      <c r="D1190" s="31"/>
      <c r="E1190" s="36"/>
      <c r="F1190" s="31"/>
    </row>
    <row r="1191" spans="1:6" ht="15.75" customHeight="1">
      <c r="A1191" s="36"/>
      <c r="B1191" s="32"/>
      <c r="C1191" s="31"/>
      <c r="D1191" s="31"/>
      <c r="E1191" s="36"/>
      <c r="F1191" s="31"/>
    </row>
    <row r="1192" spans="1:6" ht="15.75" customHeight="1">
      <c r="A1192" s="36"/>
      <c r="B1192" s="32"/>
      <c r="C1192" s="31"/>
      <c r="D1192" s="31"/>
      <c r="E1192" s="36"/>
      <c r="F1192" s="31"/>
    </row>
    <row r="1193" spans="1:6" ht="15.75" customHeight="1">
      <c r="A1193" s="36"/>
      <c r="B1193" s="32"/>
      <c r="C1193" s="31"/>
      <c r="D1193" s="31"/>
      <c r="E1193" s="36"/>
      <c r="F1193" s="31"/>
    </row>
    <row r="1194" spans="1:6" ht="15.75" customHeight="1">
      <c r="A1194" s="36"/>
      <c r="B1194" s="32"/>
      <c r="C1194" s="31"/>
      <c r="D1194" s="31"/>
      <c r="E1194" s="36"/>
      <c r="F1194" s="31"/>
    </row>
    <row r="1195" spans="1:6" ht="15.75" customHeight="1">
      <c r="A1195" s="36"/>
      <c r="B1195" s="32"/>
      <c r="C1195" s="31"/>
      <c r="D1195" s="31"/>
      <c r="E1195" s="36"/>
      <c r="F1195" s="31"/>
    </row>
    <row r="1196" spans="1:6" ht="15.75" customHeight="1">
      <c r="A1196" s="36"/>
      <c r="B1196" s="32"/>
      <c r="C1196" s="31"/>
      <c r="D1196" s="31"/>
      <c r="E1196" s="36"/>
      <c r="F1196" s="31"/>
    </row>
    <row r="1197" spans="1:6" ht="15.75" customHeight="1">
      <c r="A1197" s="36"/>
      <c r="B1197" s="32"/>
      <c r="C1197" s="31"/>
      <c r="D1197" s="31"/>
      <c r="E1197" s="36"/>
      <c r="F1197" s="31"/>
    </row>
    <row r="1198" spans="1:6" ht="15.75" customHeight="1">
      <c r="A1198" s="36"/>
      <c r="B1198" s="32"/>
      <c r="C1198" s="31"/>
      <c r="D1198" s="31"/>
      <c r="E1198" s="36"/>
      <c r="F1198" s="31"/>
    </row>
    <row r="1199" spans="1:6" ht="15.75" customHeight="1">
      <c r="A1199" s="36"/>
      <c r="B1199" s="32"/>
      <c r="C1199" s="31"/>
      <c r="D1199" s="31"/>
      <c r="E1199" s="36"/>
      <c r="F1199" s="31"/>
    </row>
    <row r="1200" spans="1:6" ht="15.75" customHeight="1">
      <c r="A1200" s="36"/>
      <c r="B1200" s="32"/>
      <c r="C1200" s="31"/>
      <c r="D1200" s="31"/>
      <c r="E1200" s="36"/>
      <c r="F1200" s="31"/>
    </row>
    <row r="1201" spans="1:6" ht="15.75" customHeight="1">
      <c r="A1201" s="36"/>
      <c r="B1201" s="32"/>
      <c r="C1201" s="31"/>
      <c r="D1201" s="31"/>
      <c r="E1201" s="36"/>
      <c r="F1201" s="31"/>
    </row>
    <row r="1202" spans="1:6" ht="15.75" customHeight="1">
      <c r="A1202" s="36"/>
      <c r="B1202" s="32"/>
      <c r="C1202" s="31"/>
      <c r="D1202" s="31"/>
      <c r="E1202" s="36"/>
      <c r="F1202" s="31"/>
    </row>
    <row r="1203" spans="1:6" ht="15.75" customHeight="1">
      <c r="A1203" s="36"/>
      <c r="B1203" s="32"/>
      <c r="C1203" s="31"/>
      <c r="D1203" s="31"/>
      <c r="E1203" s="36"/>
      <c r="F1203" s="31"/>
    </row>
    <row r="1204" spans="1:6" ht="15.75" customHeight="1">
      <c r="A1204" s="36"/>
      <c r="B1204" s="32"/>
      <c r="C1204" s="31"/>
      <c r="D1204" s="31"/>
      <c r="E1204" s="36"/>
      <c r="F1204" s="31"/>
    </row>
    <row r="1205" spans="1:6" ht="15.75" customHeight="1">
      <c r="A1205" s="36"/>
      <c r="B1205" s="32"/>
      <c r="C1205" s="31"/>
      <c r="D1205" s="31"/>
      <c r="E1205" s="36"/>
      <c r="F1205" s="31"/>
    </row>
    <row r="1206" spans="1:6" ht="15.75" customHeight="1">
      <c r="A1206" s="36"/>
      <c r="B1206" s="32"/>
      <c r="C1206" s="31"/>
      <c r="D1206" s="31"/>
      <c r="E1206" s="36"/>
      <c r="F1206" s="31"/>
    </row>
    <row r="1207" spans="1:6" ht="15.75" customHeight="1">
      <c r="A1207" s="36"/>
      <c r="B1207" s="32"/>
      <c r="C1207" s="31"/>
      <c r="D1207" s="31"/>
      <c r="E1207" s="36"/>
      <c r="F1207" s="31"/>
    </row>
    <row r="1208" spans="1:6" ht="15.75" customHeight="1">
      <c r="A1208" s="36"/>
      <c r="B1208" s="32"/>
      <c r="C1208" s="31"/>
      <c r="D1208" s="31"/>
      <c r="E1208" s="36"/>
      <c r="F1208" s="31"/>
    </row>
    <row r="1209" spans="1:6" ht="15.75" customHeight="1">
      <c r="A1209" s="36"/>
      <c r="B1209" s="32"/>
      <c r="C1209" s="31"/>
      <c r="D1209" s="31"/>
      <c r="E1209" s="36"/>
      <c r="F1209" s="31"/>
    </row>
    <row r="1210" spans="1:6" ht="15.75" customHeight="1">
      <c r="A1210" s="36"/>
      <c r="B1210" s="32"/>
      <c r="C1210" s="31"/>
      <c r="D1210" s="31"/>
      <c r="E1210" s="36"/>
      <c r="F1210" s="31"/>
    </row>
    <row r="1211" spans="1:6" ht="15.75" customHeight="1">
      <c r="A1211" s="36"/>
      <c r="B1211" s="32"/>
      <c r="C1211" s="31"/>
      <c r="D1211" s="31"/>
      <c r="E1211" s="36"/>
      <c r="F1211" s="31"/>
    </row>
    <row r="1212" spans="1:6" ht="15.75" customHeight="1">
      <c r="A1212" s="36"/>
      <c r="B1212" s="32"/>
      <c r="C1212" s="31"/>
      <c r="D1212" s="31"/>
      <c r="E1212" s="36"/>
      <c r="F1212" s="31"/>
    </row>
    <row r="1213" spans="1:6" ht="15.75" customHeight="1">
      <c r="A1213" s="36"/>
      <c r="B1213" s="32"/>
      <c r="C1213" s="31"/>
      <c r="D1213" s="31"/>
      <c r="E1213" s="36"/>
      <c r="F1213" s="31"/>
    </row>
    <row r="1214" spans="1:6" ht="15.75" customHeight="1">
      <c r="A1214" s="36"/>
      <c r="B1214" s="32"/>
      <c r="C1214" s="31"/>
      <c r="D1214" s="31"/>
      <c r="E1214" s="36"/>
      <c r="F1214" s="31"/>
    </row>
    <row r="1215" spans="1:6" ht="15.75" customHeight="1">
      <c r="A1215" s="36"/>
      <c r="B1215" s="32"/>
      <c r="C1215" s="31"/>
      <c r="D1215" s="31"/>
      <c r="E1215" s="36"/>
      <c r="F1215" s="31"/>
    </row>
    <row r="1216" spans="1:6" ht="15.75" customHeight="1">
      <c r="A1216" s="36"/>
      <c r="B1216" s="32"/>
      <c r="C1216" s="31"/>
      <c r="D1216" s="31"/>
      <c r="E1216" s="36"/>
      <c r="F1216" s="31"/>
    </row>
    <row r="1217" spans="1:6" ht="15.75" customHeight="1">
      <c r="A1217" s="36"/>
      <c r="B1217" s="32"/>
      <c r="C1217" s="31"/>
      <c r="D1217" s="31"/>
      <c r="E1217" s="36"/>
      <c r="F1217" s="31"/>
    </row>
    <row r="1218" spans="1:6" ht="15.75" customHeight="1">
      <c r="A1218" s="36"/>
      <c r="B1218" s="32"/>
      <c r="C1218" s="31"/>
      <c r="D1218" s="31"/>
      <c r="E1218" s="36"/>
      <c r="F1218" s="31"/>
    </row>
    <row r="1219" spans="1:6" ht="15.75" customHeight="1">
      <c r="A1219" s="36"/>
      <c r="B1219" s="32"/>
      <c r="C1219" s="31"/>
      <c r="D1219" s="31"/>
      <c r="E1219" s="36"/>
      <c r="F1219" s="31"/>
    </row>
    <row r="1220" spans="1:6" ht="15.75" customHeight="1">
      <c r="A1220" s="36"/>
      <c r="B1220" s="32"/>
      <c r="C1220" s="31"/>
      <c r="D1220" s="31"/>
      <c r="E1220" s="36"/>
      <c r="F1220" s="31"/>
    </row>
    <row r="1221" spans="1:6" ht="15.75" customHeight="1">
      <c r="A1221" s="36"/>
      <c r="B1221" s="32"/>
      <c r="C1221" s="31"/>
      <c r="D1221" s="31"/>
      <c r="E1221" s="36"/>
      <c r="F1221" s="31"/>
    </row>
    <row r="1222" spans="1:6" ht="15.75" customHeight="1">
      <c r="A1222" s="36"/>
      <c r="B1222" s="32"/>
      <c r="C1222" s="31"/>
      <c r="D1222" s="31"/>
      <c r="E1222" s="36"/>
      <c r="F1222" s="31"/>
    </row>
    <row r="1223" spans="1:6" ht="15.75" customHeight="1">
      <c r="A1223" s="36"/>
      <c r="B1223" s="32"/>
      <c r="C1223" s="31"/>
      <c r="D1223" s="31"/>
      <c r="E1223" s="36"/>
      <c r="F1223" s="31"/>
    </row>
    <row r="1224" spans="1:6" ht="15.75" customHeight="1">
      <c r="A1224" s="36"/>
      <c r="B1224" s="32"/>
      <c r="C1224" s="31"/>
      <c r="D1224" s="31"/>
      <c r="E1224" s="36"/>
      <c r="F1224" s="31"/>
    </row>
    <row r="1225" spans="1:6" ht="15.75" customHeight="1">
      <c r="A1225" s="36"/>
      <c r="B1225" s="32"/>
      <c r="C1225" s="31"/>
      <c r="D1225" s="31"/>
      <c r="E1225" s="36"/>
      <c r="F1225" s="31"/>
    </row>
    <row r="1226" spans="1:6" ht="15.75" customHeight="1">
      <c r="A1226" s="36"/>
      <c r="B1226" s="32"/>
      <c r="C1226" s="31"/>
      <c r="D1226" s="31"/>
      <c r="E1226" s="36"/>
      <c r="F1226" s="31"/>
    </row>
    <row r="1227" spans="1:6" ht="15.75" customHeight="1">
      <c r="A1227" s="36"/>
      <c r="B1227" s="32"/>
      <c r="C1227" s="31"/>
      <c r="D1227" s="31"/>
      <c r="E1227" s="36"/>
      <c r="F1227" s="31"/>
    </row>
    <row r="1228" spans="1:6" ht="15.75" customHeight="1">
      <c r="A1228" s="36"/>
      <c r="B1228" s="32"/>
      <c r="C1228" s="31"/>
      <c r="D1228" s="31"/>
      <c r="E1228" s="36"/>
      <c r="F1228" s="31"/>
    </row>
    <row r="1229" spans="1:6" ht="15.75" customHeight="1">
      <c r="A1229" s="36"/>
      <c r="B1229" s="32"/>
      <c r="C1229" s="31"/>
      <c r="D1229" s="31"/>
      <c r="E1229" s="36"/>
      <c r="F1229" s="31"/>
    </row>
    <row r="1230" spans="1:6" ht="15.75" customHeight="1">
      <c r="A1230" s="36"/>
      <c r="B1230" s="32"/>
      <c r="C1230" s="31"/>
      <c r="D1230" s="31"/>
      <c r="E1230" s="36"/>
      <c r="F1230" s="31"/>
    </row>
    <row r="1231" spans="1:6" ht="15.75" customHeight="1">
      <c r="A1231" s="36"/>
      <c r="B1231" s="32"/>
      <c r="C1231" s="31"/>
      <c r="D1231" s="31"/>
      <c r="E1231" s="36"/>
      <c r="F1231" s="31"/>
    </row>
    <row r="1232" spans="1:6" ht="15.75" customHeight="1">
      <c r="A1232" s="36"/>
      <c r="B1232" s="32"/>
      <c r="C1232" s="31"/>
      <c r="D1232" s="31"/>
      <c r="E1232" s="36"/>
      <c r="F1232" s="31"/>
    </row>
    <row r="1233" spans="1:6" ht="15.75" customHeight="1">
      <c r="A1233" s="36"/>
      <c r="B1233" s="32"/>
      <c r="C1233" s="31"/>
      <c r="D1233" s="31"/>
      <c r="E1233" s="36"/>
      <c r="F1233" s="31"/>
    </row>
    <row r="1234" spans="1:6" ht="15.75" customHeight="1">
      <c r="A1234" s="36"/>
      <c r="B1234" s="32"/>
      <c r="C1234" s="31"/>
      <c r="D1234" s="31"/>
      <c r="E1234" s="36"/>
      <c r="F1234" s="31"/>
    </row>
    <row r="1235" spans="1:6" ht="15.75" customHeight="1">
      <c r="A1235" s="36"/>
      <c r="B1235" s="32"/>
      <c r="C1235" s="31"/>
      <c r="D1235" s="31"/>
      <c r="E1235" s="36"/>
      <c r="F1235" s="31"/>
    </row>
    <row r="1236" spans="1:6" ht="15.75" customHeight="1">
      <c r="A1236" s="36"/>
      <c r="B1236" s="32"/>
      <c r="C1236" s="31"/>
      <c r="D1236" s="31"/>
      <c r="E1236" s="36"/>
      <c r="F1236" s="31"/>
    </row>
    <row r="1237" spans="1:6" ht="15.75" customHeight="1">
      <c r="A1237" s="36"/>
      <c r="B1237" s="32"/>
      <c r="C1237" s="31"/>
      <c r="D1237" s="31"/>
      <c r="E1237" s="36"/>
      <c r="F1237" s="31"/>
    </row>
    <row r="1238" spans="1:6" ht="15.75" customHeight="1">
      <c r="A1238" s="36"/>
      <c r="B1238" s="32"/>
      <c r="C1238" s="31"/>
      <c r="D1238" s="31"/>
      <c r="E1238" s="36"/>
      <c r="F1238" s="31"/>
    </row>
    <row r="1239" spans="1:6" ht="15.75" customHeight="1">
      <c r="A1239" s="36"/>
      <c r="B1239" s="32"/>
      <c r="C1239" s="31"/>
      <c r="D1239" s="31"/>
      <c r="E1239" s="36"/>
      <c r="F1239" s="31"/>
    </row>
    <row r="1240" spans="1:6" ht="15.75" customHeight="1">
      <c r="A1240" s="36"/>
      <c r="B1240" s="32"/>
      <c r="C1240" s="31"/>
      <c r="D1240" s="31"/>
      <c r="E1240" s="36"/>
      <c r="F1240" s="31"/>
    </row>
    <row r="1241" spans="1:6" ht="15.75" customHeight="1">
      <c r="A1241" s="36"/>
      <c r="B1241" s="32"/>
      <c r="C1241" s="31"/>
      <c r="D1241" s="31"/>
      <c r="E1241" s="36"/>
      <c r="F1241" s="31"/>
    </row>
    <row r="1242" spans="1:6" ht="15.75" customHeight="1">
      <c r="A1242" s="36"/>
      <c r="B1242" s="32"/>
      <c r="C1242" s="31"/>
      <c r="D1242" s="31"/>
      <c r="E1242" s="36"/>
      <c r="F1242" s="31"/>
    </row>
    <row r="1243" spans="1:6" ht="15.75" customHeight="1">
      <c r="A1243" s="36"/>
      <c r="B1243" s="32"/>
      <c r="C1243" s="31"/>
      <c r="D1243" s="31"/>
      <c r="E1243" s="36"/>
      <c r="F1243" s="31"/>
    </row>
    <row r="1244" spans="1:6" ht="15.75" customHeight="1">
      <c r="A1244" s="36"/>
      <c r="B1244" s="32"/>
      <c r="C1244" s="31"/>
      <c r="D1244" s="31"/>
      <c r="E1244" s="36"/>
      <c r="F1244" s="31"/>
    </row>
    <row r="1245" spans="1:6" ht="15.75" customHeight="1">
      <c r="A1245" s="36"/>
      <c r="B1245" s="32"/>
      <c r="C1245" s="31"/>
      <c r="D1245" s="31"/>
      <c r="E1245" s="36"/>
      <c r="F1245" s="31"/>
    </row>
    <row r="1246" spans="1:6" ht="15.75" customHeight="1">
      <c r="A1246" s="36"/>
      <c r="B1246" s="32"/>
      <c r="C1246" s="31"/>
      <c r="D1246" s="31"/>
      <c r="E1246" s="36"/>
      <c r="F1246" s="31"/>
    </row>
    <row r="1247" spans="1:6" ht="15.75" customHeight="1">
      <c r="A1247" s="36"/>
      <c r="B1247" s="32"/>
      <c r="C1247" s="31"/>
      <c r="D1247" s="31"/>
      <c r="E1247" s="36"/>
      <c r="F1247" s="31"/>
    </row>
    <row r="1248" spans="1:6" ht="15.75" customHeight="1">
      <c r="A1248" s="36"/>
      <c r="B1248" s="32"/>
      <c r="C1248" s="31"/>
      <c r="D1248" s="31"/>
      <c r="E1248" s="36"/>
      <c r="F1248" s="31"/>
    </row>
    <row r="1249" spans="1:6" ht="15.75" customHeight="1">
      <c r="A1249" s="36"/>
      <c r="B1249" s="32"/>
      <c r="C1249" s="31"/>
      <c r="D1249" s="31"/>
      <c r="E1249" s="36"/>
      <c r="F1249" s="31"/>
    </row>
    <row r="1250" spans="1:6" ht="15.75" customHeight="1">
      <c r="A1250" s="36"/>
      <c r="B1250" s="32"/>
      <c r="C1250" s="31"/>
      <c r="D1250" s="31"/>
      <c r="E1250" s="36"/>
      <c r="F1250" s="31"/>
    </row>
    <row r="1251" spans="1:6" ht="15.75" customHeight="1">
      <c r="A1251" s="36"/>
      <c r="B1251" s="32"/>
      <c r="C1251" s="31"/>
      <c r="D1251" s="31"/>
      <c r="E1251" s="36"/>
      <c r="F1251" s="31"/>
    </row>
    <row r="1252" spans="1:6" ht="15.75" customHeight="1">
      <c r="A1252" s="36"/>
      <c r="B1252" s="32"/>
      <c r="C1252" s="31"/>
      <c r="D1252" s="31"/>
      <c r="E1252" s="36"/>
      <c r="F1252" s="31"/>
    </row>
    <row r="1253" spans="1:6" ht="15.75" customHeight="1">
      <c r="A1253" s="36"/>
      <c r="B1253" s="32"/>
      <c r="C1253" s="31"/>
      <c r="D1253" s="31"/>
      <c r="E1253" s="36"/>
      <c r="F1253" s="31"/>
    </row>
    <row r="1254" spans="1:6" ht="15.75" customHeight="1">
      <c r="A1254" s="36"/>
      <c r="B1254" s="32"/>
      <c r="C1254" s="31"/>
      <c r="D1254" s="31"/>
      <c r="E1254" s="36"/>
      <c r="F1254" s="31"/>
    </row>
    <row r="1255" spans="1:6" ht="15.75" customHeight="1">
      <c r="A1255" s="36"/>
      <c r="B1255" s="32"/>
      <c r="C1255" s="31"/>
      <c r="D1255" s="31"/>
      <c r="E1255" s="36"/>
      <c r="F1255" s="31"/>
    </row>
    <row r="1256" spans="1:6" ht="15.75" customHeight="1">
      <c r="A1256" s="36"/>
      <c r="B1256" s="32"/>
      <c r="C1256" s="31"/>
      <c r="D1256" s="31"/>
      <c r="E1256" s="36"/>
      <c r="F1256" s="31"/>
    </row>
    <row r="1257" spans="1:6" ht="15.75" customHeight="1">
      <c r="A1257" s="36"/>
      <c r="B1257" s="32"/>
      <c r="C1257" s="31"/>
      <c r="D1257" s="31"/>
      <c r="E1257" s="36"/>
      <c r="F1257" s="31"/>
    </row>
    <row r="1258" spans="1:6" ht="15.75" customHeight="1">
      <c r="A1258" s="36"/>
      <c r="B1258" s="32"/>
      <c r="C1258" s="31"/>
      <c r="D1258" s="31"/>
      <c r="E1258" s="36"/>
      <c r="F1258" s="31"/>
    </row>
    <row r="1259" spans="1:6" ht="15.75" customHeight="1">
      <c r="A1259" s="36"/>
      <c r="B1259" s="32"/>
      <c r="C1259" s="31"/>
      <c r="D1259" s="31"/>
      <c r="E1259" s="36"/>
      <c r="F1259" s="31"/>
    </row>
    <row r="1260" spans="1:6" ht="15.75" customHeight="1">
      <c r="A1260" s="36"/>
      <c r="B1260" s="32"/>
      <c r="C1260" s="31"/>
      <c r="D1260" s="31"/>
      <c r="E1260" s="36"/>
      <c r="F1260" s="31"/>
    </row>
    <row r="1261" spans="1:6" ht="15.75" customHeight="1">
      <c r="A1261" s="36"/>
      <c r="B1261" s="32"/>
      <c r="C1261" s="31"/>
      <c r="D1261" s="31"/>
      <c r="E1261" s="36"/>
      <c r="F1261" s="31"/>
    </row>
    <row r="1262" spans="1:6" ht="15.75" customHeight="1">
      <c r="A1262" s="36"/>
      <c r="B1262" s="32"/>
      <c r="C1262" s="31"/>
      <c r="D1262" s="31"/>
      <c r="E1262" s="36"/>
      <c r="F1262" s="31"/>
    </row>
    <row r="1263" spans="1:6" ht="15.75" customHeight="1">
      <c r="A1263" s="36"/>
      <c r="B1263" s="32"/>
      <c r="C1263" s="31"/>
      <c r="D1263" s="31"/>
      <c r="E1263" s="36"/>
      <c r="F1263" s="31"/>
    </row>
    <row r="1264" spans="1:6" ht="15.75" customHeight="1">
      <c r="A1264" s="36"/>
      <c r="B1264" s="32"/>
      <c r="C1264" s="31"/>
      <c r="D1264" s="31"/>
      <c r="E1264" s="36"/>
      <c r="F1264" s="31"/>
    </row>
    <row r="1265" spans="1:6" ht="15.75" customHeight="1">
      <c r="A1265" s="36"/>
      <c r="B1265" s="32"/>
      <c r="C1265" s="31"/>
      <c r="D1265" s="31"/>
      <c r="E1265" s="36"/>
      <c r="F1265" s="31"/>
    </row>
    <row r="1266" spans="1:6" ht="15.75" customHeight="1">
      <c r="A1266" s="36"/>
      <c r="B1266" s="32"/>
      <c r="C1266" s="31"/>
      <c r="D1266" s="31"/>
      <c r="E1266" s="36"/>
      <c r="F1266" s="31"/>
    </row>
    <row r="1267" spans="1:6" ht="15.75" customHeight="1">
      <c r="A1267" s="36"/>
      <c r="B1267" s="32"/>
      <c r="C1267" s="31"/>
      <c r="D1267" s="31"/>
      <c r="E1267" s="36"/>
      <c r="F1267" s="31"/>
    </row>
    <row r="1268" spans="1:6" ht="15.75" customHeight="1">
      <c r="A1268" s="36"/>
      <c r="B1268" s="32"/>
      <c r="C1268" s="31"/>
      <c r="D1268" s="31"/>
      <c r="E1268" s="36"/>
      <c r="F1268" s="31"/>
    </row>
    <row r="1269" spans="1:6" ht="15.75" customHeight="1">
      <c r="A1269" s="36"/>
      <c r="B1269" s="32"/>
      <c r="C1269" s="31"/>
      <c r="D1269" s="31"/>
      <c r="E1269" s="36"/>
      <c r="F1269" s="31"/>
    </row>
    <row r="1270" spans="1:6" ht="15.75" customHeight="1">
      <c r="A1270" s="36"/>
      <c r="B1270" s="32"/>
      <c r="C1270" s="31"/>
      <c r="D1270" s="31"/>
      <c r="E1270" s="36"/>
      <c r="F1270" s="31"/>
    </row>
    <row r="1271" spans="1:6" ht="15.75" customHeight="1">
      <c r="A1271" s="36"/>
      <c r="B1271" s="32"/>
      <c r="C1271" s="31"/>
      <c r="D1271" s="31"/>
      <c r="E1271" s="36"/>
      <c r="F1271" s="31"/>
    </row>
    <row r="1272" spans="1:6" ht="15.75" customHeight="1">
      <c r="A1272" s="36"/>
      <c r="B1272" s="32"/>
      <c r="C1272" s="31"/>
      <c r="D1272" s="31"/>
      <c r="E1272" s="36"/>
      <c r="F1272" s="31"/>
    </row>
    <row r="1273" spans="1:6" ht="15.75" customHeight="1">
      <c r="A1273" s="36"/>
      <c r="B1273" s="32"/>
      <c r="C1273" s="31"/>
      <c r="D1273" s="31"/>
      <c r="E1273" s="36"/>
      <c r="F1273" s="31"/>
    </row>
    <row r="1274" spans="1:6" ht="15.75" customHeight="1">
      <c r="A1274" s="36"/>
      <c r="B1274" s="32"/>
      <c r="C1274" s="31"/>
      <c r="D1274" s="31"/>
      <c r="E1274" s="36"/>
      <c r="F1274" s="31"/>
    </row>
    <row r="1275" spans="1:6" ht="15.75" customHeight="1">
      <c r="A1275" s="36"/>
      <c r="B1275" s="32"/>
      <c r="C1275" s="31"/>
      <c r="D1275" s="31"/>
      <c r="E1275" s="36"/>
      <c r="F1275" s="31"/>
    </row>
    <row r="1276" spans="1:6" ht="15.75" customHeight="1">
      <c r="A1276" s="36"/>
      <c r="B1276" s="32"/>
      <c r="C1276" s="31"/>
      <c r="D1276" s="31"/>
      <c r="E1276" s="36"/>
      <c r="F1276" s="31"/>
    </row>
    <row r="1277" spans="1:6" ht="15.75" customHeight="1">
      <c r="A1277" s="36"/>
      <c r="B1277" s="32"/>
      <c r="C1277" s="31"/>
      <c r="D1277" s="31"/>
      <c r="E1277" s="36"/>
      <c r="F1277" s="31"/>
    </row>
    <row r="1278" spans="1:6" ht="15.75" customHeight="1">
      <c r="A1278" s="36"/>
      <c r="B1278" s="32"/>
      <c r="C1278" s="31"/>
      <c r="D1278" s="31"/>
      <c r="E1278" s="36"/>
      <c r="F1278" s="31"/>
    </row>
    <row r="1279" spans="1:6" ht="15.75" customHeight="1">
      <c r="A1279" s="36"/>
      <c r="B1279" s="32"/>
      <c r="C1279" s="31"/>
      <c r="D1279" s="31"/>
      <c r="E1279" s="36"/>
      <c r="F1279" s="31"/>
    </row>
    <row r="1280" spans="1:6" ht="15.75" customHeight="1">
      <c r="A1280" s="36"/>
      <c r="B1280" s="32"/>
      <c r="C1280" s="31"/>
      <c r="D1280" s="31"/>
      <c r="E1280" s="36"/>
      <c r="F1280" s="31"/>
    </row>
    <row r="1281" spans="1:6" ht="15.75" customHeight="1">
      <c r="A1281" s="36"/>
      <c r="B1281" s="32"/>
      <c r="C1281" s="31"/>
      <c r="D1281" s="31"/>
      <c r="E1281" s="36"/>
      <c r="F1281" s="31"/>
    </row>
    <row r="1282" spans="1:6" ht="15.75" customHeight="1">
      <c r="A1282" s="36"/>
      <c r="B1282" s="32"/>
      <c r="C1282" s="31"/>
      <c r="D1282" s="31"/>
      <c r="E1282" s="36"/>
      <c r="F1282" s="31"/>
    </row>
    <row r="1283" spans="1:6" ht="15.75" customHeight="1">
      <c r="A1283" s="36"/>
      <c r="B1283" s="32"/>
      <c r="C1283" s="31"/>
      <c r="D1283" s="31"/>
      <c r="E1283" s="36"/>
      <c r="F1283" s="31"/>
    </row>
    <row r="1284" spans="1:6" ht="15.75" customHeight="1">
      <c r="A1284" s="36"/>
      <c r="B1284" s="32"/>
      <c r="C1284" s="31"/>
      <c r="D1284" s="31"/>
      <c r="E1284" s="36"/>
      <c r="F1284" s="31"/>
    </row>
    <row r="1285" spans="1:6" ht="15.75" customHeight="1">
      <c r="A1285" s="36"/>
      <c r="B1285" s="32"/>
      <c r="C1285" s="31"/>
      <c r="D1285" s="31"/>
      <c r="E1285" s="36"/>
      <c r="F1285" s="31"/>
    </row>
    <row r="1286" spans="1:6" ht="15.75" customHeight="1">
      <c r="A1286" s="36"/>
      <c r="B1286" s="32"/>
      <c r="C1286" s="31"/>
      <c r="D1286" s="31"/>
      <c r="E1286" s="36"/>
      <c r="F1286" s="31"/>
    </row>
    <row r="1287" spans="1:6" ht="15.75" customHeight="1">
      <c r="A1287" s="36"/>
      <c r="B1287" s="32"/>
      <c r="C1287" s="31"/>
      <c r="D1287" s="31"/>
      <c r="E1287" s="36"/>
      <c r="F1287" s="31"/>
    </row>
    <row r="1288" spans="1:6" ht="15.75" customHeight="1">
      <c r="A1288" s="36"/>
      <c r="B1288" s="32"/>
      <c r="C1288" s="31"/>
      <c r="D1288" s="31"/>
      <c r="E1288" s="36"/>
      <c r="F1288" s="31"/>
    </row>
    <row r="1289" spans="1:6" ht="15.75" customHeight="1">
      <c r="A1289" s="36"/>
      <c r="B1289" s="32"/>
      <c r="C1289" s="31"/>
      <c r="D1289" s="31"/>
      <c r="E1289" s="36"/>
      <c r="F1289" s="31"/>
    </row>
    <row r="1290" spans="1:6" ht="15.75" customHeight="1">
      <c r="A1290" s="36"/>
      <c r="B1290" s="32"/>
      <c r="C1290" s="31"/>
      <c r="D1290" s="31"/>
      <c r="E1290" s="36"/>
      <c r="F1290" s="31"/>
    </row>
    <row r="1291" spans="1:6" ht="15.75" customHeight="1">
      <c r="A1291" s="36"/>
      <c r="B1291" s="32"/>
      <c r="C1291" s="31"/>
      <c r="D1291" s="31"/>
      <c r="E1291" s="36"/>
      <c r="F1291" s="31"/>
    </row>
    <row r="1292" spans="1:6" ht="15.75" customHeight="1">
      <c r="A1292" s="36"/>
      <c r="B1292" s="32"/>
      <c r="C1292" s="31"/>
      <c r="D1292" s="31"/>
      <c r="E1292" s="36"/>
      <c r="F1292" s="31"/>
    </row>
    <row r="1293" spans="1:6" ht="15.75" customHeight="1">
      <c r="A1293" s="36"/>
      <c r="B1293" s="32"/>
      <c r="C1293" s="31"/>
      <c r="D1293" s="31"/>
      <c r="E1293" s="36"/>
      <c r="F1293" s="31"/>
    </row>
    <row r="1294" spans="1:6" ht="15.75" customHeight="1">
      <c r="A1294" s="36"/>
      <c r="B1294" s="32"/>
      <c r="C1294" s="31"/>
      <c r="D1294" s="31"/>
      <c r="E1294" s="36"/>
      <c r="F1294" s="31"/>
    </row>
    <row r="1295" spans="1:6" ht="15.75" customHeight="1">
      <c r="A1295" s="36"/>
      <c r="B1295" s="32"/>
      <c r="C1295" s="31"/>
      <c r="D1295" s="31"/>
      <c r="E1295" s="36"/>
      <c r="F1295" s="31"/>
    </row>
    <row r="1296" spans="1:6" ht="15.75" customHeight="1">
      <c r="A1296" s="36"/>
      <c r="B1296" s="32"/>
      <c r="C1296" s="31"/>
      <c r="D1296" s="31"/>
      <c r="E1296" s="36"/>
      <c r="F1296" s="31"/>
    </row>
    <row r="1297" spans="1:6" ht="15.75" customHeight="1">
      <c r="A1297" s="36"/>
      <c r="B1297" s="32"/>
      <c r="C1297" s="31"/>
      <c r="D1297" s="31"/>
      <c r="E1297" s="36"/>
      <c r="F1297" s="31"/>
    </row>
    <row r="1298" spans="1:6" ht="15.75" customHeight="1">
      <c r="A1298" s="36"/>
      <c r="B1298" s="32"/>
      <c r="C1298" s="31"/>
      <c r="D1298" s="31"/>
      <c r="E1298" s="36"/>
      <c r="F1298" s="31"/>
    </row>
    <row r="1299" spans="1:6" ht="15.75" customHeight="1">
      <c r="A1299" s="36"/>
      <c r="B1299" s="32"/>
      <c r="C1299" s="31"/>
      <c r="D1299" s="31"/>
      <c r="E1299" s="36"/>
      <c r="F1299" s="31"/>
    </row>
    <row r="1300" spans="1:6" ht="15.75" customHeight="1">
      <c r="A1300" s="36"/>
      <c r="B1300" s="32"/>
      <c r="C1300" s="31"/>
      <c r="D1300" s="31"/>
      <c r="E1300" s="36"/>
      <c r="F1300" s="31"/>
    </row>
    <row r="1301" spans="1:6" ht="15.75" customHeight="1">
      <c r="A1301" s="36"/>
      <c r="B1301" s="32"/>
      <c r="C1301" s="31"/>
      <c r="D1301" s="31"/>
      <c r="E1301" s="36"/>
      <c r="F1301" s="31"/>
    </row>
    <row r="1302" spans="1:6" ht="15.75" customHeight="1">
      <c r="A1302" s="36"/>
      <c r="B1302" s="32"/>
      <c r="C1302" s="31"/>
      <c r="D1302" s="31"/>
      <c r="E1302" s="36"/>
      <c r="F1302" s="31"/>
    </row>
    <row r="1303" spans="1:6" ht="15.75" customHeight="1">
      <c r="A1303" s="36"/>
      <c r="B1303" s="32"/>
      <c r="C1303" s="31"/>
      <c r="D1303" s="31"/>
      <c r="E1303" s="36"/>
      <c r="F1303" s="31"/>
    </row>
    <row r="1304" spans="1:6" ht="15.75" customHeight="1">
      <c r="A1304" s="36"/>
      <c r="B1304" s="32"/>
      <c r="C1304" s="31"/>
      <c r="D1304" s="31"/>
      <c r="E1304" s="36"/>
      <c r="F1304" s="31"/>
    </row>
    <row r="1305" spans="1:6" ht="15.75" customHeight="1">
      <c r="A1305" s="36"/>
      <c r="B1305" s="32"/>
      <c r="C1305" s="31"/>
      <c r="D1305" s="31"/>
      <c r="E1305" s="36"/>
      <c r="F1305" s="31"/>
    </row>
    <row r="1306" spans="1:6" ht="15.75" customHeight="1">
      <c r="A1306" s="36"/>
      <c r="B1306" s="32"/>
      <c r="C1306" s="31"/>
      <c r="D1306" s="31"/>
      <c r="E1306" s="36"/>
      <c r="F1306" s="31"/>
    </row>
    <row r="1307" spans="1:6" ht="15.75" customHeight="1">
      <c r="A1307" s="36"/>
      <c r="B1307" s="32"/>
      <c r="C1307" s="31"/>
      <c r="D1307" s="31"/>
      <c r="E1307" s="36"/>
      <c r="F1307" s="31"/>
    </row>
    <row r="1308" spans="1:6" ht="15.75" customHeight="1">
      <c r="A1308" s="36"/>
      <c r="B1308" s="32"/>
      <c r="C1308" s="31"/>
      <c r="D1308" s="31"/>
      <c r="E1308" s="36"/>
      <c r="F1308" s="31"/>
    </row>
    <row r="1309" spans="1:6" ht="15.75" customHeight="1">
      <c r="A1309" s="36"/>
      <c r="B1309" s="32"/>
      <c r="C1309" s="31"/>
      <c r="D1309" s="31"/>
      <c r="E1309" s="36"/>
      <c r="F1309" s="31"/>
    </row>
    <row r="1310" spans="1:6" ht="15.75" customHeight="1">
      <c r="A1310" s="36"/>
      <c r="B1310" s="32"/>
      <c r="C1310" s="31"/>
      <c r="D1310" s="31"/>
      <c r="E1310" s="36"/>
      <c r="F1310" s="31"/>
    </row>
    <row r="1311" spans="1:6" ht="15.75" customHeight="1">
      <c r="A1311" s="36"/>
      <c r="B1311" s="32"/>
      <c r="C1311" s="31"/>
      <c r="D1311" s="31"/>
      <c r="E1311" s="36"/>
      <c r="F1311" s="31"/>
    </row>
    <row r="1312" spans="1:6" ht="15.75" customHeight="1">
      <c r="A1312" s="36"/>
      <c r="B1312" s="32"/>
      <c r="C1312" s="31"/>
      <c r="D1312" s="31"/>
      <c r="E1312" s="36"/>
      <c r="F1312" s="31"/>
    </row>
    <row r="1313" spans="1:6" ht="15.75" customHeight="1">
      <c r="A1313" s="36"/>
      <c r="B1313" s="32"/>
      <c r="C1313" s="31"/>
      <c r="D1313" s="31"/>
      <c r="E1313" s="36"/>
      <c r="F1313" s="31"/>
    </row>
    <row r="1314" spans="1:6" ht="15.75" customHeight="1">
      <c r="A1314" s="36"/>
      <c r="B1314" s="32"/>
      <c r="C1314" s="31"/>
      <c r="D1314" s="31"/>
      <c r="E1314" s="36"/>
      <c r="F1314" s="31"/>
    </row>
    <row r="1315" spans="1:6" ht="15.75" customHeight="1">
      <c r="A1315" s="36"/>
      <c r="B1315" s="32"/>
      <c r="C1315" s="31"/>
      <c r="D1315" s="31"/>
      <c r="E1315" s="36"/>
      <c r="F1315" s="31"/>
    </row>
    <row r="1316" spans="1:6" ht="15.75" customHeight="1">
      <c r="A1316" s="36"/>
      <c r="B1316" s="32"/>
      <c r="C1316" s="31"/>
      <c r="D1316" s="31"/>
      <c r="E1316" s="36"/>
      <c r="F1316" s="31"/>
    </row>
    <row r="1317" spans="1:6" ht="15.75" customHeight="1">
      <c r="A1317" s="36"/>
      <c r="B1317" s="32"/>
      <c r="C1317" s="31"/>
      <c r="D1317" s="31"/>
      <c r="E1317" s="36"/>
      <c r="F1317" s="31"/>
    </row>
    <row r="1318" spans="1:6" ht="15.75" customHeight="1">
      <c r="A1318" s="36"/>
      <c r="B1318" s="32"/>
      <c r="C1318" s="31"/>
      <c r="D1318" s="31"/>
      <c r="E1318" s="36"/>
      <c r="F1318" s="31"/>
    </row>
    <row r="1319" spans="1:6" ht="15.75" customHeight="1">
      <c r="A1319" s="36"/>
      <c r="B1319" s="32"/>
      <c r="C1319" s="31"/>
      <c r="D1319" s="31"/>
      <c r="E1319" s="36"/>
      <c r="F1319" s="31"/>
    </row>
    <row r="1320" spans="1:6" ht="15.75" customHeight="1">
      <c r="A1320" s="36"/>
      <c r="B1320" s="32"/>
      <c r="C1320" s="31"/>
      <c r="D1320" s="31"/>
      <c r="E1320" s="36"/>
      <c r="F1320" s="31"/>
    </row>
    <row r="1321" spans="1:6" ht="15.75" customHeight="1">
      <c r="A1321" s="36"/>
      <c r="B1321" s="32"/>
      <c r="C1321" s="31"/>
      <c r="D1321" s="31"/>
      <c r="E1321" s="36"/>
      <c r="F1321" s="31"/>
    </row>
    <row r="1322" spans="1:6" ht="15.75" customHeight="1">
      <c r="A1322" s="36"/>
      <c r="B1322" s="32"/>
      <c r="C1322" s="31"/>
      <c r="D1322" s="31"/>
      <c r="E1322" s="36"/>
      <c r="F1322" s="31"/>
    </row>
    <row r="1323" spans="1:6" ht="15.75" customHeight="1">
      <c r="A1323" s="36"/>
      <c r="B1323" s="32"/>
      <c r="C1323" s="31"/>
      <c r="D1323" s="31"/>
      <c r="E1323" s="36"/>
      <c r="F1323" s="31"/>
    </row>
    <row r="1324" spans="1:6" ht="15.75" customHeight="1">
      <c r="A1324" s="36"/>
      <c r="B1324" s="32"/>
      <c r="C1324" s="31"/>
      <c r="D1324" s="31"/>
      <c r="E1324" s="36"/>
      <c r="F1324" s="31"/>
    </row>
    <row r="1325" spans="1:6" ht="15.75" customHeight="1">
      <c r="A1325" s="36"/>
      <c r="B1325" s="32"/>
      <c r="C1325" s="31"/>
      <c r="D1325" s="31"/>
      <c r="E1325" s="36"/>
      <c r="F1325" s="31"/>
    </row>
    <row r="1326" spans="1:6" ht="15.75" customHeight="1">
      <c r="A1326" s="36"/>
      <c r="B1326" s="32"/>
      <c r="C1326" s="31"/>
      <c r="D1326" s="31"/>
      <c r="E1326" s="36"/>
      <c r="F1326" s="31"/>
    </row>
    <row r="1327" spans="1:6" ht="15.75" customHeight="1">
      <c r="A1327" s="36"/>
      <c r="B1327" s="32"/>
      <c r="C1327" s="31"/>
      <c r="D1327" s="31"/>
      <c r="E1327" s="36"/>
      <c r="F1327" s="31"/>
    </row>
    <row r="1328" spans="1:6" ht="15.75" customHeight="1">
      <c r="A1328" s="36"/>
      <c r="B1328" s="32"/>
      <c r="C1328" s="31"/>
      <c r="D1328" s="31"/>
      <c r="E1328" s="36"/>
      <c r="F1328" s="31"/>
    </row>
    <row r="1329" spans="1:6" ht="15.75" customHeight="1">
      <c r="A1329" s="36"/>
      <c r="B1329" s="32"/>
      <c r="C1329" s="31"/>
      <c r="D1329" s="31"/>
      <c r="E1329" s="36"/>
      <c r="F1329" s="31"/>
    </row>
    <row r="1330" spans="1:6" ht="15.75" customHeight="1">
      <c r="A1330" s="36"/>
      <c r="B1330" s="32"/>
      <c r="C1330" s="31"/>
      <c r="D1330" s="31"/>
      <c r="E1330" s="36"/>
      <c r="F1330" s="31"/>
    </row>
    <row r="1331" spans="1:6" ht="15.75" customHeight="1">
      <c r="A1331" s="36"/>
      <c r="B1331" s="32"/>
      <c r="C1331" s="31"/>
      <c r="D1331" s="31"/>
      <c r="E1331" s="36"/>
      <c r="F1331" s="31"/>
    </row>
    <row r="1332" spans="1:6" ht="15.75" customHeight="1">
      <c r="A1332" s="36"/>
      <c r="B1332" s="32"/>
      <c r="C1332" s="31"/>
      <c r="D1332" s="31"/>
      <c r="E1332" s="36"/>
      <c r="F1332" s="31"/>
    </row>
    <row r="1333" spans="1:6" ht="15.75" customHeight="1">
      <c r="A1333" s="36"/>
      <c r="B1333" s="32"/>
      <c r="C1333" s="31"/>
      <c r="D1333" s="31"/>
      <c r="E1333" s="36"/>
      <c r="F1333" s="31"/>
    </row>
    <row r="1334" spans="1:6" ht="15.75" customHeight="1">
      <c r="A1334" s="36"/>
      <c r="B1334" s="32"/>
      <c r="C1334" s="31"/>
      <c r="D1334" s="31"/>
      <c r="E1334" s="36"/>
      <c r="F1334" s="31"/>
    </row>
    <row r="1335" spans="1:6" ht="15.75" customHeight="1">
      <c r="A1335" s="36"/>
      <c r="B1335" s="32"/>
      <c r="C1335" s="31"/>
      <c r="D1335" s="31"/>
      <c r="E1335" s="36"/>
      <c r="F1335" s="31"/>
    </row>
    <row r="1336" spans="1:6" ht="15.75" customHeight="1">
      <c r="A1336" s="36"/>
      <c r="B1336" s="32"/>
      <c r="C1336" s="31"/>
      <c r="D1336" s="31"/>
      <c r="E1336" s="36"/>
      <c r="F1336" s="31"/>
    </row>
    <row r="1337" spans="1:6" ht="15.75" customHeight="1">
      <c r="A1337" s="36"/>
      <c r="B1337" s="32"/>
      <c r="C1337" s="31"/>
      <c r="D1337" s="31"/>
      <c r="E1337" s="36"/>
      <c r="F1337" s="31"/>
    </row>
    <row r="1338" spans="1:6" ht="15.75" customHeight="1">
      <c r="A1338" s="36"/>
      <c r="B1338" s="32"/>
      <c r="C1338" s="31"/>
      <c r="D1338" s="31"/>
      <c r="E1338" s="36"/>
      <c r="F1338" s="31"/>
    </row>
    <row r="1339" spans="1:6" ht="15.75" customHeight="1">
      <c r="A1339" s="36"/>
      <c r="B1339" s="32"/>
      <c r="C1339" s="31"/>
      <c r="D1339" s="31"/>
      <c r="E1339" s="36"/>
      <c r="F1339" s="31"/>
    </row>
    <row r="1340" spans="1:6" ht="15.75" customHeight="1">
      <c r="A1340" s="36"/>
      <c r="B1340" s="32"/>
      <c r="C1340" s="31"/>
      <c r="D1340" s="31"/>
      <c r="E1340" s="36"/>
      <c r="F1340" s="31"/>
    </row>
    <row r="1341" spans="1:6" ht="15.75" customHeight="1">
      <c r="A1341" s="36"/>
      <c r="B1341" s="32"/>
      <c r="C1341" s="31"/>
      <c r="D1341" s="31"/>
      <c r="E1341" s="36"/>
      <c r="F1341" s="31"/>
    </row>
    <row r="1342" spans="1:6" ht="15.75" customHeight="1">
      <c r="A1342" s="36"/>
      <c r="B1342" s="32"/>
      <c r="C1342" s="31"/>
      <c r="D1342" s="31"/>
      <c r="E1342" s="36"/>
      <c r="F1342" s="31"/>
    </row>
    <row r="1343" spans="1:6" ht="15.75" customHeight="1">
      <c r="A1343" s="36"/>
      <c r="B1343" s="32"/>
      <c r="C1343" s="31"/>
      <c r="D1343" s="31"/>
      <c r="E1343" s="36"/>
      <c r="F1343" s="31"/>
    </row>
    <row r="1344" spans="1:6" ht="15.75" customHeight="1">
      <c r="A1344" s="36"/>
      <c r="B1344" s="32"/>
      <c r="C1344" s="31"/>
      <c r="D1344" s="31"/>
      <c r="E1344" s="36"/>
      <c r="F1344" s="31"/>
    </row>
    <row r="1345" spans="1:6" ht="15.75" customHeight="1">
      <c r="A1345" s="36"/>
      <c r="B1345" s="32"/>
      <c r="C1345" s="31"/>
      <c r="D1345" s="31"/>
      <c r="E1345" s="36"/>
      <c r="F1345" s="31"/>
    </row>
    <row r="1346" spans="1:6" ht="15.75" customHeight="1">
      <c r="A1346" s="36"/>
      <c r="B1346" s="32"/>
      <c r="C1346" s="31"/>
      <c r="D1346" s="31"/>
      <c r="E1346" s="36"/>
      <c r="F1346" s="31"/>
    </row>
    <row r="1347" spans="1:6" ht="15.75" customHeight="1">
      <c r="A1347" s="36"/>
      <c r="B1347" s="32"/>
      <c r="C1347" s="31"/>
      <c r="D1347" s="31"/>
      <c r="E1347" s="36"/>
      <c r="F1347" s="31"/>
    </row>
    <row r="1348" spans="1:6" ht="15.75" customHeight="1">
      <c r="A1348" s="36"/>
      <c r="B1348" s="32"/>
      <c r="C1348" s="31"/>
      <c r="D1348" s="31"/>
      <c r="E1348" s="36"/>
      <c r="F1348" s="31"/>
    </row>
    <row r="1349" spans="1:6" ht="15.75" customHeight="1">
      <c r="A1349" s="36"/>
      <c r="B1349" s="32"/>
      <c r="C1349" s="31"/>
      <c r="D1349" s="31"/>
      <c r="E1349" s="36"/>
      <c r="F1349" s="31"/>
    </row>
    <row r="1350" spans="1:6" ht="15.75" customHeight="1">
      <c r="A1350" s="36"/>
      <c r="B1350" s="32"/>
      <c r="C1350" s="31"/>
      <c r="D1350" s="31"/>
      <c r="E1350" s="36"/>
      <c r="F1350" s="31"/>
    </row>
    <row r="1351" spans="1:6" ht="15.75" customHeight="1">
      <c r="A1351" s="36"/>
      <c r="B1351" s="32"/>
      <c r="C1351" s="31"/>
      <c r="D1351" s="31"/>
      <c r="E1351" s="36"/>
      <c r="F1351" s="31"/>
    </row>
    <row r="1352" spans="1:6" ht="15.75" customHeight="1">
      <c r="A1352" s="36"/>
      <c r="B1352" s="32"/>
      <c r="C1352" s="31"/>
      <c r="D1352" s="31"/>
      <c r="E1352" s="36"/>
      <c r="F1352" s="31"/>
    </row>
    <row r="1353" spans="1:6" ht="15.75" customHeight="1">
      <c r="A1353" s="36"/>
      <c r="B1353" s="32"/>
      <c r="C1353" s="31"/>
      <c r="D1353" s="31"/>
      <c r="E1353" s="36"/>
      <c r="F1353" s="31"/>
    </row>
    <row r="1354" spans="1:6" ht="15.75" customHeight="1">
      <c r="A1354" s="36"/>
      <c r="B1354" s="32"/>
      <c r="C1354" s="31"/>
      <c r="D1354" s="31"/>
      <c r="E1354" s="36"/>
      <c r="F1354" s="31"/>
    </row>
    <row r="1355" spans="1:6" ht="15.75" customHeight="1">
      <c r="A1355" s="36"/>
      <c r="B1355" s="32"/>
      <c r="C1355" s="31"/>
      <c r="D1355" s="31"/>
      <c r="E1355" s="36"/>
      <c r="F1355" s="31"/>
    </row>
    <row r="1356" spans="1:6" ht="15.75" customHeight="1">
      <c r="A1356" s="36"/>
      <c r="B1356" s="32"/>
      <c r="C1356" s="31"/>
      <c r="D1356" s="31"/>
      <c r="E1356" s="36"/>
      <c r="F1356" s="31"/>
    </row>
    <row r="1357" spans="1:6" ht="15.75" customHeight="1">
      <c r="A1357" s="36"/>
      <c r="B1357" s="32"/>
      <c r="C1357" s="31"/>
      <c r="D1357" s="31"/>
      <c r="E1357" s="36"/>
      <c r="F1357" s="31"/>
    </row>
    <row r="1358" spans="1:6" ht="15.75" customHeight="1">
      <c r="A1358" s="36"/>
      <c r="B1358" s="32"/>
      <c r="C1358" s="31"/>
      <c r="D1358" s="31"/>
      <c r="E1358" s="36"/>
      <c r="F1358" s="31"/>
    </row>
    <row r="1359" spans="1:6" ht="15.75" customHeight="1">
      <c r="A1359" s="36"/>
      <c r="B1359" s="32"/>
      <c r="C1359" s="31"/>
      <c r="D1359" s="31"/>
      <c r="E1359" s="36"/>
      <c r="F1359" s="31"/>
    </row>
    <row r="1360" spans="1:6" ht="15.75" customHeight="1">
      <c r="A1360" s="36"/>
      <c r="B1360" s="32"/>
      <c r="C1360" s="31"/>
      <c r="D1360" s="31"/>
      <c r="E1360" s="36"/>
      <c r="F1360" s="31"/>
    </row>
    <row r="1361" spans="1:6" ht="15.75" customHeight="1">
      <c r="A1361" s="36"/>
      <c r="B1361" s="32"/>
      <c r="C1361" s="31"/>
      <c r="D1361" s="31"/>
      <c r="E1361" s="36"/>
      <c r="F1361" s="31"/>
    </row>
    <row r="1362" spans="1:6" ht="15.75" customHeight="1">
      <c r="A1362" s="36"/>
      <c r="B1362" s="32"/>
      <c r="C1362" s="31"/>
      <c r="D1362" s="31"/>
      <c r="E1362" s="36"/>
      <c r="F1362" s="31"/>
    </row>
    <row r="1363" spans="1:6" ht="15.75" customHeight="1">
      <c r="A1363" s="36"/>
      <c r="B1363" s="32"/>
      <c r="C1363" s="31"/>
      <c r="D1363" s="31"/>
      <c r="E1363" s="36"/>
      <c r="F1363" s="31"/>
    </row>
    <row r="1364" spans="1:6" ht="15.75" customHeight="1">
      <c r="A1364" s="36"/>
      <c r="B1364" s="32"/>
      <c r="C1364" s="31"/>
      <c r="D1364" s="31"/>
      <c r="E1364" s="36"/>
      <c r="F1364" s="31"/>
    </row>
    <row r="1365" spans="1:6" ht="15.75" customHeight="1">
      <c r="A1365" s="36"/>
      <c r="B1365" s="32"/>
      <c r="C1365" s="31"/>
      <c r="D1365" s="31"/>
      <c r="E1365" s="36"/>
      <c r="F1365" s="31"/>
    </row>
    <row r="1366" spans="1:6" ht="15.75" customHeight="1">
      <c r="A1366" s="36"/>
      <c r="B1366" s="32"/>
      <c r="C1366" s="31"/>
      <c r="D1366" s="31"/>
      <c r="E1366" s="36"/>
      <c r="F1366" s="31"/>
    </row>
    <row r="1367" spans="1:6" ht="15.75" customHeight="1">
      <c r="A1367" s="36"/>
      <c r="B1367" s="32"/>
      <c r="C1367" s="31"/>
      <c r="D1367" s="31"/>
      <c r="E1367" s="36"/>
      <c r="F1367" s="31"/>
    </row>
    <row r="1368" spans="1:6" ht="15.75" customHeight="1">
      <c r="A1368" s="36"/>
      <c r="B1368" s="32"/>
      <c r="C1368" s="31"/>
      <c r="D1368" s="31"/>
      <c r="E1368" s="36"/>
      <c r="F1368" s="31"/>
    </row>
    <row r="1369" spans="1:6" ht="15.75" customHeight="1">
      <c r="A1369" s="36"/>
      <c r="B1369" s="32"/>
      <c r="C1369" s="31"/>
      <c r="D1369" s="31"/>
      <c r="E1369" s="36"/>
      <c r="F1369" s="31"/>
    </row>
    <row r="1370" spans="1:6" ht="15.75" customHeight="1">
      <c r="A1370" s="36"/>
      <c r="B1370" s="32"/>
      <c r="C1370" s="31"/>
      <c r="D1370" s="31"/>
      <c r="E1370" s="36"/>
      <c r="F1370" s="31"/>
    </row>
    <row r="1371" spans="1:6" ht="15.75" customHeight="1">
      <c r="A1371" s="36"/>
      <c r="B1371" s="32"/>
      <c r="C1371" s="31"/>
      <c r="D1371" s="31"/>
      <c r="E1371" s="36"/>
      <c r="F1371" s="31"/>
    </row>
    <row r="1372" spans="1:6" ht="15.75" customHeight="1">
      <c r="A1372" s="36"/>
      <c r="B1372" s="32"/>
      <c r="C1372" s="31"/>
      <c r="D1372" s="31"/>
      <c r="E1372" s="36"/>
      <c r="F1372" s="31"/>
    </row>
    <row r="1373" spans="1:6" ht="15.75" customHeight="1">
      <c r="A1373" s="36"/>
      <c r="B1373" s="32"/>
      <c r="C1373" s="31"/>
      <c r="D1373" s="31"/>
      <c r="E1373" s="36"/>
      <c r="F1373" s="31"/>
    </row>
    <row r="1374" spans="1:6" ht="15.75" customHeight="1">
      <c r="A1374" s="36"/>
      <c r="B1374" s="32"/>
      <c r="C1374" s="31"/>
      <c r="D1374" s="31"/>
      <c r="E1374" s="36"/>
      <c r="F1374" s="31"/>
    </row>
    <row r="1375" spans="1:6" ht="15.75" customHeight="1">
      <c r="A1375" s="36"/>
      <c r="B1375" s="32"/>
      <c r="C1375" s="31"/>
      <c r="D1375" s="31"/>
      <c r="E1375" s="36"/>
      <c r="F1375" s="31"/>
    </row>
    <row r="1376" spans="1:6" ht="15.75" customHeight="1">
      <c r="A1376" s="36"/>
      <c r="B1376" s="32"/>
      <c r="C1376" s="31"/>
      <c r="D1376" s="31"/>
      <c r="E1376" s="36"/>
      <c r="F1376" s="31"/>
    </row>
    <row r="1377" spans="1:6" ht="15.75" customHeight="1">
      <c r="A1377" s="36"/>
      <c r="B1377" s="32"/>
      <c r="C1377" s="31"/>
      <c r="D1377" s="31"/>
      <c r="E1377" s="36"/>
      <c r="F1377" s="31"/>
    </row>
    <row r="1378" spans="1:6" ht="15.75" customHeight="1">
      <c r="A1378" s="36"/>
      <c r="B1378" s="32"/>
      <c r="C1378" s="31"/>
      <c r="D1378" s="31"/>
      <c r="E1378" s="36"/>
      <c r="F1378" s="31"/>
    </row>
    <row r="1379" spans="1:6" ht="15.75" customHeight="1">
      <c r="A1379" s="36"/>
      <c r="B1379" s="32"/>
      <c r="C1379" s="31"/>
      <c r="D1379" s="31"/>
      <c r="E1379" s="36"/>
      <c r="F1379" s="31"/>
    </row>
    <row r="1380" spans="1:6" ht="15.75" customHeight="1">
      <c r="A1380" s="36"/>
      <c r="B1380" s="32"/>
      <c r="C1380" s="31"/>
      <c r="D1380" s="31"/>
      <c r="E1380" s="36"/>
      <c r="F1380" s="31"/>
    </row>
    <row r="1381" spans="1:6" ht="15.75" customHeight="1">
      <c r="A1381" s="36"/>
      <c r="B1381" s="32"/>
      <c r="C1381" s="31"/>
      <c r="D1381" s="31"/>
      <c r="E1381" s="36"/>
      <c r="F1381" s="31"/>
    </row>
    <row r="1382" spans="1:6" ht="15.75" customHeight="1">
      <c r="A1382" s="36"/>
      <c r="B1382" s="32"/>
      <c r="C1382" s="31"/>
      <c r="D1382" s="31"/>
      <c r="E1382" s="36"/>
      <c r="F1382" s="31"/>
    </row>
    <row r="1383" spans="1:6" ht="15.75" customHeight="1">
      <c r="A1383" s="36"/>
      <c r="B1383" s="32"/>
      <c r="C1383" s="31"/>
      <c r="D1383" s="31"/>
      <c r="E1383" s="36"/>
      <c r="F1383" s="31"/>
    </row>
    <row r="1384" spans="1:6" ht="15.75" customHeight="1">
      <c r="A1384" s="36"/>
      <c r="B1384" s="32"/>
      <c r="C1384" s="31"/>
      <c r="D1384" s="31"/>
      <c r="E1384" s="36"/>
      <c r="F1384" s="31"/>
    </row>
    <row r="1385" spans="1:6" ht="15.75" customHeight="1">
      <c r="A1385" s="36"/>
      <c r="B1385" s="32"/>
      <c r="C1385" s="31"/>
      <c r="D1385" s="31"/>
      <c r="E1385" s="36"/>
      <c r="F1385" s="31"/>
    </row>
    <row r="1386" spans="1:6" ht="15.75" customHeight="1">
      <c r="A1386" s="36"/>
      <c r="B1386" s="32"/>
      <c r="C1386" s="31"/>
      <c r="D1386" s="31"/>
      <c r="E1386" s="36"/>
      <c r="F1386" s="31"/>
    </row>
    <row r="1387" spans="1:6" ht="15.75" customHeight="1">
      <c r="A1387" s="36"/>
      <c r="B1387" s="32"/>
      <c r="C1387" s="31"/>
      <c r="D1387" s="31"/>
      <c r="E1387" s="36"/>
      <c r="F1387" s="31"/>
    </row>
    <row r="1388" spans="1:6" ht="15.75" customHeight="1">
      <c r="A1388" s="36"/>
      <c r="B1388" s="32"/>
      <c r="C1388" s="31"/>
      <c r="D1388" s="31"/>
      <c r="E1388" s="36"/>
      <c r="F1388" s="31"/>
    </row>
    <row r="1389" spans="1:6" ht="15.75" customHeight="1">
      <c r="A1389" s="36"/>
      <c r="B1389" s="32"/>
      <c r="C1389" s="31"/>
      <c r="D1389" s="31"/>
      <c r="E1389" s="36"/>
      <c r="F1389" s="31"/>
    </row>
    <row r="1390" spans="1:6" ht="15.75" customHeight="1">
      <c r="A1390" s="36"/>
      <c r="B1390" s="32"/>
      <c r="C1390" s="31"/>
      <c r="D1390" s="31"/>
      <c r="E1390" s="36"/>
      <c r="F1390" s="31"/>
    </row>
    <row r="1391" spans="1:6" ht="15.75" customHeight="1">
      <c r="A1391" s="36"/>
      <c r="B1391" s="32"/>
      <c r="C1391" s="31"/>
      <c r="D1391" s="31"/>
      <c r="E1391" s="36"/>
      <c r="F1391" s="31"/>
    </row>
    <row r="1392" spans="1:6" ht="15.75" customHeight="1">
      <c r="A1392" s="36"/>
      <c r="B1392" s="32"/>
      <c r="C1392" s="31"/>
      <c r="D1392" s="31"/>
      <c r="E1392" s="36"/>
      <c r="F1392" s="31"/>
    </row>
    <row r="1393" spans="1:6" ht="15.75" customHeight="1">
      <c r="A1393" s="36"/>
      <c r="B1393" s="32"/>
      <c r="C1393" s="31"/>
      <c r="D1393" s="31"/>
      <c r="E1393" s="36"/>
      <c r="F1393" s="31"/>
    </row>
    <row r="1394" spans="1:6" ht="15.75" customHeight="1">
      <c r="A1394" s="36"/>
      <c r="B1394" s="32"/>
      <c r="C1394" s="31"/>
      <c r="D1394" s="31"/>
      <c r="E1394" s="36"/>
      <c r="F1394" s="31"/>
    </row>
    <row r="1395" spans="1:6" ht="15.75" customHeight="1">
      <c r="A1395" s="36"/>
      <c r="B1395" s="32"/>
      <c r="C1395" s="31"/>
      <c r="D1395" s="31"/>
      <c r="E1395" s="36"/>
      <c r="F1395" s="31"/>
    </row>
    <row r="1396" spans="1:6" ht="15.75" customHeight="1">
      <c r="A1396" s="36"/>
      <c r="B1396" s="32"/>
      <c r="C1396" s="31"/>
      <c r="D1396" s="31"/>
      <c r="E1396" s="36"/>
      <c r="F1396" s="31"/>
    </row>
    <row r="1397" spans="1:6" ht="15.75" customHeight="1">
      <c r="A1397" s="36"/>
      <c r="B1397" s="32"/>
      <c r="C1397" s="31"/>
      <c r="D1397" s="31"/>
      <c r="E1397" s="36"/>
      <c r="F1397" s="31"/>
    </row>
    <row r="1398" spans="1:6" ht="15.75" customHeight="1">
      <c r="A1398" s="36"/>
      <c r="B1398" s="32"/>
      <c r="C1398" s="31"/>
      <c r="D1398" s="31"/>
      <c r="E1398" s="36"/>
      <c r="F1398" s="31"/>
    </row>
    <row r="1399" spans="1:6" ht="15.75" customHeight="1">
      <c r="A1399" s="36"/>
      <c r="B1399" s="32"/>
      <c r="C1399" s="31"/>
      <c r="D1399" s="31"/>
      <c r="E1399" s="36"/>
      <c r="F1399" s="31"/>
    </row>
    <row r="1400" spans="1:6" ht="15.75" customHeight="1">
      <c r="A1400" s="36"/>
      <c r="B1400" s="32"/>
      <c r="C1400" s="31"/>
      <c r="D1400" s="31"/>
      <c r="E1400" s="36"/>
      <c r="F1400" s="31"/>
    </row>
    <row r="1401" spans="1:6" ht="15.75" customHeight="1">
      <c r="A1401" s="36"/>
      <c r="B1401" s="32"/>
      <c r="C1401" s="31"/>
      <c r="D1401" s="31"/>
      <c r="E1401" s="36"/>
      <c r="F1401" s="31"/>
    </row>
    <row r="1402" spans="1:6" ht="15.75" customHeight="1">
      <c r="A1402" s="36"/>
      <c r="B1402" s="32"/>
      <c r="C1402" s="31"/>
      <c r="D1402" s="31"/>
      <c r="E1402" s="36"/>
      <c r="F1402" s="31"/>
    </row>
    <row r="1403" spans="1:6" ht="15.75" customHeight="1">
      <c r="A1403" s="36"/>
      <c r="B1403" s="32"/>
      <c r="C1403" s="31"/>
      <c r="D1403" s="31"/>
      <c r="E1403" s="36"/>
      <c r="F1403" s="31"/>
    </row>
    <row r="1404" spans="1:6" ht="15.75" customHeight="1">
      <c r="A1404" s="36"/>
      <c r="B1404" s="32"/>
      <c r="C1404" s="31"/>
      <c r="D1404" s="31"/>
      <c r="E1404" s="36"/>
      <c r="F1404" s="31"/>
    </row>
    <row r="1405" spans="1:6" ht="15.75" customHeight="1">
      <c r="A1405" s="36"/>
      <c r="B1405" s="32"/>
      <c r="C1405" s="31"/>
      <c r="D1405" s="31"/>
      <c r="E1405" s="36"/>
      <c r="F1405" s="31"/>
    </row>
    <row r="1406" spans="1:6" ht="15.75" customHeight="1">
      <c r="A1406" s="36"/>
      <c r="B1406" s="32"/>
      <c r="C1406" s="31"/>
      <c r="D1406" s="31"/>
      <c r="E1406" s="36"/>
      <c r="F1406" s="31"/>
    </row>
    <row r="1407" spans="1:6" ht="15.75" customHeight="1">
      <c r="A1407" s="36"/>
      <c r="B1407" s="32"/>
      <c r="C1407" s="31"/>
      <c r="D1407" s="31"/>
      <c r="E1407" s="36"/>
      <c r="F1407" s="31"/>
    </row>
    <row r="1408" spans="1:6" ht="15.75" customHeight="1">
      <c r="A1408" s="36"/>
      <c r="B1408" s="32"/>
      <c r="C1408" s="31"/>
      <c r="D1408" s="31"/>
      <c r="E1408" s="36"/>
      <c r="F1408" s="31"/>
    </row>
    <row r="1409" spans="1:6" ht="15.75" customHeight="1">
      <c r="A1409" s="36"/>
      <c r="B1409" s="32"/>
      <c r="C1409" s="31"/>
      <c r="D1409" s="31"/>
      <c r="E1409" s="36"/>
      <c r="F1409" s="31"/>
    </row>
    <row r="1410" spans="1:6" ht="15.75" customHeight="1">
      <c r="A1410" s="36"/>
      <c r="B1410" s="32"/>
      <c r="C1410" s="31"/>
      <c r="D1410" s="31"/>
      <c r="E1410" s="36"/>
      <c r="F1410" s="31"/>
    </row>
    <row r="1411" spans="1:6" ht="15.75" customHeight="1">
      <c r="A1411" s="36"/>
      <c r="B1411" s="32"/>
      <c r="C1411" s="31"/>
      <c r="D1411" s="31"/>
      <c r="E1411" s="36"/>
      <c r="F1411" s="31"/>
    </row>
    <row r="1412" spans="1:6" ht="15.75" customHeight="1">
      <c r="A1412" s="36"/>
      <c r="B1412" s="32"/>
      <c r="C1412" s="31"/>
      <c r="D1412" s="31"/>
      <c r="E1412" s="36"/>
      <c r="F1412" s="31"/>
    </row>
    <row r="1413" spans="1:6" ht="15.75" customHeight="1">
      <c r="A1413" s="36"/>
      <c r="B1413" s="32"/>
      <c r="C1413" s="31"/>
      <c r="D1413" s="31"/>
      <c r="E1413" s="36"/>
      <c r="F1413" s="31"/>
    </row>
    <row r="1414" spans="1:6" ht="15.75" customHeight="1">
      <c r="A1414" s="36"/>
      <c r="B1414" s="32"/>
      <c r="C1414" s="31"/>
      <c r="D1414" s="31"/>
      <c r="E1414" s="36"/>
      <c r="F1414" s="31"/>
    </row>
    <row r="1415" spans="1:6" ht="15.75" customHeight="1">
      <c r="A1415" s="36"/>
      <c r="B1415" s="32"/>
      <c r="C1415" s="31"/>
      <c r="D1415" s="31"/>
      <c r="E1415" s="36"/>
      <c r="F1415" s="31"/>
    </row>
    <row r="1416" spans="1:6" ht="15.75" customHeight="1">
      <c r="A1416" s="36"/>
      <c r="B1416" s="32"/>
      <c r="C1416" s="31"/>
      <c r="D1416" s="31"/>
      <c r="E1416" s="36"/>
      <c r="F1416" s="31"/>
    </row>
    <row r="1417" spans="1:6" ht="15.75" customHeight="1">
      <c r="A1417" s="36"/>
      <c r="B1417" s="32"/>
      <c r="C1417" s="31"/>
      <c r="D1417" s="31"/>
      <c r="E1417" s="36"/>
      <c r="F1417" s="31"/>
    </row>
    <row r="1418" spans="1:6" ht="15.75" customHeight="1">
      <c r="A1418" s="36"/>
      <c r="B1418" s="32"/>
      <c r="C1418" s="31"/>
      <c r="D1418" s="31"/>
      <c r="E1418" s="36"/>
      <c r="F1418" s="31"/>
    </row>
    <row r="1419" spans="1:6" ht="15.75" customHeight="1">
      <c r="A1419" s="36"/>
      <c r="B1419" s="32"/>
      <c r="C1419" s="31"/>
      <c r="D1419" s="31"/>
      <c r="E1419" s="36"/>
      <c r="F1419" s="31"/>
    </row>
    <row r="1420" spans="1:6" ht="15.75" customHeight="1">
      <c r="A1420" s="36"/>
      <c r="B1420" s="32"/>
      <c r="C1420" s="31"/>
      <c r="D1420" s="31"/>
      <c r="E1420" s="36"/>
      <c r="F1420" s="31"/>
    </row>
    <row r="1421" spans="1:6" ht="15.75" customHeight="1">
      <c r="A1421" s="36"/>
      <c r="B1421" s="32"/>
      <c r="C1421" s="31"/>
      <c r="D1421" s="31"/>
      <c r="E1421" s="36"/>
      <c r="F1421" s="31"/>
    </row>
    <row r="1422" spans="1:6" ht="15.75" customHeight="1">
      <c r="A1422" s="36"/>
      <c r="B1422" s="32"/>
      <c r="C1422" s="31"/>
      <c r="D1422" s="31"/>
      <c r="E1422" s="36"/>
      <c r="F1422" s="31"/>
    </row>
    <row r="1423" spans="1:6" ht="15.75" customHeight="1">
      <c r="A1423" s="36"/>
      <c r="B1423" s="32"/>
      <c r="C1423" s="31"/>
      <c r="D1423" s="31"/>
      <c r="E1423" s="36"/>
      <c r="F1423" s="31"/>
    </row>
    <row r="1424" spans="1:6" ht="15.75" customHeight="1">
      <c r="A1424" s="36"/>
      <c r="B1424" s="32"/>
      <c r="C1424" s="31"/>
      <c r="D1424" s="31"/>
      <c r="E1424" s="36"/>
      <c r="F1424" s="31"/>
    </row>
    <row r="1425" spans="1:6" ht="15.75" customHeight="1">
      <c r="A1425" s="36"/>
      <c r="B1425" s="32"/>
      <c r="C1425" s="31"/>
      <c r="D1425" s="31"/>
      <c r="E1425" s="36"/>
      <c r="F1425" s="31"/>
    </row>
    <row r="1426" spans="1:6" ht="15.75" customHeight="1">
      <c r="A1426" s="36"/>
      <c r="B1426" s="32"/>
      <c r="C1426" s="31"/>
      <c r="D1426" s="31"/>
      <c r="E1426" s="36"/>
      <c r="F1426" s="31"/>
    </row>
    <row r="1427" spans="1:6" ht="15.75" customHeight="1">
      <c r="A1427" s="36"/>
      <c r="B1427" s="32"/>
      <c r="C1427" s="31"/>
      <c r="D1427" s="31"/>
      <c r="E1427" s="36"/>
      <c r="F1427" s="31"/>
    </row>
    <row r="1428" spans="1:6" ht="15.75" customHeight="1">
      <c r="A1428" s="36"/>
      <c r="B1428" s="32"/>
      <c r="C1428" s="31"/>
      <c r="D1428" s="31"/>
      <c r="E1428" s="36"/>
      <c r="F1428" s="31"/>
    </row>
    <row r="1429" spans="1:6" ht="15.75" customHeight="1">
      <c r="A1429" s="36"/>
      <c r="B1429" s="32"/>
      <c r="C1429" s="31"/>
      <c r="D1429" s="31"/>
      <c r="E1429" s="36"/>
      <c r="F1429" s="31"/>
    </row>
    <row r="1430" spans="1:6" ht="15.75" customHeight="1">
      <c r="A1430" s="36"/>
      <c r="B1430" s="32"/>
      <c r="C1430" s="31"/>
      <c r="D1430" s="31"/>
      <c r="E1430" s="36"/>
      <c r="F1430" s="31"/>
    </row>
    <row r="1431" spans="1:6" ht="15.75" customHeight="1">
      <c r="A1431" s="36"/>
      <c r="B1431" s="32"/>
      <c r="C1431" s="31"/>
      <c r="D1431" s="31"/>
      <c r="E1431" s="36"/>
      <c r="F1431" s="31"/>
    </row>
    <row r="1432" spans="1:6" ht="15.75" customHeight="1">
      <c r="A1432" s="36"/>
      <c r="B1432" s="32"/>
      <c r="C1432" s="31"/>
      <c r="D1432" s="31"/>
      <c r="E1432" s="36"/>
      <c r="F1432" s="31"/>
    </row>
    <row r="1433" spans="1:6" ht="15.75" customHeight="1">
      <c r="A1433" s="36"/>
      <c r="B1433" s="32"/>
      <c r="C1433" s="31"/>
      <c r="D1433" s="31"/>
      <c r="E1433" s="36"/>
      <c r="F1433" s="31"/>
    </row>
    <row r="1434" spans="1:6" ht="15.75" customHeight="1">
      <c r="A1434" s="36"/>
      <c r="B1434" s="32"/>
      <c r="C1434" s="31"/>
      <c r="D1434" s="31"/>
      <c r="E1434" s="36"/>
      <c r="F1434" s="31"/>
    </row>
    <row r="1435" spans="1:6" ht="15.75" customHeight="1">
      <c r="A1435" s="36"/>
      <c r="B1435" s="32"/>
      <c r="C1435" s="31"/>
      <c r="D1435" s="31"/>
      <c r="E1435" s="36"/>
      <c r="F1435" s="31"/>
    </row>
    <row r="1436" spans="1:6" ht="15.75" customHeight="1">
      <c r="A1436" s="36"/>
      <c r="B1436" s="32"/>
      <c r="C1436" s="31"/>
      <c r="D1436" s="31"/>
      <c r="E1436" s="36"/>
      <c r="F1436" s="31"/>
    </row>
    <row r="1437" spans="1:6" ht="15.75" customHeight="1">
      <c r="A1437" s="36"/>
      <c r="B1437" s="32"/>
      <c r="C1437" s="31"/>
      <c r="D1437" s="31"/>
      <c r="E1437" s="36"/>
      <c r="F1437" s="31"/>
    </row>
    <row r="1438" spans="1:6" ht="15.75" customHeight="1">
      <c r="A1438" s="36"/>
      <c r="B1438" s="32"/>
      <c r="C1438" s="31"/>
      <c r="D1438" s="31"/>
      <c r="E1438" s="36"/>
      <c r="F1438" s="31"/>
    </row>
    <row r="1439" spans="1:6" ht="15.75" customHeight="1">
      <c r="A1439" s="36"/>
      <c r="B1439" s="32"/>
      <c r="C1439" s="31"/>
      <c r="D1439" s="31"/>
      <c r="E1439" s="36"/>
      <c r="F1439" s="31"/>
    </row>
    <row r="1440" spans="1:6" ht="15.75" customHeight="1">
      <c r="A1440" s="36"/>
      <c r="B1440" s="32"/>
      <c r="C1440" s="31"/>
      <c r="D1440" s="31"/>
      <c r="E1440" s="36"/>
      <c r="F1440" s="31"/>
    </row>
    <row r="1441" spans="1:6" ht="15.75" customHeight="1">
      <c r="A1441" s="36"/>
      <c r="B1441" s="32"/>
      <c r="C1441" s="31"/>
      <c r="D1441" s="31"/>
      <c r="E1441" s="36"/>
      <c r="F1441" s="31"/>
    </row>
    <row r="1442" spans="1:6" ht="15.75" customHeight="1">
      <c r="A1442" s="36"/>
      <c r="B1442" s="32"/>
      <c r="C1442" s="31"/>
      <c r="D1442" s="31"/>
      <c r="E1442" s="36"/>
      <c r="F1442" s="31"/>
    </row>
    <row r="1443" spans="1:6" ht="15.75" customHeight="1">
      <c r="A1443" s="36"/>
      <c r="B1443" s="32"/>
      <c r="C1443" s="31"/>
      <c r="D1443" s="31"/>
      <c r="E1443" s="36"/>
      <c r="F1443" s="31"/>
    </row>
    <row r="1444" spans="1:6" ht="15.75" customHeight="1">
      <c r="A1444" s="36"/>
      <c r="B1444" s="32"/>
      <c r="C1444" s="31"/>
      <c r="D1444" s="31"/>
      <c r="E1444" s="36"/>
      <c r="F1444" s="31"/>
    </row>
    <row r="1445" spans="1:6" ht="15.75" customHeight="1">
      <c r="A1445" s="36"/>
      <c r="B1445" s="32"/>
      <c r="C1445" s="31"/>
      <c r="D1445" s="31"/>
      <c r="E1445" s="36"/>
      <c r="F1445" s="31"/>
    </row>
    <row r="1446" spans="1:6" ht="15.75" customHeight="1">
      <c r="A1446" s="36"/>
      <c r="B1446" s="32"/>
      <c r="C1446" s="31"/>
      <c r="D1446" s="31"/>
      <c r="E1446" s="36"/>
      <c r="F1446" s="31"/>
    </row>
    <row r="1447" spans="1:6" ht="15.75" customHeight="1">
      <c r="A1447" s="36"/>
      <c r="B1447" s="32"/>
      <c r="C1447" s="31"/>
      <c r="D1447" s="31"/>
      <c r="E1447" s="36"/>
      <c r="F1447" s="31"/>
    </row>
    <row r="1448" spans="1:6" ht="15.75" customHeight="1">
      <c r="A1448" s="36"/>
      <c r="B1448" s="32"/>
      <c r="C1448" s="31"/>
      <c r="D1448" s="31"/>
      <c r="E1448" s="36"/>
      <c r="F1448" s="31"/>
    </row>
    <row r="1449" spans="1:6" ht="15.75" customHeight="1">
      <c r="A1449" s="36"/>
      <c r="B1449" s="32"/>
      <c r="C1449" s="31"/>
      <c r="D1449" s="31"/>
      <c r="E1449" s="36"/>
      <c r="F1449" s="31"/>
    </row>
    <row r="1450" spans="1:6" ht="15.75" customHeight="1">
      <c r="A1450" s="36"/>
      <c r="B1450" s="32"/>
      <c r="C1450" s="31"/>
      <c r="D1450" s="31"/>
      <c r="E1450" s="36"/>
      <c r="F1450" s="31"/>
    </row>
    <row r="1451" spans="1:6" ht="15.75" customHeight="1">
      <c r="A1451" s="36"/>
      <c r="B1451" s="32"/>
      <c r="C1451" s="31"/>
      <c r="D1451" s="31"/>
      <c r="E1451" s="36"/>
      <c r="F1451" s="31"/>
    </row>
    <row r="1452" spans="1:6" ht="15.75" customHeight="1">
      <c r="A1452" s="36"/>
      <c r="B1452" s="32"/>
      <c r="C1452" s="31"/>
      <c r="D1452" s="31"/>
      <c r="E1452" s="36"/>
      <c r="F1452" s="31"/>
    </row>
    <row r="1453" spans="1:6" ht="15.75" customHeight="1">
      <c r="A1453" s="36"/>
      <c r="B1453" s="32"/>
      <c r="C1453" s="31"/>
      <c r="D1453" s="31"/>
      <c r="E1453" s="36"/>
      <c r="F1453" s="31"/>
    </row>
    <row r="1454" spans="1:6" ht="15.75" customHeight="1">
      <c r="A1454" s="36"/>
      <c r="B1454" s="32"/>
      <c r="C1454" s="31"/>
      <c r="D1454" s="31"/>
      <c r="E1454" s="36"/>
      <c r="F1454" s="31"/>
    </row>
    <row r="1455" spans="1:6" ht="15.75" customHeight="1">
      <c r="A1455" s="36"/>
      <c r="B1455" s="32"/>
      <c r="C1455" s="31"/>
      <c r="D1455" s="31"/>
      <c r="E1455" s="36"/>
      <c r="F1455" s="31"/>
    </row>
    <row r="1456" spans="1:6" ht="15.75" customHeight="1">
      <c r="A1456" s="36"/>
      <c r="B1456" s="32"/>
      <c r="C1456" s="31"/>
      <c r="D1456" s="31"/>
      <c r="E1456" s="36"/>
      <c r="F1456" s="31"/>
    </row>
    <row r="1457" spans="1:6" ht="15.75" customHeight="1">
      <c r="A1457" s="36"/>
      <c r="B1457" s="32"/>
      <c r="C1457" s="31"/>
      <c r="D1457" s="31"/>
      <c r="E1457" s="36"/>
      <c r="F1457" s="31"/>
    </row>
    <row r="1458" spans="1:6" ht="15.75" customHeight="1">
      <c r="A1458" s="36"/>
      <c r="B1458" s="32"/>
      <c r="C1458" s="31"/>
      <c r="D1458" s="31"/>
      <c r="E1458" s="36"/>
      <c r="F1458" s="31"/>
    </row>
    <row r="1459" spans="1:6" ht="15.75" customHeight="1">
      <c r="A1459" s="36"/>
      <c r="B1459" s="32"/>
      <c r="C1459" s="31"/>
      <c r="D1459" s="31"/>
      <c r="E1459" s="36"/>
      <c r="F1459" s="31"/>
    </row>
    <row r="1460" spans="1:6" ht="15.75" customHeight="1">
      <c r="A1460" s="36"/>
      <c r="B1460" s="32"/>
      <c r="C1460" s="31"/>
      <c r="D1460" s="31"/>
      <c r="E1460" s="36"/>
      <c r="F1460" s="31"/>
    </row>
    <row r="1461" spans="1:6" ht="15.75" customHeight="1">
      <c r="A1461" s="36"/>
      <c r="B1461" s="32"/>
      <c r="C1461" s="31"/>
      <c r="D1461" s="31"/>
      <c r="E1461" s="36"/>
      <c r="F1461" s="31"/>
    </row>
    <row r="1462" spans="1:6" ht="15.75" customHeight="1">
      <c r="A1462" s="36"/>
      <c r="B1462" s="32"/>
      <c r="C1462" s="31"/>
      <c r="D1462" s="31"/>
      <c r="E1462" s="36"/>
      <c r="F1462" s="31"/>
    </row>
    <row r="1463" spans="1:6" ht="15.75" customHeight="1">
      <c r="A1463" s="36"/>
      <c r="B1463" s="32"/>
      <c r="C1463" s="31"/>
      <c r="D1463" s="31"/>
      <c r="E1463" s="36"/>
      <c r="F1463" s="31"/>
    </row>
    <row r="1464" spans="1:6" ht="15.75" customHeight="1">
      <c r="A1464" s="36"/>
      <c r="B1464" s="32"/>
      <c r="C1464" s="31"/>
      <c r="D1464" s="31"/>
      <c r="E1464" s="36"/>
      <c r="F1464" s="31"/>
    </row>
    <row r="1465" spans="1:6" ht="15.75" customHeight="1">
      <c r="A1465" s="36"/>
      <c r="B1465" s="32"/>
      <c r="C1465" s="31"/>
      <c r="D1465" s="31"/>
      <c r="E1465" s="36"/>
      <c r="F1465" s="31"/>
    </row>
    <row r="1466" spans="1:6" ht="15.75" customHeight="1">
      <c r="A1466" s="36"/>
      <c r="B1466" s="32"/>
      <c r="C1466" s="31"/>
      <c r="D1466" s="31"/>
      <c r="E1466" s="36"/>
      <c r="F1466" s="31"/>
    </row>
    <row r="1467" spans="1:6" ht="15.75" customHeight="1">
      <c r="A1467" s="36"/>
      <c r="B1467" s="32"/>
      <c r="C1467" s="31"/>
      <c r="D1467" s="31"/>
      <c r="E1467" s="36"/>
      <c r="F1467" s="31"/>
    </row>
    <row r="1468" spans="1:6" ht="15.75" customHeight="1">
      <c r="A1468" s="36"/>
      <c r="B1468" s="32"/>
      <c r="C1468" s="31"/>
      <c r="D1468" s="31"/>
      <c r="E1468" s="36"/>
      <c r="F1468" s="31"/>
    </row>
    <row r="1469" spans="1:6" ht="15.75" customHeight="1">
      <c r="A1469" s="36"/>
      <c r="B1469" s="32"/>
      <c r="C1469" s="31"/>
      <c r="D1469" s="31"/>
      <c r="E1469" s="36"/>
      <c r="F1469" s="31"/>
    </row>
    <row r="1470" spans="1:6" ht="15.75" customHeight="1">
      <c r="A1470" s="36"/>
      <c r="B1470" s="32"/>
      <c r="C1470" s="31"/>
      <c r="D1470" s="31"/>
      <c r="E1470" s="36"/>
      <c r="F1470" s="31"/>
    </row>
    <row r="1471" spans="1:6" ht="15.75" customHeight="1">
      <c r="A1471" s="36"/>
      <c r="B1471" s="32"/>
      <c r="C1471" s="31"/>
      <c r="D1471" s="31"/>
      <c r="E1471" s="36"/>
      <c r="F1471" s="31"/>
    </row>
    <row r="1472" spans="1:6" ht="15.75" customHeight="1">
      <c r="A1472" s="36"/>
      <c r="B1472" s="32"/>
      <c r="C1472" s="31"/>
      <c r="D1472" s="31"/>
      <c r="E1472" s="36"/>
      <c r="F1472" s="31"/>
    </row>
    <row r="1473" spans="1:6" ht="15.75" customHeight="1">
      <c r="A1473" s="36"/>
      <c r="B1473" s="32"/>
      <c r="C1473" s="31"/>
      <c r="D1473" s="31"/>
      <c r="E1473" s="36"/>
      <c r="F1473" s="31"/>
    </row>
    <row r="1474" spans="1:6" ht="15.75" customHeight="1">
      <c r="A1474" s="36"/>
      <c r="B1474" s="32"/>
      <c r="C1474" s="31"/>
      <c r="D1474" s="31"/>
      <c r="E1474" s="36"/>
      <c r="F1474" s="31"/>
    </row>
    <row r="1475" spans="1:6" ht="15.75" customHeight="1">
      <c r="A1475" s="36"/>
      <c r="B1475" s="32"/>
      <c r="C1475" s="31"/>
      <c r="D1475" s="31"/>
      <c r="E1475" s="36"/>
      <c r="F1475" s="31"/>
    </row>
    <row r="1476" spans="1:6" ht="15.75" customHeight="1">
      <c r="A1476" s="36"/>
      <c r="B1476" s="32"/>
      <c r="C1476" s="31"/>
      <c r="D1476" s="31"/>
      <c r="E1476" s="36"/>
      <c r="F1476" s="31"/>
    </row>
    <row r="1477" spans="1:6" ht="15.75" customHeight="1">
      <c r="A1477" s="36"/>
      <c r="B1477" s="32"/>
      <c r="C1477" s="31"/>
      <c r="D1477" s="31"/>
      <c r="E1477" s="36"/>
      <c r="F1477" s="31"/>
    </row>
    <row r="1478" spans="1:6" ht="15.75" customHeight="1">
      <c r="A1478" s="36"/>
      <c r="B1478" s="32"/>
      <c r="C1478" s="31"/>
      <c r="D1478" s="31"/>
      <c r="E1478" s="36"/>
      <c r="F1478" s="31"/>
    </row>
    <row r="1479" spans="1:6" ht="15.75" customHeight="1">
      <c r="A1479" s="36"/>
      <c r="B1479" s="32"/>
      <c r="C1479" s="31"/>
      <c r="D1479" s="31"/>
      <c r="E1479" s="36"/>
      <c r="F1479" s="31"/>
    </row>
    <row r="1480" spans="1:6" ht="15.75" customHeight="1">
      <c r="A1480" s="36"/>
      <c r="B1480" s="32"/>
      <c r="C1480" s="31"/>
      <c r="D1480" s="31"/>
      <c r="E1480" s="36"/>
      <c r="F1480" s="31"/>
    </row>
    <row r="1481" spans="1:6" ht="15.75" customHeight="1">
      <c r="A1481" s="36"/>
      <c r="B1481" s="32"/>
      <c r="C1481" s="31"/>
      <c r="D1481" s="31"/>
      <c r="E1481" s="36"/>
      <c r="F1481" s="31"/>
    </row>
    <row r="1482" spans="1:6" ht="15.75" customHeight="1">
      <c r="A1482" s="36"/>
      <c r="B1482" s="32"/>
      <c r="C1482" s="31"/>
      <c r="D1482" s="31"/>
      <c r="E1482" s="36"/>
      <c r="F1482" s="31"/>
    </row>
    <row r="1483" spans="1:6" ht="15.75" customHeight="1">
      <c r="A1483" s="36"/>
      <c r="B1483" s="32"/>
      <c r="C1483" s="31"/>
      <c r="D1483" s="31"/>
      <c r="E1483" s="36"/>
      <c r="F1483" s="31"/>
    </row>
    <row r="1484" spans="1:6" ht="15.75" customHeight="1">
      <c r="A1484" s="36"/>
      <c r="B1484" s="32"/>
      <c r="C1484" s="31"/>
      <c r="D1484" s="31"/>
      <c r="E1484" s="36"/>
      <c r="F1484" s="31"/>
    </row>
    <row r="1485" spans="1:6" ht="15.75" customHeight="1">
      <c r="A1485" s="36"/>
      <c r="B1485" s="32"/>
      <c r="C1485" s="31"/>
      <c r="D1485" s="31"/>
      <c r="E1485" s="36"/>
      <c r="F1485" s="31"/>
    </row>
    <row r="1486" spans="1:6" ht="15.75" customHeight="1">
      <c r="A1486" s="36"/>
      <c r="B1486" s="32"/>
      <c r="C1486" s="31"/>
      <c r="D1486" s="31"/>
      <c r="E1486" s="36"/>
      <c r="F1486" s="31"/>
    </row>
    <row r="1487" spans="1:6" ht="15.75" customHeight="1">
      <c r="A1487" s="36"/>
      <c r="B1487" s="32"/>
      <c r="C1487" s="31"/>
      <c r="D1487" s="31"/>
      <c r="E1487" s="36"/>
      <c r="F1487" s="31"/>
    </row>
    <row r="1488" spans="1:6" ht="15.75" customHeight="1">
      <c r="A1488" s="36"/>
      <c r="B1488" s="32"/>
      <c r="C1488" s="31"/>
      <c r="D1488" s="31"/>
      <c r="E1488" s="36"/>
      <c r="F1488" s="31"/>
    </row>
    <row r="1489" spans="1:6" ht="15.75" customHeight="1">
      <c r="A1489" s="36"/>
      <c r="B1489" s="32"/>
      <c r="C1489" s="31"/>
      <c r="D1489" s="31"/>
      <c r="E1489" s="36"/>
      <c r="F1489" s="31"/>
    </row>
    <row r="1490" spans="1:6" ht="15.75" customHeight="1">
      <c r="A1490" s="36"/>
      <c r="B1490" s="32"/>
      <c r="C1490" s="31"/>
      <c r="D1490" s="31"/>
      <c r="E1490" s="36"/>
      <c r="F1490" s="31"/>
    </row>
    <row r="1491" spans="1:6" ht="15.75" customHeight="1">
      <c r="A1491" s="36"/>
      <c r="B1491" s="32"/>
      <c r="C1491" s="31"/>
      <c r="D1491" s="31"/>
      <c r="E1491" s="36"/>
      <c r="F1491" s="31"/>
    </row>
    <row r="1492" spans="1:6" ht="15.75" customHeight="1">
      <c r="A1492" s="36"/>
      <c r="B1492" s="32"/>
      <c r="C1492" s="31"/>
      <c r="D1492" s="31"/>
      <c r="E1492" s="36"/>
      <c r="F1492" s="31"/>
    </row>
    <row r="1493" spans="1:6" ht="15.75" customHeight="1">
      <c r="A1493" s="36"/>
      <c r="B1493" s="32"/>
      <c r="C1493" s="31"/>
      <c r="D1493" s="31"/>
      <c r="E1493" s="36"/>
      <c r="F1493" s="31"/>
    </row>
    <row r="1494" spans="1:6" ht="15.75" customHeight="1">
      <c r="A1494" s="36"/>
      <c r="B1494" s="32"/>
      <c r="C1494" s="31"/>
      <c r="D1494" s="31"/>
      <c r="E1494" s="36"/>
      <c r="F1494" s="31"/>
    </row>
    <row r="1495" spans="1:6" ht="15.75" customHeight="1">
      <c r="A1495" s="36"/>
      <c r="B1495" s="32"/>
      <c r="C1495" s="31"/>
      <c r="D1495" s="31"/>
      <c r="E1495" s="36"/>
      <c r="F1495" s="31"/>
    </row>
    <row r="1496" spans="1:6" ht="15.75" customHeight="1">
      <c r="A1496" s="36"/>
      <c r="B1496" s="32"/>
      <c r="C1496" s="31"/>
      <c r="D1496" s="31"/>
      <c r="E1496" s="36"/>
      <c r="F1496" s="31"/>
    </row>
    <row r="1497" spans="1:6" ht="15.75" customHeight="1">
      <c r="A1497" s="36"/>
      <c r="B1497" s="32"/>
      <c r="C1497" s="31"/>
      <c r="D1497" s="31"/>
      <c r="E1497" s="36"/>
      <c r="F1497" s="31"/>
    </row>
    <row r="1498" spans="1:6" ht="15.75" customHeight="1">
      <c r="A1498" s="36"/>
      <c r="B1498" s="32"/>
      <c r="C1498" s="31"/>
      <c r="D1498" s="31"/>
      <c r="E1498" s="36"/>
      <c r="F1498" s="31"/>
    </row>
    <row r="1499" spans="1:6" ht="15.75" customHeight="1">
      <c r="A1499" s="36"/>
      <c r="B1499" s="32"/>
      <c r="C1499" s="31"/>
      <c r="D1499" s="31"/>
      <c r="E1499" s="36"/>
      <c r="F1499" s="31"/>
    </row>
    <row r="1500" spans="1:6" ht="15.75" customHeight="1">
      <c r="A1500" s="36"/>
      <c r="B1500" s="32"/>
      <c r="C1500" s="31"/>
      <c r="D1500" s="31"/>
      <c r="E1500" s="36"/>
      <c r="F1500" s="31"/>
    </row>
    <row r="1501" spans="1:6" ht="15.75" customHeight="1">
      <c r="A1501" s="36"/>
      <c r="B1501" s="32"/>
      <c r="C1501" s="31"/>
      <c r="D1501" s="31"/>
      <c r="E1501" s="36"/>
      <c r="F1501" s="31"/>
    </row>
    <row r="1502" spans="1:6" ht="15.75" customHeight="1">
      <c r="A1502" s="36"/>
      <c r="B1502" s="32"/>
      <c r="C1502" s="31"/>
      <c r="D1502" s="31"/>
      <c r="E1502" s="36"/>
      <c r="F1502" s="31"/>
    </row>
    <row r="1503" spans="1:6" ht="15.75" customHeight="1">
      <c r="A1503" s="36"/>
      <c r="B1503" s="32"/>
      <c r="C1503" s="31"/>
      <c r="D1503" s="31"/>
      <c r="E1503" s="36"/>
      <c r="F1503" s="31"/>
    </row>
    <row r="1504" spans="1:6" ht="15.75" customHeight="1">
      <c r="A1504" s="36"/>
      <c r="B1504" s="32"/>
      <c r="C1504" s="31"/>
      <c r="D1504" s="31"/>
      <c r="E1504" s="36"/>
      <c r="F1504" s="31"/>
    </row>
    <row r="1505" spans="1:6" ht="15.75" customHeight="1">
      <c r="A1505" s="36"/>
      <c r="B1505" s="32"/>
      <c r="C1505" s="31"/>
      <c r="D1505" s="31"/>
      <c r="E1505" s="36"/>
      <c r="F1505" s="31"/>
    </row>
    <row r="1506" spans="1:6" ht="15.75" customHeight="1">
      <c r="A1506" s="36"/>
      <c r="B1506" s="32"/>
      <c r="C1506" s="31"/>
      <c r="D1506" s="31"/>
      <c r="E1506" s="36"/>
      <c r="F1506" s="31"/>
    </row>
    <row r="1507" spans="1:6" ht="15.75" customHeight="1">
      <c r="A1507" s="36"/>
      <c r="B1507" s="32"/>
      <c r="C1507" s="31"/>
      <c r="D1507" s="31"/>
      <c r="E1507" s="36"/>
      <c r="F1507" s="31"/>
    </row>
    <row r="1508" spans="1:6" ht="15.75" customHeight="1">
      <c r="A1508" s="36"/>
      <c r="B1508" s="32"/>
      <c r="C1508" s="31"/>
      <c r="D1508" s="31"/>
      <c r="E1508" s="36"/>
      <c r="F1508" s="31"/>
    </row>
    <row r="1509" spans="1:6" ht="15.75" customHeight="1">
      <c r="A1509" s="36"/>
      <c r="B1509" s="32"/>
      <c r="C1509" s="31"/>
      <c r="D1509" s="31"/>
      <c r="E1509" s="36"/>
      <c r="F1509" s="31"/>
    </row>
    <row r="1510" spans="1:6" ht="15.75" customHeight="1">
      <c r="A1510" s="36"/>
      <c r="B1510" s="32"/>
      <c r="C1510" s="31"/>
      <c r="D1510" s="31"/>
      <c r="E1510" s="36"/>
      <c r="F1510" s="31"/>
    </row>
    <row r="1511" spans="1:6" ht="15.75" customHeight="1">
      <c r="A1511" s="36"/>
      <c r="B1511" s="32"/>
      <c r="C1511" s="31"/>
      <c r="D1511" s="31"/>
      <c r="E1511" s="36"/>
      <c r="F1511" s="31"/>
    </row>
    <row r="1512" spans="1:6" ht="15.75" customHeight="1">
      <c r="A1512" s="36"/>
      <c r="B1512" s="32"/>
      <c r="C1512" s="31"/>
      <c r="D1512" s="31"/>
      <c r="E1512" s="36"/>
      <c r="F1512" s="31"/>
    </row>
    <row r="1513" spans="1:6" ht="15.75" customHeight="1">
      <c r="A1513" s="36"/>
      <c r="B1513" s="32"/>
      <c r="C1513" s="31"/>
      <c r="D1513" s="31"/>
      <c r="E1513" s="36"/>
      <c r="F1513" s="31"/>
    </row>
    <row r="1514" spans="1:6" ht="15.75" customHeight="1">
      <c r="A1514" s="36"/>
      <c r="B1514" s="32"/>
      <c r="C1514" s="31"/>
      <c r="D1514" s="31"/>
      <c r="E1514" s="36"/>
      <c r="F1514" s="31"/>
    </row>
    <row r="1515" spans="1:6" ht="15.75" customHeight="1">
      <c r="A1515" s="36"/>
      <c r="B1515" s="32"/>
      <c r="C1515" s="31"/>
      <c r="D1515" s="31"/>
      <c r="E1515" s="36"/>
      <c r="F1515" s="31"/>
    </row>
    <row r="1516" spans="1:6" ht="15.75" customHeight="1">
      <c r="A1516" s="36"/>
      <c r="B1516" s="32"/>
      <c r="C1516" s="31"/>
      <c r="D1516" s="31"/>
      <c r="E1516" s="36"/>
      <c r="F1516" s="31"/>
    </row>
    <row r="1517" spans="1:6" ht="15.75" customHeight="1">
      <c r="A1517" s="36"/>
      <c r="B1517" s="32"/>
      <c r="C1517" s="31"/>
      <c r="D1517" s="31"/>
      <c r="E1517" s="36"/>
      <c r="F1517" s="31"/>
    </row>
    <row r="1518" spans="1:6" ht="15.75" customHeight="1">
      <c r="A1518" s="36"/>
      <c r="B1518" s="32"/>
      <c r="C1518" s="31"/>
      <c r="D1518" s="31"/>
      <c r="E1518" s="36"/>
      <c r="F1518" s="31"/>
    </row>
    <row r="1519" spans="1:6" ht="15.75" customHeight="1">
      <c r="A1519" s="36"/>
      <c r="B1519" s="32"/>
      <c r="C1519" s="31"/>
      <c r="D1519" s="31"/>
      <c r="E1519" s="36"/>
      <c r="F1519" s="31"/>
    </row>
    <row r="1520" spans="1:6" ht="15.75" customHeight="1">
      <c r="A1520" s="36"/>
      <c r="B1520" s="32"/>
      <c r="C1520" s="31"/>
      <c r="D1520" s="31"/>
      <c r="E1520" s="36"/>
      <c r="F1520" s="31"/>
    </row>
    <row r="1521" spans="1:6" ht="15.75" customHeight="1">
      <c r="A1521" s="36"/>
      <c r="B1521" s="32"/>
      <c r="C1521" s="31"/>
      <c r="D1521" s="31"/>
      <c r="E1521" s="36"/>
      <c r="F1521" s="31"/>
    </row>
    <row r="1522" spans="1:6" ht="15.75" customHeight="1">
      <c r="A1522" s="36"/>
      <c r="B1522" s="32"/>
      <c r="C1522" s="31"/>
      <c r="D1522" s="31"/>
      <c r="E1522" s="36"/>
      <c r="F1522" s="31"/>
    </row>
    <row r="1523" spans="1:6" ht="15.75" customHeight="1">
      <c r="A1523" s="36"/>
      <c r="B1523" s="32"/>
      <c r="C1523" s="31"/>
      <c r="D1523" s="31"/>
      <c r="E1523" s="36"/>
      <c r="F1523" s="31"/>
    </row>
    <row r="1524" spans="1:6" ht="15.75" customHeight="1">
      <c r="A1524" s="36"/>
      <c r="B1524" s="32"/>
      <c r="C1524" s="31"/>
      <c r="D1524" s="31"/>
      <c r="E1524" s="36"/>
      <c r="F1524" s="31"/>
    </row>
    <row r="1525" spans="1:6" ht="15.75" customHeight="1">
      <c r="A1525" s="36"/>
      <c r="B1525" s="32"/>
      <c r="C1525" s="31"/>
      <c r="D1525" s="31"/>
      <c r="E1525" s="36"/>
      <c r="F1525" s="31"/>
    </row>
    <row r="1526" spans="1:6" ht="15.75" customHeight="1">
      <c r="A1526" s="36"/>
      <c r="B1526" s="32"/>
      <c r="C1526" s="31"/>
      <c r="D1526" s="31"/>
      <c r="E1526" s="36"/>
      <c r="F1526" s="31"/>
    </row>
    <row r="1527" spans="1:6" ht="15.75" customHeight="1">
      <c r="A1527" s="36"/>
      <c r="B1527" s="32"/>
      <c r="C1527" s="31"/>
      <c r="D1527" s="31"/>
      <c r="E1527" s="36"/>
      <c r="F1527" s="31"/>
    </row>
    <row r="1528" spans="1:6" ht="15.75" customHeight="1">
      <c r="A1528" s="36"/>
      <c r="B1528" s="32"/>
      <c r="C1528" s="31"/>
      <c r="D1528" s="31"/>
      <c r="E1528" s="36"/>
      <c r="F1528" s="31"/>
    </row>
    <row r="1529" spans="1:6" ht="15.75" customHeight="1">
      <c r="A1529" s="36"/>
      <c r="B1529" s="32"/>
      <c r="C1529" s="31"/>
      <c r="D1529" s="31"/>
      <c r="E1529" s="36"/>
      <c r="F1529" s="31"/>
    </row>
    <row r="1530" spans="1:6" ht="15.75" customHeight="1">
      <c r="A1530" s="36"/>
      <c r="B1530" s="32"/>
      <c r="C1530" s="31"/>
      <c r="D1530" s="31"/>
      <c r="E1530" s="36"/>
      <c r="F1530" s="31"/>
    </row>
    <row r="1531" spans="1:6" ht="15.75" customHeight="1">
      <c r="A1531" s="36"/>
      <c r="B1531" s="32"/>
      <c r="C1531" s="31"/>
      <c r="D1531" s="31"/>
      <c r="E1531" s="36"/>
      <c r="F1531" s="31"/>
    </row>
    <row r="1532" spans="1:6" ht="15.75" customHeight="1">
      <c r="A1532" s="36"/>
      <c r="B1532" s="32"/>
      <c r="C1532" s="31"/>
      <c r="D1532" s="31"/>
      <c r="E1532" s="36"/>
      <c r="F1532" s="31"/>
    </row>
    <row r="1533" spans="1:6" ht="15.75" customHeight="1">
      <c r="A1533" s="36"/>
      <c r="B1533" s="32"/>
      <c r="C1533" s="31"/>
      <c r="D1533" s="31"/>
      <c r="E1533" s="36"/>
      <c r="F1533" s="31"/>
    </row>
    <row r="1534" spans="1:6" ht="15.75" customHeight="1">
      <c r="A1534" s="36"/>
      <c r="B1534" s="32"/>
      <c r="C1534" s="31"/>
      <c r="D1534" s="31"/>
      <c r="E1534" s="36"/>
      <c r="F1534" s="31"/>
    </row>
    <row r="1535" spans="1:6" ht="15.75" customHeight="1">
      <c r="A1535" s="36"/>
      <c r="B1535" s="32"/>
      <c r="C1535" s="31"/>
      <c r="D1535" s="31"/>
      <c r="E1535" s="36"/>
      <c r="F1535" s="31"/>
    </row>
    <row r="1536" spans="1:6" ht="15.75" customHeight="1">
      <c r="A1536" s="36"/>
      <c r="B1536" s="32"/>
      <c r="C1536" s="31"/>
      <c r="D1536" s="31"/>
      <c r="E1536" s="36"/>
      <c r="F1536" s="31"/>
    </row>
    <row r="1537" spans="1:6" ht="15.75" customHeight="1">
      <c r="A1537" s="36"/>
      <c r="B1537" s="32"/>
      <c r="C1537" s="31"/>
      <c r="D1537" s="31"/>
      <c r="E1537" s="36"/>
      <c r="F1537" s="31"/>
    </row>
    <row r="1538" spans="1:6" ht="15.75" customHeight="1">
      <c r="A1538" s="36"/>
      <c r="B1538" s="32"/>
      <c r="C1538" s="31"/>
      <c r="D1538" s="31"/>
      <c r="E1538" s="36"/>
      <c r="F1538" s="31"/>
    </row>
    <row r="1539" spans="1:6" ht="15.75" customHeight="1">
      <c r="A1539" s="36"/>
      <c r="B1539" s="32"/>
      <c r="C1539" s="31"/>
      <c r="D1539" s="31"/>
      <c r="E1539" s="36"/>
      <c r="F1539" s="31"/>
    </row>
    <row r="1540" spans="1:6" ht="15.75" customHeight="1">
      <c r="A1540" s="36"/>
      <c r="B1540" s="32"/>
      <c r="C1540" s="31"/>
      <c r="D1540" s="31"/>
      <c r="E1540" s="36"/>
      <c r="F1540" s="31"/>
    </row>
    <row r="1541" spans="1:6" ht="15.75" customHeight="1">
      <c r="A1541" s="36"/>
      <c r="B1541" s="32"/>
      <c r="C1541" s="31"/>
      <c r="D1541" s="31"/>
      <c r="E1541" s="36"/>
      <c r="F1541" s="31"/>
    </row>
    <row r="1542" spans="1:6" ht="15.75" customHeight="1">
      <c r="A1542" s="36"/>
      <c r="B1542" s="32"/>
      <c r="C1542" s="31"/>
      <c r="D1542" s="31"/>
      <c r="E1542" s="36"/>
      <c r="F1542" s="31"/>
    </row>
    <row r="1543" spans="1:6" ht="15.75" customHeight="1">
      <c r="A1543" s="36"/>
      <c r="B1543" s="32"/>
      <c r="C1543" s="31"/>
      <c r="D1543" s="31"/>
      <c r="E1543" s="36"/>
      <c r="F1543" s="31"/>
    </row>
    <row r="1544" spans="1:6" ht="15.75" customHeight="1">
      <c r="A1544" s="36"/>
      <c r="B1544" s="32"/>
      <c r="C1544" s="31"/>
      <c r="D1544" s="31"/>
      <c r="E1544" s="36"/>
      <c r="F1544" s="31"/>
    </row>
    <row r="1545" spans="1:6" ht="15.75" customHeight="1">
      <c r="A1545" s="36"/>
      <c r="B1545" s="32"/>
      <c r="C1545" s="31"/>
      <c r="D1545" s="31"/>
      <c r="E1545" s="36"/>
      <c r="F1545" s="31"/>
    </row>
    <row r="1546" spans="1:6" ht="15.75" customHeight="1">
      <c r="A1546" s="36"/>
      <c r="B1546" s="32"/>
      <c r="C1546" s="31"/>
      <c r="D1546" s="31"/>
      <c r="E1546" s="36"/>
      <c r="F1546" s="31"/>
    </row>
    <row r="1547" spans="1:6" ht="15.75" customHeight="1">
      <c r="A1547" s="36"/>
      <c r="B1547" s="32"/>
      <c r="C1547" s="31"/>
      <c r="D1547" s="31"/>
      <c r="E1547" s="36"/>
      <c r="F1547" s="31"/>
    </row>
    <row r="1548" spans="1:6" ht="15.75" customHeight="1">
      <c r="A1548" s="36"/>
      <c r="B1548" s="32"/>
      <c r="C1548" s="31"/>
      <c r="D1548" s="31"/>
      <c r="E1548" s="36"/>
      <c r="F1548" s="31"/>
    </row>
    <row r="1549" spans="1:6" ht="15.75" customHeight="1">
      <c r="A1549" s="36"/>
      <c r="B1549" s="32"/>
      <c r="C1549" s="31"/>
      <c r="D1549" s="31"/>
      <c r="E1549" s="36"/>
      <c r="F1549" s="31"/>
    </row>
    <row r="1550" spans="1:6" ht="15.75" customHeight="1">
      <c r="A1550" s="36"/>
      <c r="B1550" s="32"/>
      <c r="C1550" s="31"/>
      <c r="D1550" s="31"/>
      <c r="E1550" s="36"/>
      <c r="F1550" s="31"/>
    </row>
    <row r="1551" spans="1:6" ht="15.75" customHeight="1">
      <c r="A1551" s="36"/>
      <c r="B1551" s="32"/>
      <c r="C1551" s="31"/>
      <c r="D1551" s="31"/>
      <c r="E1551" s="36"/>
      <c r="F1551" s="31"/>
    </row>
    <row r="1552" spans="1:6" ht="15.75" customHeight="1">
      <c r="A1552" s="36"/>
      <c r="B1552" s="32"/>
      <c r="C1552" s="31"/>
      <c r="D1552" s="31"/>
      <c r="E1552" s="36"/>
      <c r="F1552" s="31"/>
    </row>
    <row r="1553" spans="1:6" ht="15.75" customHeight="1">
      <c r="A1553" s="36"/>
      <c r="B1553" s="32"/>
      <c r="C1553" s="31"/>
      <c r="D1553" s="31"/>
      <c r="E1553" s="36"/>
      <c r="F1553" s="31"/>
    </row>
    <row r="1554" spans="1:6" ht="15.75" customHeight="1">
      <c r="A1554" s="36"/>
      <c r="B1554" s="32"/>
      <c r="C1554" s="31"/>
      <c r="D1554" s="31"/>
      <c r="E1554" s="36"/>
      <c r="F1554" s="31"/>
    </row>
    <row r="1555" spans="1:6" ht="15.75" customHeight="1">
      <c r="A1555" s="36"/>
      <c r="B1555" s="32"/>
      <c r="C1555" s="31"/>
      <c r="D1555" s="31"/>
      <c r="E1555" s="36"/>
      <c r="F1555" s="31"/>
    </row>
    <row r="1556" spans="1:6" ht="15.75" customHeight="1">
      <c r="A1556" s="36"/>
      <c r="B1556" s="32"/>
      <c r="C1556" s="31"/>
      <c r="D1556" s="31"/>
      <c r="E1556" s="36"/>
      <c r="F1556" s="31"/>
    </row>
    <row r="1557" spans="1:6" ht="15.75" customHeight="1">
      <c r="A1557" s="36"/>
      <c r="B1557" s="32"/>
      <c r="C1557" s="31"/>
      <c r="D1557" s="31"/>
      <c r="E1557" s="36"/>
      <c r="F1557" s="31"/>
    </row>
    <row r="1558" spans="1:6" ht="15.75" customHeight="1">
      <c r="A1558" s="36"/>
      <c r="B1558" s="32"/>
      <c r="C1558" s="31"/>
      <c r="D1558" s="31"/>
      <c r="E1558" s="36"/>
      <c r="F1558" s="31"/>
    </row>
    <row r="1559" spans="1:6" ht="15.75" customHeight="1">
      <c r="A1559" s="36"/>
      <c r="B1559" s="32"/>
      <c r="C1559" s="31"/>
      <c r="D1559" s="31"/>
      <c r="E1559" s="36"/>
      <c r="F1559" s="31"/>
    </row>
    <row r="1560" spans="1:6" ht="15.75" customHeight="1">
      <c r="A1560" s="36"/>
      <c r="B1560" s="32"/>
      <c r="C1560" s="31"/>
      <c r="D1560" s="31"/>
      <c r="E1560" s="36"/>
      <c r="F1560" s="31"/>
    </row>
    <row r="1561" spans="1:6" ht="15.75" customHeight="1">
      <c r="A1561" s="36"/>
      <c r="B1561" s="32"/>
      <c r="C1561" s="31"/>
      <c r="D1561" s="31"/>
      <c r="E1561" s="36"/>
      <c r="F1561" s="31"/>
    </row>
    <row r="1562" spans="1:6" ht="15.75" customHeight="1">
      <c r="A1562" s="36"/>
      <c r="B1562" s="32"/>
      <c r="C1562" s="31"/>
      <c r="D1562" s="31"/>
      <c r="E1562" s="36"/>
      <c r="F1562" s="31"/>
    </row>
    <row r="1563" spans="1:6" ht="15.75" customHeight="1">
      <c r="A1563" s="36"/>
      <c r="B1563" s="32"/>
      <c r="C1563" s="31"/>
      <c r="D1563" s="31"/>
      <c r="E1563" s="36"/>
      <c r="F1563" s="31"/>
    </row>
    <row r="1564" spans="1:6" ht="15.75" customHeight="1">
      <c r="A1564" s="36"/>
      <c r="B1564" s="32"/>
      <c r="C1564" s="31"/>
      <c r="D1564" s="31"/>
      <c r="E1564" s="36"/>
      <c r="F1564" s="31"/>
    </row>
    <row r="1565" spans="1:6" ht="15.75" customHeight="1">
      <c r="A1565" s="36"/>
      <c r="B1565" s="32"/>
      <c r="C1565" s="31"/>
      <c r="D1565" s="31"/>
      <c r="E1565" s="36"/>
      <c r="F1565" s="31"/>
    </row>
    <row r="1566" spans="1:6" ht="15.75" customHeight="1">
      <c r="A1566" s="36"/>
      <c r="B1566" s="32"/>
      <c r="C1566" s="31"/>
      <c r="D1566" s="31"/>
      <c r="E1566" s="36"/>
      <c r="F1566" s="31"/>
    </row>
    <row r="1567" spans="1:6" ht="15.75" customHeight="1">
      <c r="A1567" s="36"/>
      <c r="B1567" s="32"/>
      <c r="C1567" s="31"/>
      <c r="D1567" s="31"/>
      <c r="E1567" s="36"/>
      <c r="F1567" s="31"/>
    </row>
    <row r="1568" spans="1:6" ht="15.75" customHeight="1">
      <c r="A1568" s="36"/>
      <c r="B1568" s="32"/>
      <c r="C1568" s="31"/>
      <c r="D1568" s="31"/>
      <c r="E1568" s="36"/>
      <c r="F1568" s="31"/>
    </row>
    <row r="1569" spans="1:6" ht="15.75" customHeight="1">
      <c r="A1569" s="36"/>
      <c r="B1569" s="32"/>
      <c r="C1569" s="31"/>
      <c r="D1569" s="31"/>
      <c r="E1569" s="36"/>
      <c r="F1569" s="31"/>
    </row>
    <row r="1570" spans="1:6" ht="15.75" customHeight="1">
      <c r="A1570" s="36"/>
      <c r="B1570" s="32"/>
      <c r="C1570" s="31"/>
      <c r="D1570" s="31"/>
      <c r="E1570" s="36"/>
      <c r="F1570" s="31"/>
    </row>
    <row r="1571" spans="1:6" ht="15.75" customHeight="1">
      <c r="A1571" s="36"/>
      <c r="B1571" s="32"/>
      <c r="C1571" s="31"/>
      <c r="D1571" s="31"/>
      <c r="E1571" s="36"/>
      <c r="F1571" s="31"/>
    </row>
    <row r="1572" spans="1:6" ht="15.75" customHeight="1">
      <c r="A1572" s="36"/>
      <c r="B1572" s="32"/>
      <c r="C1572" s="31"/>
      <c r="D1572" s="31"/>
      <c r="E1572" s="36"/>
      <c r="F1572" s="31"/>
    </row>
    <row r="1573" spans="1:6" ht="15.75" customHeight="1">
      <c r="A1573" s="36"/>
      <c r="B1573" s="32"/>
      <c r="C1573" s="31"/>
      <c r="D1573" s="31"/>
      <c r="E1573" s="36"/>
      <c r="F1573" s="31"/>
    </row>
    <row r="1574" spans="1:6" ht="15.75" customHeight="1">
      <c r="A1574" s="36"/>
      <c r="B1574" s="32"/>
      <c r="C1574" s="31"/>
      <c r="D1574" s="31"/>
      <c r="E1574" s="36"/>
      <c r="F1574" s="31"/>
    </row>
    <row r="1575" spans="1:6" ht="15.75" customHeight="1">
      <c r="A1575" s="36"/>
      <c r="B1575" s="32"/>
      <c r="C1575" s="31"/>
      <c r="D1575" s="31"/>
      <c r="E1575" s="36"/>
      <c r="F1575" s="31"/>
    </row>
    <row r="1576" spans="1:6" ht="15.75" customHeight="1">
      <c r="A1576" s="36"/>
      <c r="B1576" s="32"/>
      <c r="C1576" s="31"/>
      <c r="D1576" s="31"/>
      <c r="E1576" s="36"/>
      <c r="F1576" s="31"/>
    </row>
    <row r="1577" spans="1:6" ht="15.75" customHeight="1">
      <c r="A1577" s="36"/>
      <c r="B1577" s="32"/>
      <c r="C1577" s="31"/>
      <c r="D1577" s="31"/>
      <c r="E1577" s="36"/>
      <c r="F1577" s="31"/>
    </row>
    <row r="1578" spans="1:6" ht="15.75" customHeight="1">
      <c r="A1578" s="36"/>
      <c r="B1578" s="32"/>
      <c r="C1578" s="31"/>
      <c r="D1578" s="31"/>
      <c r="E1578" s="36"/>
      <c r="F1578" s="31"/>
    </row>
    <row r="1579" spans="1:6" ht="15.75" customHeight="1">
      <c r="A1579" s="36"/>
      <c r="B1579" s="32"/>
      <c r="C1579" s="31"/>
      <c r="D1579" s="31"/>
      <c r="E1579" s="36"/>
      <c r="F1579" s="31"/>
    </row>
    <row r="1580" spans="1:6" ht="15.75" customHeight="1">
      <c r="A1580" s="36"/>
      <c r="B1580" s="32"/>
      <c r="C1580" s="31"/>
      <c r="D1580" s="31"/>
      <c r="E1580" s="36"/>
      <c r="F1580" s="31"/>
    </row>
    <row r="1581" spans="1:6" ht="15.75" customHeight="1">
      <c r="A1581" s="36"/>
      <c r="B1581" s="32"/>
      <c r="C1581" s="31"/>
      <c r="D1581" s="31"/>
      <c r="E1581" s="36"/>
      <c r="F1581" s="31"/>
    </row>
    <row r="1582" spans="1:6" ht="15.75" customHeight="1">
      <c r="A1582" s="36"/>
      <c r="B1582" s="32"/>
      <c r="C1582" s="31"/>
      <c r="D1582" s="31"/>
      <c r="E1582" s="36"/>
      <c r="F1582" s="31"/>
    </row>
    <row r="1583" spans="1:6" ht="15.75" customHeight="1">
      <c r="A1583" s="36"/>
      <c r="B1583" s="32"/>
      <c r="C1583" s="31"/>
      <c r="D1583" s="31"/>
      <c r="E1583" s="36"/>
      <c r="F1583" s="31"/>
    </row>
    <row r="1584" spans="1:6" ht="15.75" customHeight="1">
      <c r="A1584" s="36"/>
      <c r="B1584" s="32"/>
      <c r="C1584" s="31"/>
      <c r="D1584" s="31"/>
      <c r="E1584" s="36"/>
      <c r="F1584" s="31"/>
    </row>
    <row r="1585" spans="1:6" ht="15.75" customHeight="1">
      <c r="A1585" s="36"/>
      <c r="B1585" s="32"/>
      <c r="C1585" s="31"/>
      <c r="D1585" s="31"/>
      <c r="E1585" s="36"/>
      <c r="F1585" s="31"/>
    </row>
    <row r="1586" spans="1:6" ht="15.75" customHeight="1">
      <c r="A1586" s="36"/>
      <c r="B1586" s="32"/>
      <c r="C1586" s="31"/>
      <c r="D1586" s="31"/>
      <c r="E1586" s="36"/>
      <c r="F1586" s="31"/>
    </row>
    <row r="1587" spans="1:6" ht="15.75" customHeight="1">
      <c r="A1587" s="36"/>
      <c r="B1587" s="32"/>
      <c r="C1587" s="31"/>
      <c r="D1587" s="31"/>
      <c r="E1587" s="36"/>
      <c r="F1587" s="31"/>
    </row>
    <row r="1588" spans="1:6" ht="15.75" customHeight="1">
      <c r="A1588" s="36"/>
      <c r="B1588" s="32"/>
      <c r="C1588" s="31"/>
      <c r="D1588" s="31"/>
      <c r="E1588" s="36"/>
      <c r="F1588" s="31"/>
    </row>
    <row r="1589" spans="1:6" ht="15.75" customHeight="1">
      <c r="A1589" s="36"/>
      <c r="B1589" s="32"/>
      <c r="C1589" s="31"/>
      <c r="D1589" s="31"/>
      <c r="E1589" s="36"/>
      <c r="F1589" s="31"/>
    </row>
    <row r="1590" spans="1:6" ht="15.75" customHeight="1">
      <c r="A1590" s="36"/>
      <c r="B1590" s="32"/>
      <c r="C1590" s="31"/>
      <c r="D1590" s="31"/>
      <c r="E1590" s="36"/>
      <c r="F1590" s="31"/>
    </row>
    <row r="1591" spans="1:6" ht="15.75" customHeight="1">
      <c r="A1591" s="36"/>
      <c r="B1591" s="32"/>
      <c r="C1591" s="31"/>
      <c r="D1591" s="31"/>
      <c r="E1591" s="36"/>
      <c r="F1591" s="31"/>
    </row>
    <row r="1592" spans="1:6" ht="15.75" customHeight="1">
      <c r="A1592" s="36"/>
      <c r="B1592" s="32"/>
      <c r="C1592" s="31"/>
      <c r="D1592" s="31"/>
      <c r="E1592" s="36"/>
      <c r="F1592" s="31"/>
    </row>
    <row r="1593" spans="1:6" ht="15.75" customHeight="1">
      <c r="A1593" s="36"/>
      <c r="B1593" s="32"/>
      <c r="C1593" s="31"/>
      <c r="D1593" s="31"/>
      <c r="E1593" s="36"/>
      <c r="F1593" s="31"/>
    </row>
    <row r="1594" spans="1:6" ht="15.75" customHeight="1">
      <c r="A1594" s="36"/>
      <c r="B1594" s="32"/>
      <c r="C1594" s="31"/>
      <c r="D1594" s="31"/>
      <c r="E1594" s="36"/>
      <c r="F1594" s="31"/>
    </row>
    <row r="1595" spans="1:6" ht="15.75" customHeight="1">
      <c r="A1595" s="36"/>
      <c r="B1595" s="32"/>
      <c r="C1595" s="31"/>
      <c r="D1595" s="31"/>
      <c r="E1595" s="36"/>
      <c r="F1595" s="31"/>
    </row>
    <row r="1596" spans="1:6" ht="15.75" customHeight="1">
      <c r="A1596" s="36"/>
      <c r="B1596" s="32"/>
      <c r="C1596" s="31"/>
      <c r="D1596" s="31"/>
      <c r="E1596" s="36"/>
      <c r="F1596" s="31"/>
    </row>
    <row r="1597" spans="1:6" ht="15.75" customHeight="1">
      <c r="A1597" s="36"/>
      <c r="B1597" s="32"/>
      <c r="C1597" s="31"/>
      <c r="D1597" s="31"/>
      <c r="E1597" s="36"/>
      <c r="F1597" s="31"/>
    </row>
    <row r="1598" spans="1:6" ht="15.75" customHeight="1">
      <c r="A1598" s="36"/>
      <c r="B1598" s="32"/>
      <c r="C1598" s="31"/>
      <c r="D1598" s="31"/>
      <c r="E1598" s="36"/>
      <c r="F1598" s="31"/>
    </row>
    <row r="1599" spans="1:6" ht="15.75" customHeight="1">
      <c r="A1599" s="36"/>
      <c r="B1599" s="32"/>
      <c r="C1599" s="31"/>
      <c r="D1599" s="31"/>
      <c r="E1599" s="36"/>
      <c r="F1599" s="31"/>
    </row>
    <row r="1600" spans="1:6" ht="15.75" customHeight="1">
      <c r="A1600" s="36"/>
      <c r="B1600" s="32"/>
      <c r="C1600" s="31"/>
      <c r="D1600" s="31"/>
      <c r="E1600" s="36"/>
      <c r="F1600" s="31"/>
    </row>
    <row r="1601" spans="1:6" ht="15.75" customHeight="1">
      <c r="A1601" s="36"/>
      <c r="B1601" s="32"/>
      <c r="C1601" s="31"/>
      <c r="D1601" s="31"/>
      <c r="E1601" s="36"/>
      <c r="F1601" s="31"/>
    </row>
    <row r="1602" spans="1:6" ht="15.75" customHeight="1">
      <c r="A1602" s="36"/>
      <c r="B1602" s="32"/>
      <c r="C1602" s="31"/>
      <c r="D1602" s="31"/>
      <c r="E1602" s="36"/>
      <c r="F1602" s="31"/>
    </row>
    <row r="1603" spans="1:6" ht="15.75" customHeight="1">
      <c r="A1603" s="36"/>
      <c r="B1603" s="32"/>
      <c r="C1603" s="31"/>
      <c r="D1603" s="31"/>
      <c r="E1603" s="36"/>
      <c r="F1603" s="31"/>
    </row>
    <row r="1604" spans="1:6" ht="15.75" customHeight="1">
      <c r="A1604" s="36"/>
      <c r="B1604" s="32"/>
      <c r="C1604" s="31"/>
      <c r="D1604" s="31"/>
      <c r="E1604" s="36"/>
      <c r="F1604" s="31"/>
    </row>
    <row r="1605" spans="1:6" ht="15.75" customHeight="1">
      <c r="A1605" s="36"/>
      <c r="B1605" s="32"/>
      <c r="C1605" s="31"/>
      <c r="D1605" s="31"/>
      <c r="E1605" s="36"/>
      <c r="F1605" s="31"/>
    </row>
    <row r="1606" spans="1:6" ht="15.75" customHeight="1">
      <c r="A1606" s="36"/>
      <c r="B1606" s="32"/>
      <c r="C1606" s="31"/>
      <c r="D1606" s="31"/>
      <c r="E1606" s="36"/>
      <c r="F1606" s="31"/>
    </row>
    <row r="1607" spans="1:6" ht="15.75" customHeight="1">
      <c r="A1607" s="36"/>
      <c r="B1607" s="32"/>
      <c r="C1607" s="31"/>
      <c r="D1607" s="31"/>
      <c r="E1607" s="36"/>
      <c r="F1607" s="31"/>
    </row>
    <row r="1608" spans="1:6" ht="15.75" customHeight="1">
      <c r="A1608" s="36"/>
      <c r="B1608" s="32"/>
      <c r="C1608" s="31"/>
      <c r="D1608" s="31"/>
      <c r="E1608" s="36"/>
      <c r="F1608" s="31"/>
    </row>
    <row r="1609" spans="1:6" ht="15.75" customHeight="1">
      <c r="A1609" s="36"/>
      <c r="B1609" s="32"/>
      <c r="C1609" s="31"/>
      <c r="D1609" s="31"/>
      <c r="E1609" s="36"/>
      <c r="F1609" s="31"/>
    </row>
    <row r="1610" spans="1:6" ht="15.75" customHeight="1">
      <c r="A1610" s="36"/>
      <c r="B1610" s="32"/>
      <c r="C1610" s="31"/>
      <c r="D1610" s="31"/>
      <c r="E1610" s="37"/>
      <c r="F1610" s="31"/>
    </row>
    <row r="1611" spans="1:6" ht="15.75" customHeight="1">
      <c r="A1611" s="36"/>
      <c r="B1611" s="32"/>
      <c r="C1611" s="31"/>
      <c r="D1611" s="31"/>
      <c r="E1611" s="37"/>
      <c r="F1611" s="31"/>
    </row>
    <row r="1612" spans="1:6" ht="15.75" customHeight="1">
      <c r="B1612" s="38"/>
      <c r="C1612" s="31"/>
      <c r="D1612" s="31"/>
    </row>
    <row r="1613" spans="1:6" ht="15.75" customHeight="1">
      <c r="B1613" s="38"/>
      <c r="C1613" s="31"/>
      <c r="D1613" s="31"/>
    </row>
    <row r="1614" spans="1:6" ht="15.75" customHeight="1">
      <c r="B1614" s="38"/>
      <c r="C1614" s="31"/>
      <c r="D1614" s="31"/>
    </row>
    <row r="1615" spans="1:6" ht="15.75" customHeight="1">
      <c r="B1615" s="38"/>
      <c r="C1615" s="31"/>
      <c r="D1615" s="31"/>
    </row>
    <row r="1616" spans="1:6" ht="15.75" customHeight="1">
      <c r="B1616" s="38"/>
      <c r="C1616" s="31"/>
      <c r="D1616" s="31"/>
    </row>
    <row r="1617" spans="2:4" ht="15.75" customHeight="1">
      <c r="B1617" s="38"/>
      <c r="C1617" s="31"/>
      <c r="D1617" s="31"/>
    </row>
    <row r="1618" spans="2:4" ht="15.75" customHeight="1">
      <c r="B1618" s="38"/>
      <c r="C1618" s="31"/>
      <c r="D1618" s="31"/>
    </row>
    <row r="1619" spans="2:4" ht="15.75" customHeight="1">
      <c r="B1619" s="38"/>
      <c r="C1619" s="31"/>
      <c r="D1619" s="31"/>
    </row>
    <row r="1620" spans="2:4" ht="15.75" customHeight="1">
      <c r="B1620" s="38"/>
      <c r="C1620" s="31"/>
      <c r="D1620" s="31"/>
    </row>
    <row r="1621" spans="2:4" ht="15.75" customHeight="1">
      <c r="B1621" s="38"/>
      <c r="C1621" s="31"/>
      <c r="D1621" s="31"/>
    </row>
    <row r="1622" spans="2:4" ht="15.75" customHeight="1">
      <c r="B1622" s="38"/>
      <c r="C1622" s="31"/>
      <c r="D1622" s="31"/>
    </row>
    <row r="1623" spans="2:4" ht="15.75" customHeight="1">
      <c r="B1623" s="38"/>
      <c r="C1623" s="31"/>
      <c r="D1623" s="31"/>
    </row>
    <row r="1624" spans="2:4" ht="15.75" customHeight="1">
      <c r="B1624" s="38"/>
      <c r="C1624" s="31"/>
      <c r="D1624" s="31"/>
    </row>
    <row r="1625" spans="2:4" ht="15.75" customHeight="1">
      <c r="B1625" s="38"/>
      <c r="C1625" s="31"/>
      <c r="D1625" s="31"/>
    </row>
    <row r="1626" spans="2:4" ht="15.75" customHeight="1">
      <c r="B1626" s="38"/>
      <c r="C1626" s="31"/>
      <c r="D1626" s="31"/>
    </row>
    <row r="1627" spans="2:4" ht="15.75" customHeight="1">
      <c r="B1627" s="38"/>
      <c r="C1627" s="31"/>
      <c r="D1627" s="31"/>
    </row>
    <row r="1628" spans="2:4" ht="15.75" customHeight="1">
      <c r="B1628" s="38"/>
      <c r="C1628" s="31"/>
      <c r="D1628" s="31"/>
    </row>
    <row r="1629" spans="2:4" ht="15.75" customHeight="1">
      <c r="B1629" s="38"/>
      <c r="C1629" s="31"/>
      <c r="D1629" s="31"/>
    </row>
    <row r="1630" spans="2:4" ht="15.75" customHeight="1">
      <c r="B1630" s="38"/>
      <c r="C1630" s="31"/>
      <c r="D1630" s="31"/>
    </row>
    <row r="1631" spans="2:4" ht="15.75" customHeight="1">
      <c r="B1631" s="38"/>
      <c r="C1631" s="31"/>
      <c r="D1631" s="31"/>
    </row>
    <row r="1632" spans="2:4" ht="15.75" customHeight="1">
      <c r="B1632" s="38"/>
      <c r="C1632" s="31"/>
      <c r="D1632" s="31"/>
    </row>
    <row r="1633" spans="2:4" ht="15.75" customHeight="1">
      <c r="B1633" s="38"/>
      <c r="C1633" s="31"/>
      <c r="D1633" s="31"/>
    </row>
    <row r="1634" spans="2:4" ht="15.75" customHeight="1">
      <c r="B1634" s="38"/>
      <c r="C1634" s="31"/>
      <c r="D1634" s="31"/>
    </row>
    <row r="1635" spans="2:4" ht="15.75" customHeight="1">
      <c r="B1635" s="38"/>
      <c r="C1635" s="31"/>
      <c r="D1635" s="31"/>
    </row>
    <row r="1636" spans="2:4" ht="15.75" customHeight="1">
      <c r="B1636" s="38"/>
      <c r="C1636" s="31"/>
      <c r="D1636" s="31"/>
    </row>
    <row r="1637" spans="2:4" ht="15.75" customHeight="1">
      <c r="B1637" s="38"/>
      <c r="C1637" s="31"/>
      <c r="D1637" s="31"/>
    </row>
    <row r="1638" spans="2:4" ht="15.75" customHeight="1">
      <c r="B1638" s="38"/>
      <c r="C1638" s="31"/>
      <c r="D1638" s="31"/>
    </row>
    <row r="1639" spans="2:4" ht="15.75" customHeight="1">
      <c r="B1639" s="38"/>
      <c r="C1639" s="31"/>
      <c r="D1639" s="31"/>
    </row>
    <row r="1640" spans="2:4" ht="15.75" customHeight="1">
      <c r="B1640" s="38"/>
      <c r="C1640" s="31"/>
      <c r="D1640" s="31"/>
    </row>
    <row r="1641" spans="2:4" ht="15.75" customHeight="1">
      <c r="B1641" s="38"/>
      <c r="C1641" s="31"/>
      <c r="D1641" s="31"/>
    </row>
    <row r="1642" spans="2:4" ht="15.75" customHeight="1">
      <c r="B1642" s="38"/>
      <c r="C1642" s="31"/>
      <c r="D1642" s="31"/>
    </row>
    <row r="1643" spans="2:4" ht="15.75" customHeight="1">
      <c r="B1643" s="38"/>
      <c r="C1643" s="31"/>
      <c r="D1643" s="31"/>
    </row>
    <row r="1644" spans="2:4" ht="15.75" customHeight="1">
      <c r="B1644" s="38"/>
      <c r="C1644" s="31"/>
      <c r="D1644" s="31"/>
    </row>
    <row r="1645" spans="2:4" ht="15.75" customHeight="1">
      <c r="B1645" s="38"/>
      <c r="C1645" s="31"/>
      <c r="D1645" s="31"/>
    </row>
    <row r="1646" spans="2:4" ht="15.75" customHeight="1">
      <c r="B1646" s="38"/>
      <c r="C1646" s="31"/>
      <c r="D1646" s="31"/>
    </row>
    <row r="1647" spans="2:4" ht="15.75" customHeight="1">
      <c r="B1647" s="38"/>
      <c r="C1647" s="31"/>
      <c r="D1647" s="31"/>
    </row>
    <row r="1648" spans="2:4" ht="15.75" customHeight="1">
      <c r="B1648" s="38"/>
      <c r="C1648" s="31"/>
      <c r="D1648" s="31"/>
    </row>
    <row r="1649" spans="2:4" ht="15.75" customHeight="1">
      <c r="B1649" s="38"/>
      <c r="C1649" s="31"/>
      <c r="D1649" s="31"/>
    </row>
    <row r="1650" spans="2:4" ht="15.75" customHeight="1">
      <c r="B1650" s="38"/>
      <c r="C1650" s="31"/>
      <c r="D1650" s="31"/>
    </row>
    <row r="1651" spans="2:4" ht="15.75" customHeight="1">
      <c r="B1651" s="38"/>
      <c r="C1651" s="31"/>
      <c r="D1651" s="31"/>
    </row>
    <row r="1652" spans="2:4" ht="15.75" customHeight="1">
      <c r="B1652" s="38"/>
      <c r="C1652" s="31"/>
      <c r="D1652" s="31"/>
    </row>
    <row r="1653" spans="2:4" ht="15.75" customHeight="1">
      <c r="B1653" s="38"/>
      <c r="C1653" s="31"/>
      <c r="D1653" s="31"/>
    </row>
    <row r="1654" spans="2:4" ht="15.75" customHeight="1">
      <c r="B1654" s="38"/>
      <c r="C1654" s="31"/>
      <c r="D1654" s="31"/>
    </row>
    <row r="1655" spans="2:4" ht="15.75" customHeight="1">
      <c r="B1655" s="38"/>
      <c r="C1655" s="31"/>
      <c r="D1655" s="31"/>
    </row>
    <row r="1656" spans="2:4" ht="15.75" customHeight="1">
      <c r="B1656" s="38"/>
      <c r="C1656" s="31"/>
      <c r="D1656" s="31"/>
    </row>
    <row r="1657" spans="2:4" ht="15.75" customHeight="1">
      <c r="B1657" s="38"/>
      <c r="C1657" s="31"/>
      <c r="D1657" s="31"/>
    </row>
    <row r="1658" spans="2:4" ht="15.75" customHeight="1">
      <c r="B1658" s="38"/>
      <c r="C1658" s="31"/>
      <c r="D1658" s="31"/>
    </row>
    <row r="1659" spans="2:4" ht="15.75" customHeight="1">
      <c r="B1659" s="38"/>
      <c r="C1659" s="31"/>
      <c r="D1659" s="31"/>
    </row>
    <row r="1660" spans="2:4" ht="15.75" customHeight="1">
      <c r="B1660" s="38"/>
      <c r="C1660" s="31"/>
      <c r="D1660" s="31"/>
    </row>
    <row r="1661" spans="2:4" ht="15.75" customHeight="1">
      <c r="B1661" s="38"/>
      <c r="C1661" s="31"/>
      <c r="D1661" s="31"/>
    </row>
    <row r="1662" spans="2:4" ht="15.75" customHeight="1">
      <c r="B1662" s="38"/>
      <c r="C1662" s="31"/>
      <c r="D1662" s="31"/>
    </row>
    <row r="1663" spans="2:4" ht="15.75" customHeight="1">
      <c r="B1663" s="38"/>
      <c r="C1663" s="31"/>
      <c r="D1663" s="31"/>
    </row>
    <row r="1664" spans="2:4" ht="15.75" customHeight="1">
      <c r="B1664" s="38"/>
      <c r="C1664" s="31"/>
      <c r="D1664" s="31"/>
    </row>
    <row r="1665" spans="2:4" ht="15.75" customHeight="1">
      <c r="B1665" s="38"/>
      <c r="C1665" s="31"/>
      <c r="D1665" s="31"/>
    </row>
    <row r="1666" spans="2:4" ht="15.75" customHeight="1">
      <c r="B1666" s="38"/>
      <c r="C1666" s="31"/>
      <c r="D1666" s="31"/>
    </row>
    <row r="1667" spans="2:4" ht="15.75" customHeight="1">
      <c r="B1667" s="38"/>
      <c r="C1667" s="31"/>
      <c r="D1667" s="31"/>
    </row>
    <row r="1668" spans="2:4" ht="15.75" customHeight="1">
      <c r="B1668" s="38"/>
      <c r="C1668" s="31"/>
      <c r="D1668" s="31"/>
    </row>
    <row r="1669" spans="2:4" ht="15.75" customHeight="1">
      <c r="B1669" s="38"/>
      <c r="C1669" s="31"/>
      <c r="D1669" s="31"/>
    </row>
    <row r="1670" spans="2:4" ht="15.75" customHeight="1">
      <c r="B1670" s="38"/>
      <c r="C1670" s="31"/>
      <c r="D1670" s="31"/>
    </row>
    <row r="1671" spans="2:4" ht="15.75" customHeight="1">
      <c r="B1671" s="38"/>
      <c r="C1671" s="31"/>
      <c r="D1671" s="31"/>
    </row>
    <row r="1672" spans="2:4" ht="15.75" customHeight="1">
      <c r="B1672" s="38"/>
      <c r="C1672" s="31"/>
      <c r="D1672" s="31"/>
    </row>
    <row r="1673" spans="2:4" ht="15.75" customHeight="1">
      <c r="B1673" s="38"/>
      <c r="C1673" s="31"/>
      <c r="D1673" s="31"/>
    </row>
    <row r="1674" spans="2:4" ht="15.75" customHeight="1">
      <c r="B1674" s="38"/>
      <c r="C1674" s="31"/>
      <c r="D1674" s="31"/>
    </row>
    <row r="1675" spans="2:4" ht="15.75" customHeight="1">
      <c r="B1675" s="38"/>
      <c r="C1675" s="31"/>
      <c r="D1675" s="31"/>
    </row>
    <row r="1676" spans="2:4" ht="15.75" customHeight="1">
      <c r="B1676" s="38"/>
      <c r="C1676" s="31"/>
      <c r="D1676" s="31"/>
    </row>
    <row r="1677" spans="2:4" ht="15.75" customHeight="1">
      <c r="B1677" s="38"/>
      <c r="C1677" s="31"/>
      <c r="D1677" s="31"/>
    </row>
    <row r="1678" spans="2:4" ht="15.75" customHeight="1">
      <c r="B1678" s="38"/>
      <c r="C1678" s="31"/>
      <c r="D1678" s="31"/>
    </row>
    <row r="1679" spans="2:4" ht="15.75" customHeight="1">
      <c r="B1679" s="38"/>
      <c r="C1679" s="31"/>
      <c r="D1679" s="31"/>
    </row>
    <row r="1680" spans="2:4" ht="15.75" customHeight="1">
      <c r="B1680" s="38"/>
      <c r="C1680" s="31"/>
      <c r="D1680" s="31"/>
    </row>
    <row r="1681" spans="2:4" ht="15.75" customHeight="1">
      <c r="B1681" s="38"/>
      <c r="C1681" s="31"/>
      <c r="D1681" s="31"/>
    </row>
    <row r="1682" spans="2:4" ht="15.75" customHeight="1">
      <c r="B1682" s="38"/>
      <c r="C1682" s="31"/>
      <c r="D1682" s="31"/>
    </row>
    <row r="1683" spans="2:4" ht="15.75" customHeight="1">
      <c r="B1683" s="38"/>
      <c r="C1683" s="31"/>
      <c r="D1683" s="31"/>
    </row>
    <row r="1684" spans="2:4" ht="15.75" customHeight="1">
      <c r="B1684" s="38"/>
      <c r="C1684" s="31"/>
      <c r="D1684" s="31"/>
    </row>
    <row r="1685" spans="2:4" ht="15.75" customHeight="1">
      <c r="B1685" s="38"/>
      <c r="C1685" s="31"/>
      <c r="D1685" s="31"/>
    </row>
    <row r="1686" spans="2:4" ht="15.75" customHeight="1">
      <c r="B1686" s="38"/>
      <c r="C1686" s="31"/>
      <c r="D1686" s="31"/>
    </row>
    <row r="1687" spans="2:4" ht="15.75" customHeight="1">
      <c r="B1687" s="38"/>
      <c r="C1687" s="31"/>
      <c r="D1687" s="31"/>
    </row>
    <row r="1688" spans="2:4" ht="15.75" customHeight="1">
      <c r="B1688" s="38"/>
      <c r="C1688" s="31"/>
      <c r="D1688" s="31"/>
    </row>
    <row r="1689" spans="2:4" ht="15.75" customHeight="1">
      <c r="B1689" s="38"/>
      <c r="C1689" s="31"/>
      <c r="D1689" s="31"/>
    </row>
    <row r="1690" spans="2:4" ht="15.75" customHeight="1">
      <c r="B1690" s="38"/>
      <c r="C1690" s="31"/>
      <c r="D1690" s="31"/>
    </row>
    <row r="1691" spans="2:4" ht="15.75" customHeight="1">
      <c r="B1691" s="38"/>
      <c r="C1691" s="31"/>
      <c r="D1691" s="31"/>
    </row>
    <row r="1692" spans="2:4" ht="15.75" customHeight="1">
      <c r="B1692" s="38"/>
      <c r="C1692" s="31"/>
      <c r="D1692" s="31"/>
    </row>
    <row r="1693" spans="2:4" ht="15.75" customHeight="1">
      <c r="B1693" s="38"/>
      <c r="C1693" s="31"/>
      <c r="D1693" s="31"/>
    </row>
    <row r="1694" spans="2:4" ht="15.75" customHeight="1">
      <c r="B1694" s="38"/>
      <c r="C1694" s="31"/>
      <c r="D1694" s="31"/>
    </row>
    <row r="1695" spans="2:4" ht="15.75" customHeight="1">
      <c r="B1695" s="38"/>
      <c r="C1695" s="31"/>
      <c r="D1695" s="31"/>
    </row>
    <row r="1696" spans="2:4" ht="15.75" customHeight="1">
      <c r="B1696" s="38"/>
      <c r="C1696" s="31"/>
      <c r="D1696" s="31"/>
    </row>
    <row r="1697" spans="2:4" ht="15.75" customHeight="1">
      <c r="B1697" s="38"/>
      <c r="C1697" s="31"/>
      <c r="D1697" s="31"/>
    </row>
    <row r="1698" spans="2:4" ht="15.75" customHeight="1">
      <c r="B1698" s="38"/>
      <c r="C1698" s="31"/>
      <c r="D1698" s="31"/>
    </row>
    <row r="1699" spans="2:4" ht="15.75" customHeight="1">
      <c r="B1699" s="38"/>
      <c r="C1699" s="31"/>
      <c r="D1699" s="31"/>
    </row>
    <row r="1700" spans="2:4" ht="15.75" customHeight="1">
      <c r="B1700" s="38"/>
      <c r="C1700" s="31"/>
      <c r="D1700" s="31"/>
    </row>
    <row r="1701" spans="2:4" ht="15.75" customHeight="1">
      <c r="B1701" s="38"/>
      <c r="C1701" s="31"/>
      <c r="D1701" s="31"/>
    </row>
    <row r="1702" spans="2:4" ht="15.75" customHeight="1">
      <c r="B1702" s="38"/>
      <c r="C1702" s="31"/>
      <c r="D1702" s="31"/>
    </row>
    <row r="1703" spans="2:4" ht="15.75" customHeight="1">
      <c r="B1703" s="38"/>
      <c r="C1703" s="31"/>
      <c r="D1703" s="31"/>
    </row>
    <row r="1704" spans="2:4" ht="15.75" customHeight="1">
      <c r="B1704" s="38"/>
      <c r="C1704" s="31"/>
      <c r="D1704" s="31"/>
    </row>
    <row r="1705" spans="2:4" ht="15.75" customHeight="1">
      <c r="B1705" s="38"/>
      <c r="C1705" s="31"/>
      <c r="D1705" s="31"/>
    </row>
    <row r="1706" spans="2:4" ht="15.75" customHeight="1">
      <c r="B1706" s="38"/>
      <c r="C1706" s="31"/>
      <c r="D1706" s="31"/>
    </row>
    <row r="1707" spans="2:4" ht="15.75" customHeight="1">
      <c r="B1707" s="38"/>
      <c r="C1707" s="31"/>
      <c r="D1707" s="31"/>
    </row>
    <row r="1708" spans="2:4" ht="15.75" customHeight="1">
      <c r="B1708" s="38"/>
      <c r="C1708" s="31"/>
      <c r="D1708" s="31"/>
    </row>
    <row r="1709" spans="2:4" ht="15.75" customHeight="1">
      <c r="B1709" s="38"/>
      <c r="C1709" s="31"/>
      <c r="D1709" s="31"/>
    </row>
    <row r="1710" spans="2:4" ht="15.75" customHeight="1">
      <c r="B1710" s="38"/>
      <c r="C1710" s="31"/>
      <c r="D1710" s="31"/>
    </row>
    <row r="1711" spans="2:4" ht="15.75" customHeight="1">
      <c r="B1711" s="38"/>
      <c r="C1711" s="31"/>
      <c r="D1711" s="31"/>
    </row>
    <row r="1712" spans="2:4" ht="15.75" customHeight="1">
      <c r="B1712" s="38"/>
      <c r="C1712" s="31"/>
      <c r="D1712" s="31"/>
    </row>
    <row r="1713" spans="2:4" ht="15.75" customHeight="1">
      <c r="B1713" s="38"/>
      <c r="C1713" s="31"/>
      <c r="D1713" s="31"/>
    </row>
    <row r="1714" spans="2:4" ht="15.75" customHeight="1">
      <c r="B1714" s="38"/>
      <c r="C1714" s="31"/>
      <c r="D1714" s="31"/>
    </row>
    <row r="1715" spans="2:4" ht="15.75" customHeight="1">
      <c r="B1715" s="38"/>
      <c r="C1715" s="31"/>
      <c r="D1715" s="31"/>
    </row>
    <row r="1716" spans="2:4" ht="15.75" customHeight="1">
      <c r="B1716" s="38"/>
      <c r="C1716" s="31"/>
      <c r="D1716" s="31"/>
    </row>
    <row r="1717" spans="2:4" ht="15.75" customHeight="1">
      <c r="B1717" s="38"/>
      <c r="C1717" s="31"/>
      <c r="D1717" s="31"/>
    </row>
    <row r="1718" spans="2:4" ht="15.75" customHeight="1">
      <c r="B1718" s="38"/>
      <c r="C1718" s="31"/>
      <c r="D1718" s="31"/>
    </row>
    <row r="1719" spans="2:4" ht="15.75" customHeight="1">
      <c r="B1719" s="38"/>
      <c r="C1719" s="31"/>
      <c r="D1719" s="31"/>
    </row>
    <row r="1720" spans="2:4" ht="15.75" customHeight="1">
      <c r="B1720" s="38"/>
      <c r="C1720" s="31"/>
      <c r="D1720" s="31"/>
    </row>
    <row r="1721" spans="2:4" ht="15.75" customHeight="1">
      <c r="B1721" s="38"/>
      <c r="C1721" s="31"/>
      <c r="D1721" s="31"/>
    </row>
    <row r="1722" spans="2:4" ht="15.75" customHeight="1">
      <c r="B1722" s="38"/>
      <c r="C1722" s="31"/>
      <c r="D1722" s="31"/>
    </row>
    <row r="1723" spans="2:4" ht="15.75" customHeight="1">
      <c r="B1723" s="38"/>
      <c r="C1723" s="31"/>
      <c r="D1723" s="31"/>
    </row>
    <row r="1724" spans="2:4" ht="15.75" customHeight="1">
      <c r="B1724" s="38"/>
      <c r="C1724" s="31"/>
      <c r="D1724" s="31"/>
    </row>
    <row r="1725" spans="2:4" ht="15.75" customHeight="1">
      <c r="B1725" s="38"/>
      <c r="C1725" s="31"/>
      <c r="D1725" s="31"/>
    </row>
    <row r="1726" spans="2:4" ht="15.75" customHeight="1">
      <c r="B1726" s="38"/>
      <c r="C1726" s="31"/>
      <c r="D1726" s="31"/>
    </row>
    <row r="1727" spans="2:4" ht="15.75" customHeight="1">
      <c r="B1727" s="38"/>
      <c r="C1727" s="31"/>
      <c r="D1727" s="31"/>
    </row>
    <row r="1728" spans="2:4" ht="15.75" customHeight="1">
      <c r="B1728" s="38"/>
      <c r="C1728" s="31"/>
      <c r="D1728" s="31"/>
    </row>
    <row r="1729" spans="2:4" ht="15.75" customHeight="1">
      <c r="B1729" s="38"/>
      <c r="C1729" s="31"/>
      <c r="D1729" s="31"/>
    </row>
    <row r="1730" spans="2:4" ht="15.75" customHeight="1">
      <c r="B1730" s="38"/>
      <c r="C1730" s="31"/>
      <c r="D1730" s="31"/>
    </row>
    <row r="1731" spans="2:4" ht="15.75" customHeight="1">
      <c r="B1731" s="38"/>
      <c r="C1731" s="31"/>
      <c r="D1731" s="31"/>
    </row>
    <row r="1732" spans="2:4" ht="15.75" customHeight="1">
      <c r="B1732" s="38"/>
      <c r="C1732" s="31"/>
      <c r="D1732" s="31"/>
    </row>
    <row r="1733" spans="2:4" ht="15.75" customHeight="1">
      <c r="B1733" s="38"/>
      <c r="C1733" s="31"/>
      <c r="D1733" s="31"/>
    </row>
    <row r="1734" spans="2:4" ht="15.75" customHeight="1">
      <c r="B1734" s="38"/>
      <c r="C1734" s="31"/>
      <c r="D1734" s="31"/>
    </row>
    <row r="1735" spans="2:4" ht="15.75" customHeight="1">
      <c r="B1735" s="38"/>
      <c r="C1735" s="31"/>
      <c r="D1735" s="31"/>
    </row>
    <row r="1736" spans="2:4" ht="15.75" customHeight="1">
      <c r="B1736" s="38"/>
      <c r="C1736" s="31"/>
      <c r="D1736" s="31"/>
    </row>
    <row r="1737" spans="2:4" ht="15.75" customHeight="1">
      <c r="B1737" s="38"/>
      <c r="C1737" s="31"/>
      <c r="D1737" s="31"/>
    </row>
    <row r="1738" spans="2:4" ht="15.75" customHeight="1">
      <c r="B1738" s="38"/>
      <c r="C1738" s="31"/>
      <c r="D1738" s="31"/>
    </row>
    <row r="1739" spans="2:4" ht="15.75" customHeight="1">
      <c r="B1739" s="38"/>
      <c r="C1739" s="31"/>
      <c r="D1739" s="31"/>
    </row>
    <row r="1740" spans="2:4" ht="15.75" customHeight="1">
      <c r="B1740" s="38"/>
      <c r="C1740" s="31"/>
      <c r="D1740" s="31"/>
    </row>
    <row r="1741" spans="2:4" ht="15.75" customHeight="1">
      <c r="B1741" s="38"/>
      <c r="C1741" s="31"/>
      <c r="D1741" s="31"/>
    </row>
    <row r="1742" spans="2:4" ht="15.75" customHeight="1">
      <c r="B1742" s="38"/>
      <c r="C1742" s="31"/>
      <c r="D1742" s="31"/>
    </row>
    <row r="1743" spans="2:4" ht="15.75" customHeight="1">
      <c r="B1743" s="38"/>
      <c r="C1743" s="31"/>
      <c r="D1743" s="31"/>
    </row>
    <row r="1744" spans="2:4" ht="15.75" customHeight="1">
      <c r="B1744" s="38"/>
      <c r="C1744" s="31"/>
      <c r="D1744" s="31"/>
    </row>
    <row r="1745" spans="2:4" ht="15.75" customHeight="1">
      <c r="B1745" s="38"/>
      <c r="C1745" s="31"/>
      <c r="D1745" s="31"/>
    </row>
    <row r="1746" spans="2:4" ht="15.75" customHeight="1">
      <c r="B1746" s="38"/>
      <c r="C1746" s="31"/>
      <c r="D1746" s="31"/>
    </row>
    <row r="1747" spans="2:4" ht="15.75" customHeight="1">
      <c r="B1747" s="38"/>
      <c r="C1747" s="31"/>
      <c r="D1747" s="31"/>
    </row>
    <row r="1748" spans="2:4" ht="15.75" customHeight="1">
      <c r="B1748" s="38"/>
      <c r="C1748" s="31"/>
      <c r="D1748" s="31"/>
    </row>
    <row r="1749" spans="2:4" ht="15.75" customHeight="1">
      <c r="B1749" s="38"/>
      <c r="C1749" s="31"/>
      <c r="D1749" s="31"/>
    </row>
    <row r="1750" spans="2:4" ht="15.75" customHeight="1">
      <c r="B1750" s="38"/>
      <c r="C1750" s="31"/>
      <c r="D1750" s="31"/>
    </row>
    <row r="1751" spans="2:4" ht="15.75" customHeight="1">
      <c r="B1751" s="38"/>
      <c r="C1751" s="31"/>
      <c r="D1751" s="31"/>
    </row>
    <row r="1752" spans="2:4" ht="15.75" customHeight="1">
      <c r="B1752" s="38"/>
      <c r="C1752" s="31"/>
      <c r="D1752" s="31"/>
    </row>
    <row r="1753" spans="2:4" ht="15.75" customHeight="1">
      <c r="B1753" s="38"/>
      <c r="C1753" s="31"/>
      <c r="D1753" s="31"/>
    </row>
    <row r="1754" spans="2:4" ht="15.75" customHeight="1">
      <c r="B1754" s="38"/>
      <c r="C1754" s="31"/>
      <c r="D1754" s="31"/>
    </row>
    <row r="1755" spans="2:4" ht="15.75" customHeight="1">
      <c r="B1755" s="38"/>
      <c r="C1755" s="31"/>
      <c r="D1755" s="31"/>
    </row>
    <row r="1756" spans="2:4" ht="15.75" customHeight="1">
      <c r="B1756" s="38"/>
      <c r="C1756" s="31"/>
      <c r="D1756" s="31"/>
    </row>
    <row r="1757" spans="2:4" ht="15.75" customHeight="1">
      <c r="B1757" s="38"/>
      <c r="C1757" s="31"/>
      <c r="D1757" s="31"/>
    </row>
    <row r="1758" spans="2:4" ht="15.75" customHeight="1">
      <c r="B1758" s="38"/>
      <c r="C1758" s="31"/>
      <c r="D1758" s="31"/>
    </row>
    <row r="1759" spans="2:4" ht="15.75" customHeight="1">
      <c r="B1759" s="38"/>
      <c r="C1759" s="31"/>
      <c r="D1759" s="31"/>
    </row>
    <row r="1760" spans="2:4" ht="15.75" customHeight="1">
      <c r="B1760" s="38"/>
      <c r="C1760" s="31"/>
      <c r="D1760" s="31"/>
    </row>
    <row r="1761" spans="2:4" ht="15.75" customHeight="1">
      <c r="B1761" s="38"/>
      <c r="C1761" s="31"/>
      <c r="D1761" s="31"/>
    </row>
    <row r="1762" spans="2:4" ht="15.75" customHeight="1">
      <c r="B1762" s="38"/>
      <c r="C1762" s="31"/>
      <c r="D1762" s="31"/>
    </row>
    <row r="1763" spans="2:4" ht="15.75" customHeight="1">
      <c r="B1763" s="38"/>
      <c r="C1763" s="31"/>
      <c r="D1763" s="31"/>
    </row>
    <row r="1764" spans="2:4" ht="15.75" customHeight="1">
      <c r="B1764" s="38"/>
      <c r="C1764" s="31"/>
      <c r="D1764" s="31"/>
    </row>
    <row r="1765" spans="2:4" ht="15.75" customHeight="1">
      <c r="B1765" s="38"/>
      <c r="C1765" s="31"/>
      <c r="D1765" s="31"/>
    </row>
    <row r="1766" spans="2:4" ht="15.75" customHeight="1">
      <c r="B1766" s="38"/>
      <c r="C1766" s="31"/>
      <c r="D1766" s="31"/>
    </row>
    <row r="1767" spans="2:4" ht="15.75" customHeight="1">
      <c r="B1767" s="38"/>
      <c r="C1767" s="31"/>
      <c r="D1767" s="31"/>
    </row>
    <row r="1768" spans="2:4" ht="15.75" customHeight="1">
      <c r="B1768" s="38"/>
      <c r="C1768" s="31"/>
      <c r="D1768" s="31"/>
    </row>
    <row r="1769" spans="2:4" ht="15.75" customHeight="1">
      <c r="B1769" s="38"/>
      <c r="C1769" s="31"/>
      <c r="D1769" s="31"/>
    </row>
    <row r="1770" spans="2:4" ht="15.75" customHeight="1">
      <c r="B1770" s="38"/>
      <c r="C1770" s="31"/>
      <c r="D1770" s="31"/>
    </row>
    <row r="1771" spans="2:4" ht="15.75" customHeight="1">
      <c r="B1771" s="38"/>
      <c r="C1771" s="31"/>
      <c r="D1771" s="31"/>
    </row>
    <row r="1772" spans="2:4" ht="15.75" customHeight="1">
      <c r="B1772" s="38"/>
      <c r="C1772" s="31"/>
      <c r="D1772" s="31"/>
    </row>
    <row r="1773" spans="2:4" ht="15.75" customHeight="1">
      <c r="B1773" s="38"/>
      <c r="C1773" s="31"/>
      <c r="D1773" s="31"/>
    </row>
    <row r="1774" spans="2:4" ht="15.75" customHeight="1">
      <c r="B1774" s="38"/>
      <c r="C1774" s="31"/>
      <c r="D1774" s="31"/>
    </row>
    <row r="1775" spans="2:4" ht="15.75" customHeight="1">
      <c r="B1775" s="38"/>
      <c r="C1775" s="31"/>
      <c r="D1775" s="31"/>
    </row>
    <row r="1776" spans="2:4" ht="15.75" customHeight="1">
      <c r="B1776" s="38"/>
      <c r="C1776" s="31"/>
      <c r="D1776" s="31"/>
    </row>
    <row r="1777" spans="2:4" ht="15.75" customHeight="1">
      <c r="B1777" s="38"/>
      <c r="C1777" s="31"/>
      <c r="D1777" s="31"/>
    </row>
    <row r="1778" spans="2:4" ht="15.75" customHeight="1">
      <c r="B1778" s="38"/>
      <c r="C1778" s="31"/>
      <c r="D1778" s="31"/>
    </row>
    <row r="1779" spans="2:4" ht="15.75" customHeight="1">
      <c r="B1779" s="38"/>
      <c r="C1779" s="31"/>
      <c r="D1779" s="31"/>
    </row>
    <row r="1780" spans="2:4" ht="15.75" customHeight="1">
      <c r="B1780" s="38"/>
      <c r="C1780" s="31"/>
      <c r="D1780" s="31"/>
    </row>
    <row r="1781" spans="2:4" ht="15.75" customHeight="1">
      <c r="B1781" s="38"/>
      <c r="C1781" s="31"/>
      <c r="D1781" s="31"/>
    </row>
    <row r="1782" spans="2:4" ht="15.75" customHeight="1">
      <c r="B1782" s="38"/>
      <c r="C1782" s="31"/>
      <c r="D1782" s="31"/>
    </row>
    <row r="1783" spans="2:4" ht="15.75" customHeight="1">
      <c r="B1783" s="38"/>
      <c r="C1783" s="31"/>
      <c r="D1783" s="31"/>
    </row>
    <row r="1784" spans="2:4" ht="15.75" customHeight="1">
      <c r="B1784" s="38"/>
      <c r="C1784" s="31"/>
      <c r="D1784" s="31"/>
    </row>
    <row r="1785" spans="2:4" ht="15.75" customHeight="1">
      <c r="B1785" s="38"/>
      <c r="C1785" s="31"/>
      <c r="D1785" s="31"/>
    </row>
    <row r="1786" spans="2:4" ht="15.75" customHeight="1">
      <c r="B1786" s="38"/>
      <c r="C1786" s="31"/>
      <c r="D1786" s="31"/>
    </row>
    <row r="1787" spans="2:4" ht="15.75" customHeight="1">
      <c r="B1787" s="38"/>
      <c r="C1787" s="31"/>
      <c r="D1787" s="31"/>
    </row>
    <row r="1788" spans="2:4" ht="15.75" customHeight="1">
      <c r="B1788" s="38"/>
      <c r="C1788" s="31"/>
      <c r="D1788" s="31"/>
    </row>
    <row r="1789" spans="2:4" ht="15.75" customHeight="1">
      <c r="B1789" s="38"/>
      <c r="C1789" s="31"/>
      <c r="D1789" s="31"/>
    </row>
    <row r="1790" spans="2:4" ht="15.75" customHeight="1">
      <c r="B1790" s="38"/>
      <c r="C1790" s="31"/>
      <c r="D1790" s="31"/>
    </row>
    <row r="1791" spans="2:4" ht="15.75" customHeight="1">
      <c r="B1791" s="38"/>
      <c r="C1791" s="31"/>
      <c r="D1791" s="31"/>
    </row>
    <row r="1792" spans="2:4" ht="15.75" customHeight="1">
      <c r="B1792" s="38"/>
      <c r="C1792" s="31"/>
      <c r="D1792" s="31"/>
    </row>
    <row r="1793" spans="2:4" ht="15.75" customHeight="1">
      <c r="B1793" s="38"/>
      <c r="C1793" s="31"/>
      <c r="D1793" s="31"/>
    </row>
    <row r="1794" spans="2:4" ht="15.75" customHeight="1">
      <c r="B1794" s="38"/>
      <c r="C1794" s="31"/>
      <c r="D1794" s="31"/>
    </row>
    <row r="1795" spans="2:4" ht="15.75" customHeight="1">
      <c r="B1795" s="38"/>
      <c r="C1795" s="31"/>
      <c r="D1795" s="31"/>
    </row>
    <row r="1796" spans="2:4" ht="15.75" customHeight="1">
      <c r="B1796" s="38"/>
      <c r="C1796" s="31"/>
      <c r="D1796" s="31"/>
    </row>
    <row r="1797" spans="2:4" ht="15.75" customHeight="1">
      <c r="B1797" s="38"/>
      <c r="C1797" s="31"/>
      <c r="D1797" s="31"/>
    </row>
    <row r="1798" spans="2:4" ht="15.75" customHeight="1">
      <c r="B1798" s="38"/>
      <c r="C1798" s="31"/>
      <c r="D1798" s="31"/>
    </row>
    <row r="1799" spans="2:4" ht="15.75" customHeight="1">
      <c r="B1799" s="38"/>
      <c r="C1799" s="31"/>
      <c r="D1799" s="31"/>
    </row>
    <row r="1800" spans="2:4" ht="15.75" customHeight="1">
      <c r="B1800" s="38"/>
      <c r="C1800" s="31"/>
      <c r="D1800" s="31"/>
    </row>
    <row r="1801" spans="2:4" ht="15.75" customHeight="1">
      <c r="B1801" s="38"/>
      <c r="C1801" s="31"/>
      <c r="D1801" s="31"/>
    </row>
    <row r="1802" spans="2:4" ht="15.75" customHeight="1">
      <c r="B1802" s="38"/>
      <c r="C1802" s="31"/>
      <c r="D1802" s="31"/>
    </row>
    <row r="1803" spans="2:4" ht="15.75" customHeight="1">
      <c r="B1803" s="38"/>
      <c r="C1803" s="31"/>
      <c r="D1803" s="31"/>
    </row>
    <row r="1804" spans="2:4" ht="15.75" customHeight="1">
      <c r="B1804" s="38"/>
      <c r="C1804" s="31"/>
      <c r="D1804" s="31"/>
    </row>
    <row r="1805" spans="2:4" ht="15.75" customHeight="1">
      <c r="B1805" s="38"/>
      <c r="C1805" s="31"/>
      <c r="D1805" s="31"/>
    </row>
    <row r="1806" spans="2:4" ht="15.75" customHeight="1">
      <c r="B1806" s="38"/>
      <c r="C1806" s="31"/>
      <c r="D1806" s="31"/>
    </row>
    <row r="1807" spans="2:4" ht="15.75" customHeight="1">
      <c r="B1807" s="38"/>
      <c r="C1807" s="31"/>
      <c r="D1807" s="31"/>
    </row>
    <row r="1808" spans="2:4" ht="15.75" customHeight="1">
      <c r="B1808" s="38"/>
      <c r="C1808" s="31"/>
      <c r="D1808" s="31"/>
    </row>
    <row r="1809" spans="2:4" ht="15.75" customHeight="1">
      <c r="B1809" s="38"/>
      <c r="C1809" s="31"/>
      <c r="D1809" s="31"/>
    </row>
    <row r="1810" spans="2:4" ht="15.75" customHeight="1">
      <c r="B1810" s="38"/>
      <c r="C1810" s="31"/>
      <c r="D1810" s="31"/>
    </row>
    <row r="1811" spans="2:4" ht="15.75" customHeight="1">
      <c r="B1811" s="38"/>
      <c r="C1811" s="31"/>
      <c r="D1811" s="31"/>
    </row>
  </sheetData>
  <mergeCells count="1">
    <mergeCell ref="A1:F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A2" sqref="A2"/>
    </sheetView>
  </sheetViews>
  <sheetFormatPr baseColWidth="10" defaultColWidth="12.6328125" defaultRowHeight="15" customHeight="1"/>
  <cols>
    <col min="1" max="1" width="15.453125" customWidth="1"/>
    <col min="2" max="2" width="13.453125" customWidth="1"/>
    <col min="3" max="3" width="18.26953125" customWidth="1"/>
    <col min="4" max="11" width="9.36328125" customWidth="1"/>
  </cols>
  <sheetData>
    <row r="1" spans="1:11" ht="14.5">
      <c r="C1" s="38"/>
    </row>
    <row r="2" spans="1:11" ht="14.5">
      <c r="C2" s="38"/>
    </row>
    <row r="3" spans="1:11" ht="33" customHeight="1">
      <c r="A3" s="42"/>
      <c r="B3" s="43"/>
      <c r="C3" s="44" t="s">
        <v>787</v>
      </c>
      <c r="E3" s="39"/>
      <c r="F3" s="39"/>
      <c r="G3" s="39"/>
      <c r="H3" s="39"/>
      <c r="I3" s="39"/>
      <c r="J3" s="39"/>
      <c r="K3" s="39"/>
    </row>
    <row r="4" spans="1:11" ht="14.5">
      <c r="A4" s="42" t="s">
        <v>636</v>
      </c>
      <c r="B4" s="43"/>
      <c r="C4" s="45">
        <v>791</v>
      </c>
    </row>
    <row r="5" spans="1:11" ht="14.5">
      <c r="A5" s="42" t="s">
        <v>290</v>
      </c>
      <c r="B5" s="43"/>
      <c r="C5" s="45">
        <v>30697</v>
      </c>
    </row>
    <row r="6" spans="1:11" ht="14.5">
      <c r="A6" s="42" t="s">
        <v>10</v>
      </c>
      <c r="B6" s="43"/>
      <c r="C6" s="45">
        <v>7422</v>
      </c>
    </row>
    <row r="7" spans="1:11" ht="14.5">
      <c r="A7" s="42" t="s">
        <v>473</v>
      </c>
      <c r="B7" s="43"/>
      <c r="C7" s="45">
        <v>123957</v>
      </c>
    </row>
    <row r="8" spans="1:11" ht="14.5">
      <c r="A8" s="42" t="s">
        <v>420</v>
      </c>
      <c r="B8" s="43"/>
      <c r="C8" s="45">
        <v>2879</v>
      </c>
    </row>
    <row r="9" spans="1:11" ht="14.5">
      <c r="A9" s="42" t="s">
        <v>57</v>
      </c>
      <c r="B9" s="43"/>
      <c r="C9" s="45">
        <v>12311</v>
      </c>
    </row>
    <row r="10" spans="1:11" ht="14.5">
      <c r="A10" s="42" t="s">
        <v>681</v>
      </c>
      <c r="B10" s="43"/>
      <c r="C10" s="45">
        <v>869</v>
      </c>
    </row>
    <row r="11" spans="1:11" ht="14.5">
      <c r="A11" s="42" t="s">
        <v>714</v>
      </c>
      <c r="B11" s="43"/>
      <c r="C11" s="45">
        <v>37</v>
      </c>
    </row>
    <row r="12" spans="1:11" ht="14.5">
      <c r="A12" s="42" t="s">
        <v>646</v>
      </c>
      <c r="B12" s="43"/>
      <c r="C12" s="45">
        <v>1017</v>
      </c>
    </row>
    <row r="13" spans="1:11" ht="14.5">
      <c r="A13" s="46" t="s">
        <v>788</v>
      </c>
      <c r="B13" s="47"/>
      <c r="C13" s="48">
        <v>179980</v>
      </c>
    </row>
    <row r="14" spans="1:11" ht="14.5">
      <c r="C14" s="38"/>
    </row>
    <row r="15" spans="1:11" ht="14.5">
      <c r="C15" s="38"/>
    </row>
    <row r="16" spans="1:11" ht="14.5">
      <c r="C16" s="38"/>
    </row>
    <row r="17" spans="3:3" ht="14.5">
      <c r="C17" s="38"/>
    </row>
    <row r="18" spans="3:3" ht="14.5">
      <c r="C18" s="38"/>
    </row>
    <row r="19" spans="3:3" ht="14.5">
      <c r="C19" s="38"/>
    </row>
    <row r="20" spans="3:3" ht="14.5">
      <c r="C20" s="38"/>
    </row>
    <row r="21" spans="3:3" ht="15.75" customHeight="1">
      <c r="C21" s="38"/>
    </row>
    <row r="22" spans="3:3" ht="15.75" customHeight="1">
      <c r="C22" s="38"/>
    </row>
    <row r="23" spans="3:3" ht="15.75" customHeight="1">
      <c r="C23" s="38"/>
    </row>
    <row r="24" spans="3:3" ht="15.75" customHeight="1">
      <c r="C24" s="38"/>
    </row>
    <row r="25" spans="3:3" ht="15.75" customHeight="1">
      <c r="C25" s="38"/>
    </row>
    <row r="26" spans="3:3" ht="15.75" customHeight="1">
      <c r="C26" s="38"/>
    </row>
    <row r="27" spans="3:3" ht="15.75" customHeight="1">
      <c r="C27" s="38"/>
    </row>
    <row r="28" spans="3:3" ht="15.75" customHeight="1">
      <c r="C28" s="38"/>
    </row>
    <row r="29" spans="3:3" ht="15.75" customHeight="1">
      <c r="C29" s="38"/>
    </row>
    <row r="30" spans="3:3" ht="15.75" customHeight="1">
      <c r="C30" s="38"/>
    </row>
    <row r="31" spans="3:3" ht="15.75" customHeight="1">
      <c r="C31" s="38"/>
    </row>
    <row r="32" spans="3:3" ht="15.75" customHeight="1">
      <c r="C32" s="38"/>
    </row>
    <row r="33" spans="3:3" ht="15.75" customHeight="1">
      <c r="C33" s="38"/>
    </row>
    <row r="34" spans="3:3" ht="15.75" customHeight="1">
      <c r="C34" s="38"/>
    </row>
    <row r="35" spans="3:3" ht="15.75" customHeight="1">
      <c r="C35" s="38"/>
    </row>
    <row r="36" spans="3:3" ht="15.75" customHeight="1">
      <c r="C36" s="38"/>
    </row>
    <row r="37" spans="3:3" ht="15.75" customHeight="1">
      <c r="C37" s="38"/>
    </row>
    <row r="38" spans="3:3" ht="15.75" customHeight="1">
      <c r="C38" s="38"/>
    </row>
    <row r="39" spans="3:3" ht="15.75" customHeight="1">
      <c r="C39" s="38"/>
    </row>
    <row r="40" spans="3:3" ht="15.75" customHeight="1">
      <c r="C40" s="38"/>
    </row>
    <row r="41" spans="3:3" ht="15.75" customHeight="1">
      <c r="C41" s="38"/>
    </row>
    <row r="42" spans="3:3" ht="15.75" customHeight="1">
      <c r="C42" s="38"/>
    </row>
    <row r="43" spans="3:3" ht="15.75" customHeight="1">
      <c r="C43" s="38"/>
    </row>
    <row r="44" spans="3:3" ht="15.75" customHeight="1">
      <c r="C44" s="38"/>
    </row>
    <row r="45" spans="3:3" ht="15.75" customHeight="1">
      <c r="C45" s="38"/>
    </row>
    <row r="46" spans="3:3" ht="15.75" customHeight="1">
      <c r="C46" s="38"/>
    </row>
    <row r="47" spans="3:3" ht="15.75" customHeight="1">
      <c r="C47" s="38"/>
    </row>
    <row r="48" spans="3:3" ht="15.75" customHeight="1">
      <c r="C48" s="38"/>
    </row>
    <row r="49" spans="3:3" ht="15.75" customHeight="1">
      <c r="C49" s="38"/>
    </row>
    <row r="50" spans="3:3" ht="15.75" customHeight="1">
      <c r="C50" s="38"/>
    </row>
    <row r="51" spans="3:3" ht="15.75" customHeight="1">
      <c r="C51" s="38"/>
    </row>
    <row r="52" spans="3:3" ht="15.75" customHeight="1">
      <c r="C52" s="38"/>
    </row>
    <row r="53" spans="3:3" ht="15.75" customHeight="1">
      <c r="C53" s="38"/>
    </row>
    <row r="54" spans="3:3" ht="15.75" customHeight="1">
      <c r="C54" s="38"/>
    </row>
    <row r="55" spans="3:3" ht="15.75" customHeight="1">
      <c r="C55" s="38"/>
    </row>
    <row r="56" spans="3:3" ht="15.75" customHeight="1">
      <c r="C56" s="38"/>
    </row>
    <row r="57" spans="3:3" ht="15.75" customHeight="1">
      <c r="C57" s="38"/>
    </row>
    <row r="58" spans="3:3" ht="15.75" customHeight="1">
      <c r="C58" s="38"/>
    </row>
    <row r="59" spans="3:3" ht="15.75" customHeight="1">
      <c r="C59" s="38"/>
    </row>
    <row r="60" spans="3:3" ht="15.75" customHeight="1">
      <c r="C60" s="38"/>
    </row>
    <row r="61" spans="3:3" ht="15.75" customHeight="1">
      <c r="C61" s="38"/>
    </row>
    <row r="62" spans="3:3" ht="15.75" customHeight="1">
      <c r="C62" s="38"/>
    </row>
    <row r="63" spans="3:3" ht="15.75" customHeight="1">
      <c r="C63" s="38"/>
    </row>
    <row r="64" spans="3:3" ht="15.75" customHeight="1">
      <c r="C64" s="38"/>
    </row>
    <row r="65" spans="3:3" ht="15.75" customHeight="1">
      <c r="C65" s="38"/>
    </row>
    <row r="66" spans="3:3" ht="15.75" customHeight="1">
      <c r="C66" s="38"/>
    </row>
    <row r="67" spans="3:3" ht="15.75" customHeight="1">
      <c r="C67" s="38"/>
    </row>
    <row r="68" spans="3:3" ht="15.75" customHeight="1">
      <c r="C68" s="38"/>
    </row>
    <row r="69" spans="3:3" ht="15.75" customHeight="1">
      <c r="C69" s="38"/>
    </row>
    <row r="70" spans="3:3" ht="15.75" customHeight="1">
      <c r="C70" s="38"/>
    </row>
    <row r="71" spans="3:3" ht="15.75" customHeight="1">
      <c r="C71" s="38"/>
    </row>
    <row r="72" spans="3:3" ht="15.75" customHeight="1">
      <c r="C72" s="38"/>
    </row>
    <row r="73" spans="3:3" ht="15.75" customHeight="1">
      <c r="C73" s="38"/>
    </row>
    <row r="74" spans="3:3" ht="15.75" customHeight="1">
      <c r="C74" s="38"/>
    </row>
    <row r="75" spans="3:3" ht="15.75" customHeight="1">
      <c r="C75" s="38"/>
    </row>
    <row r="76" spans="3:3" ht="15.75" customHeight="1">
      <c r="C76" s="38"/>
    </row>
    <row r="77" spans="3:3" ht="15.75" customHeight="1">
      <c r="C77" s="38"/>
    </row>
    <row r="78" spans="3:3" ht="15.75" customHeight="1">
      <c r="C78" s="38"/>
    </row>
    <row r="79" spans="3:3" ht="15.75" customHeight="1">
      <c r="C79" s="38"/>
    </row>
    <row r="80" spans="3:3" ht="15.75" customHeight="1">
      <c r="C80" s="38"/>
    </row>
    <row r="81" spans="3:3" ht="15.75" customHeight="1">
      <c r="C81" s="38"/>
    </row>
    <row r="82" spans="3:3" ht="15.75" customHeight="1">
      <c r="C82" s="38"/>
    </row>
    <row r="83" spans="3:3" ht="15.75" customHeight="1">
      <c r="C83" s="38"/>
    </row>
    <row r="84" spans="3:3" ht="15.75" customHeight="1">
      <c r="C84" s="38"/>
    </row>
    <row r="85" spans="3:3" ht="15.75" customHeight="1">
      <c r="C85" s="38"/>
    </row>
    <row r="86" spans="3:3" ht="15.75" customHeight="1">
      <c r="C86" s="38"/>
    </row>
    <row r="87" spans="3:3" ht="15.75" customHeight="1">
      <c r="C87" s="38"/>
    </row>
    <row r="88" spans="3:3" ht="15.75" customHeight="1">
      <c r="C88" s="38"/>
    </row>
    <row r="89" spans="3:3" ht="15.75" customHeight="1">
      <c r="C89" s="38"/>
    </row>
    <row r="90" spans="3:3" ht="15.75" customHeight="1">
      <c r="C90" s="38"/>
    </row>
    <row r="91" spans="3:3" ht="15.75" customHeight="1">
      <c r="C91" s="38"/>
    </row>
    <row r="92" spans="3:3" ht="15.75" customHeight="1">
      <c r="C92" s="38"/>
    </row>
    <row r="93" spans="3:3" ht="15.75" customHeight="1">
      <c r="C93" s="38"/>
    </row>
    <row r="94" spans="3:3" ht="15.75" customHeight="1">
      <c r="C94" s="38"/>
    </row>
    <row r="95" spans="3:3" ht="15.75" customHeight="1">
      <c r="C95" s="38"/>
    </row>
    <row r="96" spans="3:3" ht="15.75" customHeight="1">
      <c r="C96" s="38"/>
    </row>
    <row r="97" spans="3:3" ht="15.75" customHeight="1">
      <c r="C97" s="38"/>
    </row>
    <row r="98" spans="3:3" ht="15.75" customHeight="1">
      <c r="C98" s="38"/>
    </row>
    <row r="99" spans="3:3" ht="15.75" customHeight="1">
      <c r="C99" s="38"/>
    </row>
    <row r="100" spans="3:3" ht="15.75" customHeight="1">
      <c r="C100" s="3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Stock y Compras</vt:lpstr>
      <vt:lpstr>Pedidos</vt:lpstr>
      <vt:lpstr>Consolidado</vt:lpstr>
      <vt:lpstr>CIERRE POR RUBRO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</cp:lastModifiedBy>
  <dcterms:created xsi:type="dcterms:W3CDTF">2025-06-11T19:04:40Z</dcterms:created>
  <dcterms:modified xsi:type="dcterms:W3CDTF">2025-07-21T23:09:36Z</dcterms:modified>
</cp:coreProperties>
</file>